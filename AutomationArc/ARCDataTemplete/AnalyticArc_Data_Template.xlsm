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5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16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7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18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9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20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21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24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utomationArc\ARCDataTemplete\"/>
    </mc:Choice>
  </mc:AlternateContent>
  <xr:revisionPtr revIDLastSave="0" documentId="13_ncr:1_{5B1DA3BD-BAC1-4EC8-B032-9D95EF69DB8C}" xr6:coauthVersionLast="43" xr6:coauthVersionMax="43" xr10:uidLastSave="{00000000-0000-0000-0000-000000000000}"/>
  <bookViews>
    <workbookView xWindow="-120" yWindow="-120" windowWidth="20730" windowHeight="11310" activeTab="1" xr2:uid="{00000000-000D-0000-FFFF-FFFF00000000}"/>
  </bookViews>
  <sheets>
    <sheet name="Instructions" sheetId="1" r:id="rId1"/>
    <sheet name="Building Settings" sheetId="16" r:id="rId2"/>
    <sheet name="base_w" sheetId="4" state="hidden" r:id="rId3"/>
    <sheet name="base_e" sheetId="6" state="hidden" r:id="rId4"/>
    <sheet name="AnalyticsEnergyMeter" sheetId="28" r:id="rId5"/>
    <sheet name="AnalyticWaterMeter" sheetId="29" r:id="rId6"/>
    <sheet name="base_f" sheetId="8" state="hidden" r:id="rId7"/>
    <sheet name="CO2 Reading for Upload" sheetId="12" r:id="rId8"/>
    <sheet name="CO2 Readings" sheetId="14" r:id="rId9"/>
    <sheet name="TVOC Reading for Upload" sheetId="13" r:id="rId10"/>
    <sheet name="TVOC Readings" sheetId="15" r:id="rId11"/>
    <sheet name="Waste Stream" sheetId="11" r:id="rId12"/>
    <sheet name="Solar" sheetId="30" r:id="rId13"/>
    <sheet name="Carbon Monoxide" sheetId="17" state="hidden" r:id="rId14"/>
    <sheet name="Ozone" sheetId="18" state="hidden" r:id="rId15"/>
    <sheet name="Atmospheric Particulate Matter" sheetId="19" state="hidden" r:id="rId16"/>
    <sheet name="Acetaldehyde" sheetId="20" state="hidden" r:id="rId17"/>
    <sheet name="Benzene" sheetId="21" state="hidden" r:id="rId18"/>
    <sheet name="Styrene" sheetId="22" state="hidden" r:id="rId19"/>
    <sheet name="Toluene" sheetId="23" state="hidden" r:id="rId20"/>
    <sheet name="Naphthalene " sheetId="24" state="hidden" r:id="rId21"/>
    <sheet name="Dichlorobenzene" sheetId="25" state="hidden" r:id="rId22"/>
    <sheet name="Xylenes-total" sheetId="26" state="hidden" r:id="rId23"/>
    <sheet name="Formaldehyde" sheetId="27" state="hidden" r:id="rId24"/>
    <sheet name="base_summary" sheetId="3" state="hidden" r:id="rId25"/>
  </sheets>
  <definedNames>
    <definedName name="_xlnm._FilterDatabase" localSheetId="8" hidden="1">'CO2 Readings'!$B$2:$F$4</definedName>
    <definedName name="_xlnm._FilterDatabase" localSheetId="10" hidden="1">'TVOC Readings'!$B$2:$G$4</definedName>
    <definedName name="columnDelete">'CO2 Readings'!$6:$6</definedName>
    <definedName name="columnDeleteVOC">'TVOC Readings'!$6:$6</definedName>
    <definedName name="Countries">Instructions!$L$33:$M$275</definedName>
    <definedName name="CountriesDetails">Instructions!$L$33:$L$275</definedName>
    <definedName name="countryName">Instructions!$L$31:$L$275</definedName>
    <definedName name="DataCopy">'CO2 Readings'!$A$18:$E$18</definedName>
    <definedName name="DataCopyVOC">'TVOC Readings'!$A$18:$E$18</definedName>
    <definedName name="Dates" localSheetId="16">'CO2 Readings'!$14:$14</definedName>
    <definedName name="Dates" localSheetId="15">'CO2 Readings'!$14:$14</definedName>
    <definedName name="Dates" localSheetId="17">'CO2 Readings'!$14:$14</definedName>
    <definedName name="Dates" localSheetId="13">'CO2 Readings'!$14:$14</definedName>
    <definedName name="Dates" localSheetId="21">'CO2 Readings'!$14:$14</definedName>
    <definedName name="Dates" localSheetId="23">'CO2 Readings'!$14:$14</definedName>
    <definedName name="Dates" localSheetId="20">'CO2 Readings'!$14:$14</definedName>
    <definedName name="Dates" localSheetId="14">'CO2 Readings'!$14:$14</definedName>
    <definedName name="Dates" localSheetId="18">'CO2 Readings'!$14:$14</definedName>
    <definedName name="Dates" localSheetId="19">'CO2 Readings'!$14:$14</definedName>
    <definedName name="Dates" localSheetId="22">'CO2 Readings'!$14:$14</definedName>
    <definedName name="Dates">'CO2 Readings'!$14:$14</definedName>
    <definedName name="DatesVOC" localSheetId="16">'TVOC Readings'!$14:$14</definedName>
    <definedName name="DatesVOC" localSheetId="15">'TVOC Readings'!$14:$14</definedName>
    <definedName name="DatesVOC" localSheetId="17">'TVOC Readings'!$14:$14</definedName>
    <definedName name="DatesVOC" localSheetId="13">'TVOC Readings'!$14:$14</definedName>
    <definedName name="DatesVOC" localSheetId="21">'TVOC Readings'!$14:$14</definedName>
    <definedName name="DatesVOC" localSheetId="23">'TVOC Readings'!$14:$14</definedName>
    <definedName name="DatesVOC" localSheetId="20">'TVOC Readings'!$14:$14</definedName>
    <definedName name="DatesVOC" localSheetId="14">'TVOC Readings'!$14:$14</definedName>
    <definedName name="DatesVOC" localSheetId="18">'TVOC Readings'!$14:$14</definedName>
    <definedName name="DatesVOC" localSheetId="19">'TVOC Readings'!$14:$14</definedName>
    <definedName name="DatesVOC" localSheetId="22">'TVOC Readings'!$14:$14</definedName>
    <definedName name="DatesVOC">'TVOC Readings'!$14:$14</definedName>
    <definedName name="DelRwNmEnd">'CO2 Reading for Upload'!$A$11:$E$11</definedName>
    <definedName name="DelRwNmEndVOC">'TVOC Reading for Upload'!$A$11:$E$11</definedName>
    <definedName name="DelRwNmStart">'CO2 Reading for Upload'!$A$6:$E$6</definedName>
    <definedName name="DelRwNmStartVOC">'TVOC Reading for Upload'!$A$6:$E$6</definedName>
    <definedName name="elecName" localSheetId="16">base_e!$G$15:$G$19</definedName>
    <definedName name="elecName" localSheetId="4">AnalyticsEnergyMeter!$G$15:$G$19</definedName>
    <definedName name="elecName" localSheetId="15">base_e!$G$15:$G$19</definedName>
    <definedName name="elecName" localSheetId="17">base_e!$G$15:$G$19</definedName>
    <definedName name="elecName" localSheetId="13">base_e!$G$15:$G$19</definedName>
    <definedName name="elecName" localSheetId="21">base_e!$G$15:$G$19</definedName>
    <definedName name="elecName" localSheetId="23">base_e!$G$15:$G$19</definedName>
    <definedName name="elecName" localSheetId="20">base_e!$G$15:$G$19</definedName>
    <definedName name="elecName" localSheetId="14">base_e!$G$15:$G$19</definedName>
    <definedName name="elecName" localSheetId="12">Solar!$G$15:$G$19</definedName>
    <definedName name="elecName" localSheetId="18">base_e!$G$15:$G$19</definedName>
    <definedName name="elecName" localSheetId="19">base_e!$G$15:$G$19</definedName>
    <definedName name="elecName" localSheetId="22">base_e!$G$15:$G$19</definedName>
    <definedName name="elecName">base_e!$G$15:$G$19</definedName>
    <definedName name="ElectricityDrp" localSheetId="16">base_e!$J$9:$J$10</definedName>
    <definedName name="ElectricityDrp" localSheetId="4">AnalyticsEnergyMeter!$J$9:$J$10</definedName>
    <definedName name="ElectricityDrp" localSheetId="15">base_e!$J$9:$J$10</definedName>
    <definedName name="ElectricityDrp" localSheetId="17">base_e!$J$9:$J$10</definedName>
    <definedName name="ElectricityDrp" localSheetId="13">base_e!$J$9:$J$10</definedName>
    <definedName name="ElectricityDrp" localSheetId="21">base_e!$J$9:$J$10</definedName>
    <definedName name="ElectricityDrp" localSheetId="23">base_e!$J$9:$J$10</definedName>
    <definedName name="ElectricityDrp" localSheetId="20">base_e!$J$9:$J$10</definedName>
    <definedName name="ElectricityDrp" localSheetId="14">base_e!$J$9:$J$10</definedName>
    <definedName name="ElectricityDrp" localSheetId="12">Solar!$J$9:$J$10</definedName>
    <definedName name="ElectricityDrp" localSheetId="18">base_e!$J$9:$J$10</definedName>
    <definedName name="ElectricityDrp" localSheetId="19">base_e!$J$9:$J$10</definedName>
    <definedName name="ElectricityDrp" localSheetId="22">base_e!$J$9:$J$10</definedName>
    <definedName name="ElectricityDrp">base_e!$J$9:$J$10</definedName>
    <definedName name="fdet" localSheetId="16">Acetaldehyde!$H$1:$H$13</definedName>
    <definedName name="fdet" localSheetId="15">'Atmospheric Particulate Matter'!$H$1:$H$13</definedName>
    <definedName name="fdet" localSheetId="17">Benzene!$H$1:$H$13</definedName>
    <definedName name="fdet" localSheetId="13">'Carbon Monoxide'!$H$1:$H$13</definedName>
    <definedName name="fdet" localSheetId="21">Dichlorobenzene!$H$1:$H$13</definedName>
    <definedName name="fdet" localSheetId="23">Formaldehyde!$H$1:$H$13</definedName>
    <definedName name="fdet" localSheetId="20">'Naphthalene '!$H$1:$H$13</definedName>
    <definedName name="fdet" localSheetId="14">Ozone!$H$1:$H$13</definedName>
    <definedName name="fdet" localSheetId="18">Styrene!$H$1:$H$13</definedName>
    <definedName name="fdet" localSheetId="19">Toluene!$H$1:$H$13</definedName>
    <definedName name="fdet" localSheetId="22">'Xylenes-total'!$H$1:$H$13</definedName>
    <definedName name="fdet">base_f!$H$1:$H$13</definedName>
    <definedName name="fude" localSheetId="16">Acetaldehyde!$D$14:$D$31</definedName>
    <definedName name="fude" localSheetId="15">'Atmospheric Particulate Matter'!$D$14:$D$31</definedName>
    <definedName name="fude" localSheetId="17">Benzene!$D$14:$D$31</definedName>
    <definedName name="fude" localSheetId="13">'Carbon Monoxide'!$D$14:$D$31</definedName>
    <definedName name="fude" localSheetId="21">Dichlorobenzene!$D$14:$D$31</definedName>
    <definedName name="fude" localSheetId="23">Formaldehyde!$D$14:$D$31</definedName>
    <definedName name="fude" localSheetId="20">'Naphthalene '!$D$14:$D$31</definedName>
    <definedName name="fude" localSheetId="14">Ozone!$D$14:$D$31</definedName>
    <definedName name="fude" localSheetId="18">Styrene!$D$14:$D$31</definedName>
    <definedName name="fude" localSheetId="19">Toluene!$D$14:$D$31</definedName>
    <definedName name="fude" localSheetId="22">'Xylenes-total'!$D$14:$D$31</definedName>
    <definedName name="fude">base_f!$D$14:$D$31</definedName>
    <definedName name="fuel1" localSheetId="16">Acetaldehyde!$L$16:$L$23</definedName>
    <definedName name="fuel1" localSheetId="15">'Atmospheric Particulate Matter'!$L$16:$L$23</definedName>
    <definedName name="fuel1" localSheetId="17">Benzene!$L$16:$L$23</definedName>
    <definedName name="fuel1" localSheetId="13">'Carbon Monoxide'!$L$16:$L$23</definedName>
    <definedName name="fuel1" localSheetId="21">Dichlorobenzene!$L$16:$L$23</definedName>
    <definedName name="fuel1" localSheetId="23">Formaldehyde!$L$16:$L$23</definedName>
    <definedName name="fuel1" localSheetId="20">'Naphthalene '!$L$16:$L$23</definedName>
    <definedName name="fuel1" localSheetId="14">Ozone!$L$16:$L$23</definedName>
    <definedName name="fuel1" localSheetId="18">Styrene!$L$16:$L$23</definedName>
    <definedName name="fuel1" localSheetId="19">Toluene!$L$16:$L$23</definedName>
    <definedName name="fuel1" localSheetId="22">'Xylenes-total'!$L$16:$L$23</definedName>
    <definedName name="fuel1">base_f!$L$16:$L$23</definedName>
    <definedName name="fuel2" localSheetId="16">Acetaldehyde!$M$16:$M$23</definedName>
    <definedName name="fuel2" localSheetId="15">'Atmospheric Particulate Matter'!$M$16:$M$23</definedName>
    <definedName name="fuel2" localSheetId="17">Benzene!$M$16:$M$23</definedName>
    <definedName name="fuel2" localSheetId="13">'Carbon Monoxide'!$M$16:$M$23</definedName>
    <definedName name="fuel2" localSheetId="21">Dichlorobenzene!$M$16:$M$23</definedName>
    <definedName name="fuel2" localSheetId="23">Formaldehyde!$M$16:$M$23</definedName>
    <definedName name="fuel2" localSheetId="20">'Naphthalene '!$M$16:$M$23</definedName>
    <definedName name="fuel2" localSheetId="14">Ozone!$M$16:$M$23</definedName>
    <definedName name="fuel2" localSheetId="18">Styrene!$M$16:$M$23</definedName>
    <definedName name="fuel2" localSheetId="19">Toluene!$M$16:$M$23</definedName>
    <definedName name="fuel2" localSheetId="22">'Xylenes-total'!$M$16:$M$23</definedName>
    <definedName name="fuel2">base_f!$M$16:$M$23</definedName>
    <definedName name="fuelname" localSheetId="16">Acetaldehyde!#REF!</definedName>
    <definedName name="fuelname" localSheetId="4">base_f!#REF!</definedName>
    <definedName name="fuelname" localSheetId="5">base_f!#REF!</definedName>
    <definedName name="fuelname" localSheetId="15">'Atmospheric Particulate Matter'!#REF!</definedName>
    <definedName name="fuelname" localSheetId="17">Benzene!#REF!</definedName>
    <definedName name="fuelname" localSheetId="13">'Carbon Monoxide'!#REF!</definedName>
    <definedName name="fuelname" localSheetId="21">Dichlorobenzene!#REF!</definedName>
    <definedName name="fuelname" localSheetId="23">Formaldehyde!#REF!</definedName>
    <definedName name="fuelname" localSheetId="20">'Naphthalene '!#REF!</definedName>
    <definedName name="fuelname" localSheetId="14">Ozone!#REF!</definedName>
    <definedName name="fuelname" localSheetId="12">base_f!#REF!</definedName>
    <definedName name="fuelname" localSheetId="18">Styrene!#REF!</definedName>
    <definedName name="fuelname" localSheetId="19">Toluene!#REF!</definedName>
    <definedName name="fuelname" localSheetId="22">'Xylenes-total'!#REF!</definedName>
    <definedName name="fuelname">base_f!#REF!</definedName>
    <definedName name="kerosene" localSheetId="16">Acetaldehyde!$K$16:$K$23</definedName>
    <definedName name="kerosene" localSheetId="15">'Atmospheric Particulate Matter'!$K$16:$K$23</definedName>
    <definedName name="kerosene" localSheetId="17">Benzene!$K$16:$K$23</definedName>
    <definedName name="kerosene" localSheetId="13">'Carbon Monoxide'!$K$16:$K$23</definedName>
    <definedName name="kerosene" localSheetId="21">Dichlorobenzene!$K$16:$K$23</definedName>
    <definedName name="kerosene" localSheetId="23">Formaldehyde!$K$16:$K$23</definedName>
    <definedName name="kerosene" localSheetId="20">'Naphthalene '!$K$16:$K$23</definedName>
    <definedName name="kerosene" localSheetId="14">Ozone!$K$16:$K$23</definedName>
    <definedName name="kerosene" localSheetId="18">Styrene!$K$16:$K$23</definedName>
    <definedName name="kerosene" localSheetId="19">Toluene!$K$16:$K$23</definedName>
    <definedName name="kerosene" localSheetId="22">'Xylenes-total'!$K$16:$K$23</definedName>
    <definedName name="kerosene">base_f!$K$16:$K$23</definedName>
    <definedName name="liquid" localSheetId="16">Acetaldehyde!$J$16:$J$25</definedName>
    <definedName name="liquid" localSheetId="15">'Atmospheric Particulate Matter'!$J$16:$J$25</definedName>
    <definedName name="liquid" localSheetId="17">Benzene!$J$16:$J$25</definedName>
    <definedName name="liquid" localSheetId="13">'Carbon Monoxide'!$J$16:$J$25</definedName>
    <definedName name="liquid" localSheetId="21">Dichlorobenzene!$J$16:$J$25</definedName>
    <definedName name="liquid" localSheetId="23">Formaldehyde!$J$16:$J$25</definedName>
    <definedName name="liquid" localSheetId="20">'Naphthalene '!$J$16:$J$25</definedName>
    <definedName name="liquid" localSheetId="14">Ozone!$J$16:$J$25</definedName>
    <definedName name="liquid" localSheetId="18">Styrene!$J$16:$J$25</definedName>
    <definedName name="liquid" localSheetId="19">Toluene!$J$16:$J$25</definedName>
    <definedName name="liquid" localSheetId="22">'Xylenes-total'!$J$16:$J$25</definedName>
    <definedName name="liquid">base_f!$J$16:$J$25</definedName>
    <definedName name="Meter" localSheetId="4">Instructions!#REF!</definedName>
    <definedName name="Meter" localSheetId="5">Instructions!#REF!</definedName>
    <definedName name="Meter" localSheetId="12">Instructions!#REF!</definedName>
    <definedName name="Meter">Instructions!#REF!</definedName>
    <definedName name="meterName">Instructions!$O$33:$O$37</definedName>
    <definedName name="MeterTypes">Instructions!$L$278:$L$304</definedName>
    <definedName name="myCategoryH" localSheetId="16">Acetaldehyde!$G$19:$G$36</definedName>
    <definedName name="myCategoryH" localSheetId="15">'Atmospheric Particulate Matter'!$G$19:$G$36</definedName>
    <definedName name="myCategoryH" localSheetId="17">Benzene!$G$19:$G$36</definedName>
    <definedName name="myCategoryH" localSheetId="13">'Carbon Monoxide'!$G$19:$G$36</definedName>
    <definedName name="myCategoryH" localSheetId="21">Dichlorobenzene!$G$19:$G$36</definedName>
    <definedName name="myCategoryH" localSheetId="23">Formaldehyde!$G$19:$G$36</definedName>
    <definedName name="myCategoryH" localSheetId="20">'Naphthalene '!$G$19:$G$36</definedName>
    <definedName name="myCategoryH" localSheetId="14">Ozone!$G$19:$G$36</definedName>
    <definedName name="myCategoryH" localSheetId="18">Styrene!$G$19:$G$36</definedName>
    <definedName name="myCategoryH" localSheetId="19">Toluene!$G$19:$G$36</definedName>
    <definedName name="myCategoryH" localSheetId="22">'Xylenes-total'!$G$19:$G$36</definedName>
    <definedName name="myCategoryH">base_f!$G$19:$G$36</definedName>
    <definedName name="myitem" localSheetId="16">OFFSET(myItemList,0,0,1,COUNTA(myItemList))</definedName>
    <definedName name="myitem" localSheetId="4">OFFSET(myItemList,0,0,1,COUNTA(myItemList))</definedName>
    <definedName name="myitem" localSheetId="5">OFFSET(myItemList,0,0,1,COUNTA(myItemList))</definedName>
    <definedName name="myitem" localSheetId="15">OFFSET(myItemList,0,0,1,COUNTA(myItemList))</definedName>
    <definedName name="myitem" localSheetId="17">OFFSET(myItemList,0,0,1,COUNTA(myItemList))</definedName>
    <definedName name="myitem" localSheetId="13">OFFSET(myItemList,0,0,1,COUNTA(myItemList))</definedName>
    <definedName name="myitem" localSheetId="21">OFFSET(myItemList,0,0,1,COUNTA(myItemList))</definedName>
    <definedName name="myitem" localSheetId="23">OFFSET(myItemList,0,0,1,COUNTA(myItemList))</definedName>
    <definedName name="myitem" localSheetId="20">OFFSET(myItemList,0,0,1,COUNTA(myItemList))</definedName>
    <definedName name="myitem" localSheetId="14">OFFSET(myItemList,0,0,1,COUNTA(myItemList))</definedName>
    <definedName name="myitem" localSheetId="12">OFFSET(myItemList,0,0,1,COUNTA(myItemList))</definedName>
    <definedName name="myitem" localSheetId="18">OFFSET(myItemList,0,0,1,COUNTA(myItemList))</definedName>
    <definedName name="myitem" localSheetId="19">OFFSET(myItemList,0,0,1,COUNTA(myItemList))</definedName>
    <definedName name="myitem" localSheetId="22">OFFSET(myItemList,0,0,1,COUNTA(myItemList))</definedName>
    <definedName name="myitem">OFFSET(myItemList,0,0,1,COUNTA(myItemList))</definedName>
    <definedName name="myItemListH" localSheetId="16">INDEX(Acetaldehyde!myTableH,MATCH(Acetaldehyde!A1048576,Acetaldehyde!myCategoryH,0),0)</definedName>
    <definedName name="myItemListH" localSheetId="15">INDEX('Atmospheric Particulate Matter'!myTableH,MATCH('Atmospheric Particulate Matter'!A1048576,'Atmospheric Particulate Matter'!myCategoryH,0),0)</definedName>
    <definedName name="myItemListH" localSheetId="17">INDEX(Benzene!myTableH,MATCH(Benzene!A1048576,Benzene!myCategoryH,0),0)</definedName>
    <definedName name="myItemListH" localSheetId="13">INDEX('Carbon Monoxide'!myTableH,MATCH('Carbon Monoxide'!A1048576,'Carbon Monoxide'!myCategoryH,0),0)</definedName>
    <definedName name="myItemListH" localSheetId="21">INDEX(Dichlorobenzene!myTableH,MATCH(Dichlorobenzene!A1048576,Dichlorobenzene!myCategoryH,0),0)</definedName>
    <definedName name="myItemListH" localSheetId="23">INDEX(Formaldehyde!myTableH,MATCH(Formaldehyde!A1048576,Formaldehyde!myCategoryH,0),0)</definedName>
    <definedName name="myItemListH" localSheetId="20">INDEX('Naphthalene '!myTableH,MATCH('Naphthalene '!A1048576,'Naphthalene '!myCategoryH,0),0)</definedName>
    <definedName name="myItemListH" localSheetId="14">INDEX(Ozone!myTableH,MATCH(Ozone!A1048576,Ozone!myCategoryH,0),0)</definedName>
    <definedName name="myItemListH" localSheetId="18">INDEX(Styrene!myTableH,MATCH(Styrene!A1048576,Styrene!myCategoryH,0),0)</definedName>
    <definedName name="myItemListH" localSheetId="19">INDEX(Toluene!myTableH,MATCH(Toluene!A1048576,Toluene!myCategoryH,0),0)</definedName>
    <definedName name="myItemListH" localSheetId="22">INDEX('Xylenes-total'!myTableH,MATCH('Xylenes-total'!A1048576,'Xylenes-total'!myCategoryH,0),0)</definedName>
    <definedName name="myItemListH">INDEX(myTableH,MATCH(base_f!A1048576,myCategoryH,0),0)</definedName>
    <definedName name="myTableH" localSheetId="16">Acetaldehyde!$H$19:$V$36</definedName>
    <definedName name="myTableH" localSheetId="15">'Atmospheric Particulate Matter'!$H$19:$V$36</definedName>
    <definedName name="myTableH" localSheetId="17">Benzene!$H$19:$V$36</definedName>
    <definedName name="myTableH" localSheetId="13">'Carbon Monoxide'!$H$19:$V$36</definedName>
    <definedName name="myTableH" localSheetId="21">Dichlorobenzene!$H$19:$V$36</definedName>
    <definedName name="myTableH" localSheetId="23">Formaldehyde!$H$19:$V$36</definedName>
    <definedName name="myTableH" localSheetId="20">'Naphthalene '!$H$19:$V$36</definedName>
    <definedName name="myTableH" localSheetId="14">Ozone!$H$19:$V$36</definedName>
    <definedName name="myTableH" localSheetId="18">Styrene!$H$19:$V$36</definedName>
    <definedName name="myTableH" localSheetId="19">Toluene!$H$19:$V$36</definedName>
    <definedName name="myTableH" localSheetId="22">'Xylenes-total'!$H$19:$V$36</definedName>
    <definedName name="myTableH">base_f!$H$19:$V$36</definedName>
    <definedName name="newMet" localSheetId="16">Instructions!$Q$33:$Q$34</definedName>
    <definedName name="newMet" localSheetId="15">Instructions!$Q$33:$Q$34</definedName>
    <definedName name="newMet" localSheetId="17">Instructions!$Q$33:$Q$34</definedName>
    <definedName name="newMet" localSheetId="13">Instructions!$Q$33:$Q$34</definedName>
    <definedName name="newMet" localSheetId="21">Instructions!$Q$33:$Q$34</definedName>
    <definedName name="newMet" localSheetId="23">Instructions!$Q$33:$Q$34</definedName>
    <definedName name="newMet" localSheetId="20">Instructions!$Q$33:$Q$34</definedName>
    <definedName name="newMet" localSheetId="14">Instructions!$Q$33:$Q$34</definedName>
    <definedName name="newMet" localSheetId="18">Instructions!$Q$33:$Q$34</definedName>
    <definedName name="newMet" localSheetId="19">Instructions!$Q$33:$Q$34</definedName>
    <definedName name="newMet" localSheetId="22">Instructions!$Q$33:$Q$34</definedName>
    <definedName name="newMet">Instructions!$Q$33:$Q$34</definedName>
    <definedName name="newWaUnit" localSheetId="16">'Waste Stream'!$I$12:$I$14</definedName>
    <definedName name="newWaUnit" localSheetId="15">'Waste Stream'!$I$12:$I$14</definedName>
    <definedName name="newWaUnit" localSheetId="17">'Waste Stream'!$I$12:$I$14</definedName>
    <definedName name="newWaUnit" localSheetId="13">'Waste Stream'!$I$12:$I$14</definedName>
    <definedName name="newWaUnit" localSheetId="21">'Waste Stream'!$I$12:$I$14</definedName>
    <definedName name="newWaUnit" localSheetId="23">'Waste Stream'!$I$12:$I$14</definedName>
    <definedName name="newWaUnit" localSheetId="20">'Waste Stream'!$I$12:$I$14</definedName>
    <definedName name="newWaUnit" localSheetId="14">'Waste Stream'!$I$12:$I$14</definedName>
    <definedName name="newWaUnit" localSheetId="18">'Waste Stream'!$I$12:$I$14</definedName>
    <definedName name="newWaUnit" localSheetId="19">'Waste Stream'!$I$12:$I$14</definedName>
    <definedName name="newWaUnit" localSheetId="22">'Waste Stream'!$I$12:$I$14</definedName>
    <definedName name="newWaUnit">'Waste Stream'!$I$12:$I$14</definedName>
    <definedName name="Other_Fuels_Drp" localSheetId="16">Acetaldehyde!$V$10</definedName>
    <definedName name="Other_Fuels_Drp" localSheetId="15">'Atmospheric Particulate Matter'!$V$10</definedName>
    <definedName name="Other_Fuels_Drp" localSheetId="17">Benzene!$V$10</definedName>
    <definedName name="Other_Fuels_Drp" localSheetId="13">'Carbon Monoxide'!$V$10</definedName>
    <definedName name="Other_Fuels_Drp" localSheetId="21">Dichlorobenzene!$V$10</definedName>
    <definedName name="Other_Fuels_Drp" localSheetId="23">Formaldehyde!$V$10</definedName>
    <definedName name="Other_Fuels_Drp" localSheetId="20">'Naphthalene '!$V$10</definedName>
    <definedName name="Other_Fuels_Drp" localSheetId="14">Ozone!$V$10</definedName>
    <definedName name="Other_Fuels_Drp" localSheetId="18">Styrene!$V$10</definedName>
    <definedName name="Other_Fuels_Drp" localSheetId="19">Toluene!$V$10</definedName>
    <definedName name="Other_Fuels_Drp" localSheetId="22">'Xylenes-total'!$V$10</definedName>
    <definedName name="Other_Fuels_Drp">base_f!$V$10</definedName>
    <definedName name="Period__Start_Date" localSheetId="16">COUNTIF(base_w!$B:$B,base_w!A1)=1</definedName>
    <definedName name="Period__Start_Date" localSheetId="5">COUNTIF(AnalyticWaterMeter!$B:$B,AnalyticWaterMeter!A1)=1</definedName>
    <definedName name="Period__Start_Date" localSheetId="15">COUNTIF(base_w!$B:$B,base_w!A1)=1</definedName>
    <definedName name="Period__Start_Date" localSheetId="17">COUNTIF(base_w!$B:$B,base_w!A1)=1</definedName>
    <definedName name="Period__Start_Date" localSheetId="13">COUNTIF(base_w!$B:$B,base_w!A1)=1</definedName>
    <definedName name="Period__Start_Date" localSheetId="21">COUNTIF(base_w!$B:$B,base_w!A1)=1</definedName>
    <definedName name="Period__Start_Date" localSheetId="23">COUNTIF(base_w!$B:$B,base_w!A1)=1</definedName>
    <definedName name="Period__Start_Date" localSheetId="20">COUNTIF(base_w!$B:$B,base_w!A1)=1</definedName>
    <definedName name="Period__Start_Date" localSheetId="14">COUNTIF(base_w!$B:$B,base_w!A1)=1</definedName>
    <definedName name="Period__Start_Date" localSheetId="18">COUNTIF(base_w!$B:$B,base_w!A1)=1</definedName>
    <definedName name="Period__Start_Date" localSheetId="19">COUNTIF(base_w!$B:$B,base_w!A1)=1</definedName>
    <definedName name="Period__Start_Date" localSheetId="22">COUNTIF(base_w!$B:$B,base_w!A1)=1</definedName>
    <definedName name="Period__Start_Date">COUNTIF(base_w!$B:$B,base_w!A1)=1</definedName>
    <definedName name="Propane" localSheetId="16">Acetaldehyde!$I$16:$I$27</definedName>
    <definedName name="Propane" localSheetId="15">'Atmospheric Particulate Matter'!$I$16:$I$27</definedName>
    <definedName name="Propane" localSheetId="17">Benzene!$I$16:$I$27</definedName>
    <definedName name="Propane" localSheetId="13">'Carbon Monoxide'!$I$16:$I$27</definedName>
    <definedName name="Propane" localSheetId="21">Dichlorobenzene!$I$16:$I$27</definedName>
    <definedName name="Propane" localSheetId="23">Formaldehyde!$I$16:$I$27</definedName>
    <definedName name="Propane" localSheetId="20">'Naphthalene '!$I$16:$I$27</definedName>
    <definedName name="Propane" localSheetId="14">Ozone!$I$16:$I$27</definedName>
    <definedName name="Propane" localSheetId="18">Styrene!$I$16:$I$27</definedName>
    <definedName name="Propane" localSheetId="19">Toluene!$I$16:$I$27</definedName>
    <definedName name="Propane" localSheetId="22">'Xylenes-total'!$I$16:$I$27</definedName>
    <definedName name="Propane">base_f!$I$16:$I$27</definedName>
    <definedName name="propanes" localSheetId="16">Acetaldehyde!$I$16:$I$25</definedName>
    <definedName name="propanes" localSheetId="15">'Atmospheric Particulate Matter'!$I$16:$I$25</definedName>
    <definedName name="propanes" localSheetId="17">Benzene!$I$16:$I$25</definedName>
    <definedName name="propanes" localSheetId="13">'Carbon Monoxide'!$I$16:$I$25</definedName>
    <definedName name="propanes" localSheetId="21">Dichlorobenzene!$I$16:$I$25</definedName>
    <definedName name="propanes" localSheetId="23">Formaldehyde!$I$16:$I$25</definedName>
    <definedName name="propanes" localSheetId="20">'Naphthalene '!$I$16:$I$25</definedName>
    <definedName name="propanes" localSheetId="14">Ozone!$I$16:$I$25</definedName>
    <definedName name="propanes" localSheetId="18">Styrene!$I$16:$I$25</definedName>
    <definedName name="propanes" localSheetId="19">Toluene!$I$16:$I$25</definedName>
    <definedName name="propanes" localSheetId="22">'Xylenes-total'!$I$16:$I$25</definedName>
    <definedName name="propanes">base_f!$I$16:$I$25</definedName>
    <definedName name="prounit" localSheetId="16">Acetaldehyde!$I$16:$I$25</definedName>
    <definedName name="prounit" localSheetId="15">'Atmospheric Particulate Matter'!$I$16:$I$25</definedName>
    <definedName name="prounit" localSheetId="17">Benzene!$I$16:$I$25</definedName>
    <definedName name="prounit" localSheetId="13">'Carbon Monoxide'!$I$16:$I$25</definedName>
    <definedName name="prounit" localSheetId="21">Dichlorobenzene!$I$16:$I$25</definedName>
    <definedName name="prounit" localSheetId="23">Formaldehyde!$I$16:$I$25</definedName>
    <definedName name="prounit" localSheetId="20">'Naphthalene '!$I$16:$I$25</definedName>
    <definedName name="prounit" localSheetId="14">Ozone!$I$16:$I$25</definedName>
    <definedName name="prounit" localSheetId="18">Styrene!$I$16:$I$25</definedName>
    <definedName name="prounit" localSheetId="19">Toluene!$I$16:$I$25</definedName>
    <definedName name="prounit" localSheetId="22">'Xylenes-total'!$I$16:$I$25</definedName>
    <definedName name="prounit">base_f!$I$16:$I$25</definedName>
    <definedName name="RangeCount">'CO2 Reading for Upload'!$B$6:$B$11</definedName>
    <definedName name="RangeCountVOC">'TVOC Reading for Upload'!$B$6:$B$11</definedName>
    <definedName name="ReadingTable" localSheetId="16">'CO2 Readings'!$14:$15</definedName>
    <definedName name="ReadingTable" localSheetId="15">'CO2 Readings'!$14:$15</definedName>
    <definedName name="ReadingTable" localSheetId="17">'CO2 Readings'!$14:$15</definedName>
    <definedName name="ReadingTable" localSheetId="13">'CO2 Readings'!$14:$15</definedName>
    <definedName name="ReadingTable" localSheetId="21">'CO2 Readings'!$14:$15</definedName>
    <definedName name="ReadingTable" localSheetId="23">'CO2 Readings'!$14:$15</definedName>
    <definedName name="ReadingTable" localSheetId="20">'CO2 Readings'!$14:$15</definedName>
    <definedName name="ReadingTable" localSheetId="14">'CO2 Readings'!$14:$15</definedName>
    <definedName name="ReadingTable" localSheetId="18">'CO2 Readings'!$14:$15</definedName>
    <definedName name="ReadingTable" localSheetId="19">'CO2 Readings'!$14:$15</definedName>
    <definedName name="ReadingTable" localSheetId="22">'CO2 Readings'!$14:$15</definedName>
    <definedName name="ReadingTable">'CO2 Readings'!$14:$15</definedName>
    <definedName name="ReadingTableVOC" localSheetId="16">'TVOC Readings'!$14:$15</definedName>
    <definedName name="ReadingTableVOC" localSheetId="15">'TVOC Readings'!$14:$15</definedName>
    <definedName name="ReadingTableVOC" localSheetId="17">'TVOC Readings'!$14:$15</definedName>
    <definedName name="ReadingTableVOC" localSheetId="13">'TVOC Readings'!$14:$15</definedName>
    <definedName name="ReadingTableVOC" localSheetId="21">'TVOC Readings'!$14:$15</definedName>
    <definedName name="ReadingTableVOC" localSheetId="23">'TVOC Readings'!$14:$15</definedName>
    <definedName name="ReadingTableVOC" localSheetId="20">'TVOC Readings'!$14:$15</definedName>
    <definedName name="ReadingTableVOC" localSheetId="14">'TVOC Readings'!$14:$15</definedName>
    <definedName name="ReadingTableVOC" localSheetId="18">'TVOC Readings'!$14:$15</definedName>
    <definedName name="ReadingTableVOC" localSheetId="19">'TVOC Readings'!$14:$15</definedName>
    <definedName name="ReadingTableVOC" localSheetId="22">'TVOC Readings'!$14:$15</definedName>
    <definedName name="ReadingTableVOC">'TVOC Readings'!$14:$15</definedName>
    <definedName name="Sheets">TRANSPOSE(GET.WORKBOOK(1))&amp;T(NOW())</definedName>
    <definedName name="spacetype" localSheetId="16">Instructions!$S$42:$S$104</definedName>
    <definedName name="spacetype" localSheetId="15">Instructions!$S$42:$S$104</definedName>
    <definedName name="spacetype" localSheetId="17">Instructions!$S$42:$S$104</definedName>
    <definedName name="spacetype" localSheetId="13">Instructions!$S$42:$S$104</definedName>
    <definedName name="spacetype" localSheetId="21">Instructions!$S$42:$S$104</definedName>
    <definedName name="spacetype" localSheetId="23">Instructions!$S$42:$S$104</definedName>
    <definedName name="spacetype" localSheetId="20">Instructions!$S$42:$S$104</definedName>
    <definedName name="spacetype" localSheetId="14">Instructions!$S$42:$S$104</definedName>
    <definedName name="spacetype" localSheetId="18">Instructions!$S$42:$S$104</definedName>
    <definedName name="spacetype" localSheetId="19">Instructions!$S$42:$S$104</definedName>
    <definedName name="spacetype" localSheetId="22">Instructions!$S$42:$S$104</definedName>
    <definedName name="spacetype">Instructions!$S$33:$S$88</definedName>
    <definedName name="sumAnchor">'CO2 Readings'!$F$6:$F$15</definedName>
    <definedName name="sumAnchorVOC">'TVOC Readings'!$G$6:$G$15</definedName>
    <definedName name="sumDate">'CO2 Readings'!$G$6:$G$15</definedName>
    <definedName name="sumDateVOC">'TVOC Readings'!$H$6:$H$15</definedName>
    <definedName name="UniqueDate">'CO2 Readings'!$B$21</definedName>
    <definedName name="UniqueDateVOC">'TVOC Readings'!$B$21</definedName>
    <definedName name="UniqueLoc">'CO2 Readings'!$C$21</definedName>
    <definedName name="UniqueLocVOC">'TVOC Readings'!$C$21</definedName>
    <definedName name="Units">Instructions!$M$5:$M$6</definedName>
    <definedName name="UserFormat">'CO2 Readings'!$A$24:$E$24</definedName>
    <definedName name="validUnits">Instructions!$L$307:$L$325</definedName>
    <definedName name="water_meter_type" localSheetId="5">AnalyticWaterMeter!$H$28:$I$40</definedName>
    <definedName name="water_meter_type">base_w!$H$27:$I$39</definedName>
    <definedName name="water_type" localSheetId="5">AnalyticWaterMeter!$H$28:$I$40</definedName>
    <definedName name="water_type">base_w!$H$27:$I$39</definedName>
    <definedName name="water_units" localSheetId="5">AnalyticWaterMeter!$H$16:$H$24</definedName>
    <definedName name="water_units">base_w!$H$15:$H$23</definedName>
    <definedName name="WaterDrp" localSheetId="16">base_w!$I$9:$I$11</definedName>
    <definedName name="WaterDrp" localSheetId="5">AnalyticWaterMeter!$I$10:$I$12</definedName>
    <definedName name="WaterDrp" localSheetId="15">base_w!$I$9:$I$11</definedName>
    <definedName name="WaterDrp" localSheetId="17">base_w!$I$9:$I$11</definedName>
    <definedName name="WaterDrp" localSheetId="13">base_w!$I$9:$I$11</definedName>
    <definedName name="WaterDrp" localSheetId="21">base_w!$I$9:$I$11</definedName>
    <definedName name="WaterDrp" localSheetId="23">base_w!$I$9:$I$11</definedName>
    <definedName name="WaterDrp" localSheetId="20">base_w!$I$9:$I$11</definedName>
    <definedName name="WaterDrp" localSheetId="14">base_w!$I$9:$I$11</definedName>
    <definedName name="WaterDrp" localSheetId="18">base_w!$I$9:$I$11</definedName>
    <definedName name="WaterDrp" localSheetId="19">base_w!$I$9:$I$11</definedName>
    <definedName name="WaterDrp" localSheetId="22">base_w!$I$9:$I$11</definedName>
    <definedName name="WaterDrp">base_w!$I$9:$I$11</definedName>
    <definedName name="waterType" localSheetId="5">AnalyticWaterMeter!$H$28:$H$40</definedName>
    <definedName name="waterType">base_w!$H$27:$H$39</definedName>
    <definedName name="waterUnits" localSheetId="5">AnalyticWaterMeter!$J$11:$J$15</definedName>
    <definedName name="waterUnits">base_w!$J$10:$J$14</definedName>
    <definedName name="watUn" localSheetId="5">AnalyticWaterMeter!$H$16:$H$24</definedName>
    <definedName name="watUn">base_w!$H$15:$H$23</definedName>
    <definedName name="watUni" localSheetId="16">base_w!$H$15:$H$29</definedName>
    <definedName name="watUni" localSheetId="5">AnalyticWaterMeter!$H$16:$H$30</definedName>
    <definedName name="watUni" localSheetId="15">base_w!$H$15:$H$29</definedName>
    <definedName name="watUni" localSheetId="17">base_w!$H$15:$H$29</definedName>
    <definedName name="watUni" localSheetId="13">base_w!$H$15:$H$29</definedName>
    <definedName name="watUni" localSheetId="21">base_w!$H$15:$H$29</definedName>
    <definedName name="watUni" localSheetId="23">base_w!$H$15:$H$29</definedName>
    <definedName name="watUni" localSheetId="20">base_w!$H$15:$H$29</definedName>
    <definedName name="watUni" localSheetId="14">base_w!$H$15:$H$29</definedName>
    <definedName name="watUni" localSheetId="18">base_w!$H$15:$H$29</definedName>
    <definedName name="watUni" localSheetId="19">base_w!$H$15:$H$29</definedName>
    <definedName name="watUni" localSheetId="22">base_w!$H$15:$H$29</definedName>
    <definedName name="watUni">base_w!$H$15:$H$29</definedName>
    <definedName name="waUn">'Waste Stream'!$I$12:$I$18</definedName>
    <definedName name="waunit">'Waste Stream'!$J$9:$J$11</definedName>
    <definedName name="Wood" localSheetId="16">Acetaldehyde!$H$16:$H$27</definedName>
    <definedName name="Wood" localSheetId="15">'Atmospheric Particulate Matter'!$H$16:$H$27</definedName>
    <definedName name="Wood" localSheetId="17">Benzene!$H$16:$H$27</definedName>
    <definedName name="Wood" localSheetId="13">'Carbon Monoxide'!$H$16:$H$27</definedName>
    <definedName name="Wood" localSheetId="21">Dichlorobenzene!$H$16:$H$27</definedName>
    <definedName name="Wood" localSheetId="23">Formaldehyde!$H$16:$H$27</definedName>
    <definedName name="Wood" localSheetId="20">'Naphthalene '!$H$16:$H$27</definedName>
    <definedName name="Wood" localSheetId="14">Ozone!$H$16:$H$27</definedName>
    <definedName name="Wood" localSheetId="18">Styrene!$H$16:$H$27</definedName>
    <definedName name="Wood" localSheetId="19">Toluene!$H$16:$H$27</definedName>
    <definedName name="Wood" localSheetId="22">'Xylenes-total'!$H$16:$H$27</definedName>
    <definedName name="Wood">base_f!$H$16:$H$27</definedName>
    <definedName name="woods" localSheetId="16">Acetaldehyde!$H$16:$H$22</definedName>
    <definedName name="woods" localSheetId="15">'Atmospheric Particulate Matter'!$H$16:$H$22</definedName>
    <definedName name="woods" localSheetId="17">Benzene!$H$16:$H$22</definedName>
    <definedName name="woods" localSheetId="13">'Carbon Monoxide'!$H$16:$H$22</definedName>
    <definedName name="woods" localSheetId="21">Dichlorobenzene!$H$16:$H$22</definedName>
    <definedName name="woods" localSheetId="23">Formaldehyde!$H$16:$H$22</definedName>
    <definedName name="woods" localSheetId="20">'Naphthalene '!$H$16:$H$22</definedName>
    <definedName name="woods" localSheetId="14">Ozone!$H$16:$H$22</definedName>
    <definedName name="woods" localSheetId="18">Styrene!$H$16:$H$22</definedName>
    <definedName name="woods" localSheetId="19">Toluene!$H$16:$H$22</definedName>
    <definedName name="woods" localSheetId="22">'Xylenes-total'!$H$16:$H$22</definedName>
    <definedName name="woods">base_f!$H$16:$H$22</definedName>
    <definedName name="woodunit" localSheetId="16">Acetaldehyde!$H$16:$H$22</definedName>
    <definedName name="woodunit" localSheetId="15">'Atmospheric Particulate Matter'!$H$16:$H$22</definedName>
    <definedName name="woodunit" localSheetId="17">Benzene!$H$16:$H$22</definedName>
    <definedName name="woodunit" localSheetId="13">'Carbon Monoxide'!$H$16:$H$22</definedName>
    <definedName name="woodunit" localSheetId="21">Dichlorobenzene!$H$16:$H$22</definedName>
    <definedName name="woodunit" localSheetId="23">Formaldehyde!$H$16:$H$22</definedName>
    <definedName name="woodunit" localSheetId="20">'Naphthalene '!$H$16:$H$22</definedName>
    <definedName name="woodunit" localSheetId="14">Ozone!$H$16:$H$22</definedName>
    <definedName name="woodunit" localSheetId="18">Styrene!$H$16:$H$22</definedName>
    <definedName name="woodunit" localSheetId="19">Toluene!$H$16:$H$22</definedName>
    <definedName name="woodunit" localSheetId="22">'Xylenes-total'!$H$16:$H$22</definedName>
    <definedName name="woodunit">base_f!$H$16:$H$22</definedName>
    <definedName name="zep" localSheetId="5">AnalyticWaterMeter!$J$9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12" l="1"/>
  <c r="E8" i="12" l="1"/>
  <c r="D6" i="30" l="1"/>
  <c r="B1" i="30"/>
  <c r="D1" i="30" s="1"/>
  <c r="E7" i="13"/>
  <c r="E8" i="13" s="1"/>
  <c r="D6" i="29" l="1"/>
  <c r="B1" i="29"/>
  <c r="D1" i="29" s="1"/>
  <c r="D6" i="28"/>
  <c r="B1" i="28"/>
  <c r="D1" i="28" s="1"/>
  <c r="I19" i="16" l="1"/>
  <c r="F19" i="16" l="1"/>
  <c r="K8" i="16" l="1"/>
  <c r="J8" i="16" s="1"/>
  <c r="K9" i="16"/>
  <c r="J9" i="16" s="1"/>
  <c r="K10" i="16"/>
  <c r="J10" i="16" s="1"/>
  <c r="K11" i="16"/>
  <c r="J11" i="16" s="1"/>
  <c r="K12" i="16"/>
  <c r="J12" i="16" s="1"/>
  <c r="K13" i="16"/>
  <c r="J13" i="16" s="1"/>
  <c r="K14" i="16"/>
  <c r="J14" i="16" s="1"/>
  <c r="K15" i="16"/>
  <c r="J15" i="16" s="1"/>
  <c r="K16" i="16"/>
  <c r="J16" i="16" s="1"/>
  <c r="K17" i="16"/>
  <c r="J17" i="16" s="1"/>
  <c r="K18" i="16"/>
  <c r="J18" i="16" s="1"/>
  <c r="K7" i="16"/>
  <c r="G19" i="16" l="1"/>
  <c r="B50" i="16" l="1"/>
  <c r="B44" i="16"/>
  <c r="B38" i="16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L8" i="16" l="1"/>
  <c r="L9" i="16"/>
  <c r="L10" i="16"/>
  <c r="L11" i="16"/>
  <c r="L12" i="16"/>
  <c r="L13" i="16"/>
  <c r="L14" i="16"/>
  <c r="L15" i="16"/>
  <c r="L16" i="16"/>
  <c r="L7" i="16" l="1"/>
  <c r="H19" i="16" l="1"/>
  <c r="H8" i="15" l="1" a="1"/>
  <c r="H8" i="15" s="1"/>
  <c r="I8" i="15" s="1" a="1"/>
  <c r="I8" i="15" s="1"/>
  <c r="G8" i="14" a="1"/>
  <c r="G8" i="14" s="1"/>
  <c r="H8" i="14" s="1" a="1"/>
  <c r="H8" i="14" s="1"/>
  <c r="H14" i="14" l="1"/>
  <c r="B8" i="12" s="1"/>
  <c r="H6" i="14"/>
  <c r="I6" i="15"/>
  <c r="I14" i="15"/>
  <c r="B8" i="13" s="1"/>
  <c r="E19" i="16"/>
  <c r="C8" i="13" l="1"/>
  <c r="C8" i="12"/>
  <c r="L17" i="16"/>
  <c r="D25" i="16" s="1"/>
  <c r="L18" i="16"/>
  <c r="B10" i="15" l="1" a="1"/>
  <c r="B10" i="15" s="1"/>
  <c r="I10" i="15" s="1" a="1"/>
  <c r="I10" i="15" s="1"/>
  <c r="B10" i="14" a="1"/>
  <c r="B10" i="14" s="1"/>
  <c r="H10" i="14" s="1" a="1"/>
  <c r="H10" i="14" s="1"/>
  <c r="D24" i="16"/>
  <c r="B24" i="16"/>
  <c r="D6" i="16"/>
  <c r="D6" i="13"/>
  <c r="D6" i="12"/>
  <c r="E18" i="15"/>
  <c r="C21" i="15" a="1"/>
  <c r="C21" i="15" s="1"/>
  <c r="B21" i="15" a="1"/>
  <c r="B21" i="15" s="1"/>
  <c r="C21" i="14" a="1"/>
  <c r="C21" i="14" s="1"/>
  <c r="B21" i="14" a="1"/>
  <c r="B21" i="14" s="1"/>
  <c r="E18" i="14"/>
  <c r="B1" i="6"/>
  <c r="B1" i="8"/>
  <c r="B1" i="4"/>
  <c r="D6" i="8"/>
  <c r="D6" i="6"/>
  <c r="D6" i="4"/>
  <c r="E6" i="11"/>
  <c r="D6" i="11"/>
  <c r="D26" i="16" l="1"/>
  <c r="B11" i="14" a="1"/>
  <c r="B11" i="14" s="1"/>
  <c r="H11" i="14" s="1" a="1"/>
  <c r="H11" i="14" s="1"/>
  <c r="H15" i="14" s="1"/>
  <c r="A10" i="15"/>
  <c r="B11" i="15" a="1"/>
  <c r="B11" i="15" s="1"/>
  <c r="I11" i="15" s="1" a="1"/>
  <c r="I11" i="15" s="1"/>
  <c r="I15" i="15" s="1"/>
  <c r="H10" i="15" a="1"/>
  <c r="H10" i="15" s="1"/>
  <c r="H6" i="15"/>
  <c r="H14" i="15"/>
  <c r="D1" i="8"/>
  <c r="D1" i="6"/>
  <c r="D1" i="4"/>
  <c r="J19" i="16"/>
  <c r="G6" i="14"/>
  <c r="G14" i="14"/>
  <c r="A10" i="14"/>
  <c r="G10" i="14" a="1"/>
  <c r="G10" i="14" s="1"/>
  <c r="B7" i="12" l="1"/>
  <c r="D8" i="12"/>
  <c r="A8" i="12" s="1"/>
  <c r="B7" i="13"/>
  <c r="D8" i="13" a="1"/>
  <c r="D8" i="13" s="1"/>
  <c r="A8" i="13" s="1"/>
  <c r="D28" i="16"/>
  <c r="D27" i="16"/>
  <c r="B18" i="15"/>
  <c r="C18" i="15" s="1"/>
  <c r="G11" i="14" a="1"/>
  <c r="G11" i="14" s="1"/>
  <c r="A11" i="14"/>
  <c r="A11" i="15"/>
  <c r="H11" i="15" a="1"/>
  <c r="H11" i="15" s="1"/>
  <c r="B18" i="14"/>
  <c r="C18" i="14" s="1"/>
  <c r="D7" i="13" l="1" a="1"/>
  <c r="D7" i="13" s="1"/>
  <c r="A7" i="13" s="1"/>
  <c r="C7" i="13"/>
  <c r="D7" i="12"/>
  <c r="A7" i="12" s="1"/>
  <c r="C7" i="12"/>
  <c r="G15" i="14"/>
  <c r="H15" i="15"/>
  <c r="D18" i="15" l="1" a="1"/>
  <c r="D18" i="15" s="1"/>
  <c r="A18" i="15" s="1"/>
  <c r="D18" i="14"/>
  <c r="A18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I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<sst xmlns="http://schemas.openxmlformats.org/spreadsheetml/2006/main" count="3907" uniqueCount="747">
  <si>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</si>
  <si>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</si>
  <si>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</si>
  <si>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</si>
  <si>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</si>
  <si>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</si>
  <si>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</si>
  <si>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</si>
  <si>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</si>
  <si>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</si>
  <si>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</si>
  <si>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</si>
  <si>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</si>
  <si>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</si>
  <si>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</si>
  <si>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</si>
  <si>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</si>
  <si>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</si>
  <si>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</si>
  <si>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</si>
  <si>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</si>
  <si>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</si>
  <si>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</si>
  <si>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</si>
  <si>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</si>
  <si>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</si>
  <si>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</si>
  <si>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</si>
  <si>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</si>
  <si>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</si>
  <si>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</si>
  <si>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</si>
  <si>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</si>
  <si>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</si>
  <si>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</si>
  <si>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</si>
  <si>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</si>
  <si>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</si>
  <si>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</si>
  <si>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</si>
  <si>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</si>
  <si>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</si>
  <si>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</si>
  <si>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</si>
  <si>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</si>
  <si>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</si>
  <si>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</si>
  <si>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</si>
  <si>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</si>
  <si>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</si>
  <si>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</si>
  <si>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</si>
  <si>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</si>
  <si>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</si>
  <si>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</si>
  <si>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</si>
  <si>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</si>
  <si>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</si>
  <si>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</si>
  <si>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</si>
  <si>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</si>
  <si>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</si>
  <si>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</si>
  <si>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</si>
  <si>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</si>
  <si>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</si>
  <si>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</si>
  <si>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</si>
  <si>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</si>
  <si>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</si>
  <si>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</si>
  <si>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</si>
  <si>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</si>
  <si>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</si>
  <si>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</si>
  <si>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</si>
  <si>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</si>
  <si>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</si>
  <si>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</si>
  <si>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</si>
  <si>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</si>
  <si>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</si>
  <si>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</si>
  <si>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</si>
  <si>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</si>
  <si>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</si>
  <si>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</si>
  <si>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</si>
  <si>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</si>
  <si>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</si>
  <si>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</si>
  <si>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</si>
  <si>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</si>
  <si>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</si>
  <si>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</si>
  <si>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</si>
  <si>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</si>
  <si>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</si>
  <si>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</si>
  <si>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</si>
  <si>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</si>
  <si>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</si>
  <si>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</si>
  <si>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</si>
  <si>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</si>
  <si>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</si>
  <si>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</si>
  <si>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</si>
  <si>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</si>
  <si>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</si>
  <si>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</si>
  <si>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</si>
  <si>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</si>
  <si>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</si>
  <si>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</si>
  <si>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</si>
  <si>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</si>
  <si>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</si>
  <si>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</si>
  <si>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</si>
  <si>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</si>
  <si>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</si>
  <si>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</si>
  <si>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</si>
  <si>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</si>
  <si>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</si>
  <si>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</si>
  <si>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</si>
  <si>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</si>
  <si>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</si>
  <si>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</si>
  <si>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</si>
  <si>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</si>
  <si>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</si>
  <si>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</si>
  <si>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</si>
  <si>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</si>
  <si>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</si>
  <si>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</si>
  <si>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</si>
  <si>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</si>
  <si>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</si>
  <si>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</si>
  <si>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</si>
  <si>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</si>
  <si>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</si>
  <si>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</si>
  <si>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</si>
  <si>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</si>
  <si>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</si>
  <si>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</si>
  <si>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</si>
  <si>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</si>
  <si>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</si>
  <si>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</si>
  <si>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</si>
  <si>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</si>
  <si>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</si>
  <si>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</si>
  <si>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</si>
  <si>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</si>
  <si>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</si>
  <si>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</si>
  <si>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</si>
  <si>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</si>
  <si>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</si>
  <si>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</si>
  <si>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</si>
  <si>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</si>
  <si>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</si>
  <si>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</si>
  <si>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</si>
  <si>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</si>
  <si>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</si>
  <si>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</si>
  <si>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</si>
  <si>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</si>
  <si>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</si>
  <si>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</si>
  <si>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</si>
  <si>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</si>
  <si>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</si>
  <si>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</si>
  <si>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</si>
  <si>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</si>
  <si>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</si>
  <si>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</si>
  <si>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</si>
  <si>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</si>
  <si>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</si>
  <si>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</si>
  <si>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</si>
  <si>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</si>
  <si>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</si>
  <si>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</si>
  <si>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</si>
  <si>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</si>
  <si>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</si>
  <si>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</si>
  <si>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</si>
  <si>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</si>
  <si>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</si>
  <si>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</si>
  <si>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</si>
  <si>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</si>
  <si>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</si>
  <si>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</si>
  <si>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</si>
  <si>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</si>
  <si>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</si>
  <si>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</si>
  <si>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</si>
  <si>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</si>
  <si>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</si>
  <si>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</si>
  <si>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</si>
  <si>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</si>
  <si>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</si>
  <si>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</si>
  <si>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</si>
  <si>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</si>
  <si>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</si>
  <si>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</si>
  <si>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</si>
  <si>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</si>
  <si>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</si>
  <si>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</si>
  <si>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</si>
  <si>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</si>
  <si>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</si>
  <si>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</si>
  <si>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</si>
  <si>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</si>
  <si>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</si>
  <si>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</si>
  <si>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</si>
  <si>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</si>
  <si>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</si>
  <si>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</si>
  <si>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</si>
  <si>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</si>
  <si>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</si>
  <si>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</si>
  <si>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</si>
  <si>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</si>
  <si>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</si>
  <si>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</si>
  <si>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</si>
  <si>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</si>
  <si>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</si>
  <si>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</si>
  <si>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</si>
  <si>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</si>
  <si>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</si>
  <si>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</si>
  <si>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</si>
  <si>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</si>
  <si>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</si>
  <si>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</si>
  <si>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</si>
  <si>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</si>
  <si>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</si>
  <si>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</si>
  <si>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</si>
  <si>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</si>
  <si>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</si>
  <si>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</si>
  <si>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</si>
  <si>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</si>
  <si>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</si>
  <si>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</si>
  <si>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</si>
  <si>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</si>
  <si>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</si>
  <si>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</si>
  <si>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</si>
  <si>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</si>
  <si>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</si>
  <si>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</si>
  <si>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</si>
  <si>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</si>
  <si>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</si>
  <si>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</si>
  <si>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</si>
  <si>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</si>
  <si>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</si>
  <si>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</si>
  <si>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</si>
  <si>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</si>
  <si>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</si>
  <si>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</si>
  <si>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</si>
  <si>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</si>
  <si>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</si>
  <si>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</si>
  <si>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</si>
  <si>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</si>
  <si>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</si>
  <si>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</si>
  <si>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</si>
  <si>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</si>
  <si>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</si>
  <si>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</si>
  <si>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</si>
  <si>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</si>
  <si>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</si>
  <si>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</si>
  <si>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</si>
  <si>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</si>
  <si>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</si>
  <si>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</si>
  <si>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</si>
  <si>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</si>
  <si>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</si>
  <si>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</si>
  <si>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</si>
  <si>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</si>
  <si>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</si>
  <si>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</si>
  <si>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</si>
  <si>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</si>
  <si>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</si>
  <si>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</si>
  <si>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</si>
  <si>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</si>
  <si>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</si>
  <si>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</si>
  <si>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</si>
  <si>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</si>
  <si>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</si>
  <si>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</si>
  <si>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</si>
  <si>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</si>
  <si>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</si>
  <si>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</si>
  <si>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</si>
  <si>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</si>
  <si>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</si>
  <si>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</si>
  <si>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</si>
  <si>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</si>
  <si>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</si>
  <si>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</si>
  <si>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</si>
  <si>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</si>
  <si>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</si>
  <si>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</si>
  <si>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</si>
  <si>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</si>
  <si>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</si>
  <si>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</si>
  <si>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</si>
  <si>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</si>
  <si>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</si>
  <si>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</si>
  <si>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</si>
  <si>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</si>
  <si>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</si>
  <si>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</si>
  <si>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</si>
  <si>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</si>
  <si>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</si>
  <si>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</si>
  <si>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</si>
  <si>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</si>
  <si>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</si>
  <si>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</si>
  <si>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</si>
  <si>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</si>
  <si>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</si>
  <si>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</si>
  <si>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</si>
  <si>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</si>
  <si>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</si>
  <si>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</si>
  <si>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</si>
  <si>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</si>
  <si>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</si>
  <si>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</si>
  <si>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</si>
  <si>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</si>
  <si>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</si>
  <si>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</si>
  <si>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</si>
  <si>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</si>
  <si>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</si>
  <si>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</si>
  <si>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</si>
  <si>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</si>
  <si>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</si>
  <si>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</si>
  <si>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</si>
  <si>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</si>
  <si>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</si>
  <si>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</si>
  <si>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</si>
  <si>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</si>
  <si>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</si>
  <si>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</si>
  <si>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</si>
  <si>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</si>
  <si>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</si>
  <si>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</si>
  <si>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</si>
  <si>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</si>
  <si>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</si>
  <si>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</si>
  <si>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</si>
  <si>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</si>
  <si>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</si>
  <si>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</si>
  <si>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</si>
  <si>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</si>
  <si>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</si>
  <si>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</si>
  <si>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</si>
  <si>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</si>
  <si>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</si>
  <si>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</si>
  <si>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</si>
  <si>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</si>
  <si>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</si>
  <si>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</si>
  <si>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</si>
  <si>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</si>
  <si>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</si>
  <si>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</si>
  <si>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</si>
  <si>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</si>
  <si>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</si>
  <si>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</si>
  <si>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</si>
  <si>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</si>
  <si>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</si>
  <si>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</si>
  <si>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</si>
  <si>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</si>
  <si>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</si>
  <si>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</si>
  <si>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</si>
  <si>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</si>
  <si>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</si>
  <si>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</si>
  <si>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</si>
  <si>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</si>
  <si>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</si>
  <si>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</si>
  <si>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</si>
  <si>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</si>
  <si>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</si>
  <si>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</si>
  <si>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</si>
  <si>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</si>
  <si>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</si>
  <si>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</si>
  <si>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</si>
  <si>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</si>
  <si>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</si>
  <si>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</si>
  <si>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</si>
  <si>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</si>
  <si>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</si>
  <si>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</si>
  <si>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</si>
  <si>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</si>
  <si>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</si>
  <si>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</si>
  <si>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</si>
  <si>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</si>
  <si>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</si>
  <si>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</si>
  <si>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</si>
  <si>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</si>
  <si>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</si>
  <si>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</si>
  <si>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</si>
  <si>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</si>
  <si>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</si>
  <si>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</si>
  <si>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</si>
  <si>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</si>
  <si>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</si>
  <si>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</si>
  <si>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</si>
  <si>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</si>
  <si>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</si>
  <si>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</si>
  <si>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</si>
  <si>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</si>
  <si>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</si>
  <si>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</si>
  <si>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</si>
  <si>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</si>
  <si>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</si>
  <si>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</si>
  <si>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</si>
  <si>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</si>
  <si>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</si>
  <si>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</si>
  <si>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</si>
  <si>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</si>
  <si>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</si>
  <si>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</si>
  <si>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</si>
  <si>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</si>
  <si>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</si>
  <si>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</si>
  <si>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</si>
  <si>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</si>
  <si>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</si>
  <si>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</si>
  <si>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</si>
  <si>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</si>
  <si>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</si>
  <si>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</si>
  <si>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</si>
  <si>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</si>
  <si>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</si>
  <si>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</si>
  <si>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</si>
  <si>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</si>
  <si>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</si>
  <si>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</si>
  <si>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</si>
  <si>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</si>
  <si>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</si>
  <si>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</si>
  <si>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</si>
  <si>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</si>
  <si>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</si>
  <si>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</si>
  <si>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</si>
  <si>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</si>
  <si>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</si>
  <si>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</si>
  <si>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</si>
  <si>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</si>
  <si>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</si>
  <si>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</si>
  <si>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</si>
  <si>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</si>
  <si>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</si>
  <si>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</si>
  <si>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</si>
  <si>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</si>
  <si>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</si>
  <si>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</si>
  <si>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</si>
  <si>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</si>
  <si>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</si>
  <si>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</si>
  <si>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</si>
  <si>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</si>
  <si>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</si>
  <si>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</si>
  <si>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</si>
  <si>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</si>
  <si>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</si>
  <si>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</si>
  <si>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</si>
  <si>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</si>
  <si>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</si>
  <si>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</si>
  <si>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Meter name</t>
  </si>
  <si>
    <t>Unit of measurement</t>
  </si>
  <si>
    <t>Fuel type</t>
  </si>
  <si>
    <t>U.S. Green Building Council</t>
  </si>
  <si>
    <t>All Rights Reserved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</si>
  <si>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</si>
  <si>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</si>
  <si>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</si>
  <si>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</si>
  <si>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</si>
  <si>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</si>
  <si>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</si>
  <si>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</si>
  <si>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</si>
  <si>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</si>
  <si>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</si>
  <si>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Average for each date</t>
  </si>
  <si>
    <t>Period Start Date</t>
  </si>
  <si>
    <t>B</t>
  </si>
  <si>
    <t>95th Percentile</t>
  </si>
  <si>
    <t>CO2 Reading
(ppm)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</si>
  <si>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</si>
  <si>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</si>
  <si>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</si>
  <si>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</si>
  <si>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</si>
  <si>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</si>
  <si>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</si>
  <si>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</si>
  <si>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</si>
  <si>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</si>
  <si>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</si>
  <si>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</si>
  <si>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</si>
  <si>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</si>
  <si>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</si>
  <si>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</si>
  <si>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Daily Average Visitors</t>
  </si>
  <si>
    <t>Weighted Average Hours of Operation</t>
  </si>
  <si>
    <t>Weighted Operating Hours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</si>
  <si>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</si>
  <si>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</si>
  <si>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</si>
  <si>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</si>
  <si>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</si>
  <si>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</si>
  <si>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</si>
  <si>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</si>
  <si>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</si>
  <si>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</si>
  <si>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</si>
  <si>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</si>
  <si>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</si>
  <si>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</si>
  <si>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</si>
  <si>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</si>
  <si>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</si>
  <si>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</si>
  <si>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</si>
  <si>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</si>
  <si>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</si>
  <si>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</si>
  <si>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</si>
  <si>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</si>
  <si>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</si>
  <si>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</si>
  <si>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</si>
  <si>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</si>
  <si>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</si>
  <si>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</si>
  <si>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</si>
  <si>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</si>
  <si>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</si>
  <si>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</si>
  <si>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</si>
  <si>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</si>
  <si>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</si>
  <si>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</si>
  <si>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</si>
  <si>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</si>
  <si>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</si>
  <si>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</si>
  <si>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</si>
  <si>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</si>
  <si>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</si>
  <si>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</si>
  <si>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</si>
  <si>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</si>
  <si>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</si>
  <si>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</si>
  <si>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</si>
  <si>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</si>
  <si>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</si>
  <si>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</si>
  <si>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</si>
  <si>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</si>
  <si>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</si>
  <si>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</si>
  <si>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</si>
  <si>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</si>
  <si>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</si>
  <si>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</si>
  <si>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</si>
  <si>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</si>
  <si>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</si>
  <si>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</si>
  <si>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</si>
  <si>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</si>
  <si>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</si>
  <si>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</si>
  <si>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</si>
  <si>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</si>
  <si>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</si>
  <si>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</si>
  <si>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</si>
  <si>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</si>
  <si>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</si>
  <si>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</si>
  <si>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</si>
  <si>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</si>
  <si>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</si>
  <si>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</si>
  <si>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</si>
  <si>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</si>
  <si>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</si>
  <si>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</si>
  <si>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</si>
  <si>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</si>
  <si>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</si>
  <si>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</si>
  <si>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</si>
  <si>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</si>
  <si>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</si>
  <si>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</si>
  <si>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</si>
  <si>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</si>
  <si>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</si>
  <si>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</si>
  <si>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</si>
  <si>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</si>
  <si>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Building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</si>
  <si>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data upload template for Buildings and Spaces</t>
    </r>
  </si>
  <si>
    <t>Select the data you would like to upload</t>
  </si>
  <si>
    <t>Other fuels</t>
  </si>
  <si>
    <t>Human Experience - CO2</t>
  </si>
  <si>
    <t>Human Experience - TVOC</t>
  </si>
  <si>
    <t>Human Experience - Inorganic contaminants (Carbon Monoxide (CO), Ozone (O3), Particulate Matter 2.5 (PM2.5))</t>
  </si>
  <si>
    <t>Human Experience - Volatile organic compounds (Acetaldehyde, Benzene, Styrene, Toluene, Naphthalene, Dichlorobenzene, Xylenes-total, Formaldehyde)</t>
  </si>
  <si>
    <t>Complete the performance and consumption data for each tab, as applicable.</t>
  </si>
  <si>
    <t>Upload the completed file to Arc or LEED Online, as applicable.</t>
  </si>
  <si>
    <t>Days per week with visitors</t>
  </si>
  <si>
    <t>Visitors per week</t>
  </si>
  <si>
    <t>Energy Performance</t>
  </si>
  <si>
    <t>Water Performance</t>
  </si>
  <si>
    <t>Waste Performance</t>
  </si>
  <si>
    <t>Transportation Performance</t>
  </si>
  <si>
    <t>Indoor Environmental Quality Performance prerequisite (Human Experience)</t>
  </si>
  <si>
    <t>Include</t>
  </si>
  <si>
    <t>Weighted Regular Building Occupants</t>
  </si>
  <si>
    <t>Weighted Visitors</t>
  </si>
  <si>
    <t>Effective date</t>
  </si>
  <si>
    <t>Adjusted Values for Category Scoring</t>
  </si>
  <si>
    <t>v4.4</t>
  </si>
  <si>
    <t>Values for Energy Performance Score (adjusted to account for spaces excluded from the prerequisite)</t>
  </si>
  <si>
    <t>Values for Water Performance Score (adjusted to account for spaces excluded from the prerequisite)</t>
  </si>
  <si>
    <t>Values for Waste Performance Score (adjusted to account for spaces excluded from the prerequisite)</t>
  </si>
  <si>
    <t>Values for Transportation Performance Score (adjusted to account for spaces excluded from the prerequisite)</t>
  </si>
  <si>
    <t>Values for Human Experience Performance Score (adjusted to account for spaces excluded from the prerequisite)</t>
  </si>
  <si>
    <t>Building Settings (Project size, occupancy, and operating hours)</t>
  </si>
  <si>
    <t>LEED v4.1 Tenant space exclusion: Indicate whether the space is being excluded from the specific prerequisite/performance score</t>
  </si>
  <si>
    <t>Summary Info for Upload</t>
  </si>
  <si>
    <t>Duration of Visit (in hours/day) (HH:MM)</t>
  </si>
  <si>
    <t>Totals</t>
  </si>
  <si>
    <t>Space Name or Description1</t>
  </si>
  <si>
    <t>Space Name or Description2</t>
  </si>
  <si>
    <t>Space Name or Description3</t>
  </si>
  <si>
    <t>Exclude</t>
  </si>
  <si>
    <t>AnalyticsEnergyMeter</t>
  </si>
  <si>
    <t>AnalyticWaterMeter</t>
  </si>
  <si>
    <t>Delhi</t>
  </si>
  <si>
    <t>Noida</t>
  </si>
  <si>
    <t>Gurugram</t>
  </si>
  <si>
    <t>Solar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</si>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</sst>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  <numFmt numFmtId="171" formatCode="h:mm;@"/>
    <numFmt numFmtId="172" formatCode="[h]:mm:ss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24994659260841701"/>
        <bgColor indexed="64"/>
      </patternFill>
    </fill>
  </fills>
  <borders count="7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1" tint="0.34998626667073579"/>
      </right>
      <top/>
      <bottom/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5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0" fillId="5" borderId="0" xfId="0" applyFill="1" applyAlignment="1">
      <alignment wrapText="1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4" xfId="0" applyFont="1" applyFill="1" applyBorder="1" applyAlignment="1">
      <alignment horizontal="left" vertical="center" wrapText="1"/>
    </xf>
    <xf numFmtId="0" fontId="2" fillId="6" borderId="44" xfId="0" applyFont="1" applyFill="1" applyBorder="1" applyAlignment="1">
      <alignment horizontal="center" vertical="center" wrapText="1"/>
    </xf>
    <xf numFmtId="0" fontId="2" fillId="6" borderId="45" xfId="1" applyFont="1" applyFill="1" applyBorder="1" applyAlignment="1">
      <alignment horizontal="center" vertical="top"/>
    </xf>
    <xf numFmtId="0" fontId="3" fillId="6" borderId="45" xfId="2" applyFill="1" applyBorder="1" applyAlignment="1">
      <alignment horizontal="center" vertical="top" wrapText="1"/>
    </xf>
    <xf numFmtId="0" fontId="3" fillId="6" borderId="46" xfId="2" applyFill="1" applyBorder="1" applyAlignment="1">
      <alignment horizontal="center" vertical="top" wrapText="1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49" xfId="0" applyFont="1" applyFill="1" applyBorder="1" applyAlignment="1" applyProtection="1">
      <alignment horizontal="left" vertical="center"/>
      <protection locked="0"/>
    </xf>
    <xf numFmtId="3" fontId="4" fillId="3" borderId="50" xfId="8" applyNumberFormat="1" applyFont="1" applyFill="1" applyBorder="1" applyAlignment="1" applyProtection="1">
      <alignment horizontal="right" vertical="center" indent="1"/>
      <protection locked="0"/>
    </xf>
    <xf numFmtId="4" fontId="4" fillId="3" borderId="50" xfId="8" applyNumberFormat="1" applyFont="1" applyFill="1" applyBorder="1" applyAlignment="1" applyProtection="1">
      <alignment horizontal="right" vertical="center" indent="1"/>
      <protection locked="0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0" borderId="52" xfId="8" applyNumberFormat="1" applyFont="1" applyBorder="1" applyAlignment="1">
      <alignment horizontal="right" vertical="center" indent="1"/>
    </xf>
    <xf numFmtId="3" fontId="4" fillId="0" borderId="60" xfId="8" applyNumberFormat="1" applyFont="1" applyBorder="1" applyAlignment="1">
      <alignment horizontal="right" vertical="center" indent="1"/>
    </xf>
    <xf numFmtId="0" fontId="2" fillId="0" borderId="61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62" xfId="0" applyBorder="1"/>
    <xf numFmtId="0" fontId="8" fillId="3" borderId="64" xfId="1" applyFont="1" applyFill="1" applyBorder="1" applyAlignment="1">
      <alignment horizontal="left" vertical="center"/>
    </xf>
    <xf numFmtId="0" fontId="0" fillId="0" borderId="63" xfId="0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3" xfId="0" applyFont="1" applyBorder="1"/>
    <xf numFmtId="0" fontId="17" fillId="0" borderId="53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65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6" xfId="8" applyNumberFormat="1" applyFont="1" applyBorder="1" applyAlignment="1">
      <alignment horizontal="right" vertical="center" indent="1"/>
    </xf>
    <xf numFmtId="3" fontId="4" fillId="0" borderId="59" xfId="8" applyNumberFormat="1" applyFont="1" applyBorder="1" applyAlignment="1">
      <alignment horizontal="right" vertical="center" indent="1"/>
    </xf>
    <xf numFmtId="4" fontId="4" fillId="0" borderId="52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0" fillId="2" borderId="0" xfId="0" applyFill="1" applyBorder="1"/>
    <xf numFmtId="0" fontId="2" fillId="2" borderId="0" xfId="0" applyFont="1" applyFill="1"/>
    <xf numFmtId="0" fontId="3" fillId="0" borderId="0" xfId="2" applyFont="1" applyAlignment="1">
      <alignment vertical="top"/>
    </xf>
    <xf numFmtId="0" fontId="2" fillId="6" borderId="57" xfId="0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center" vertical="center" wrapText="1"/>
    </xf>
    <xf numFmtId="0" fontId="2" fillId="9" borderId="46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3" fontId="4" fillId="2" borderId="0" xfId="8" applyNumberFormat="1" applyFont="1" applyFill="1" applyBorder="1" applyAlignment="1">
      <alignment horizontal="right" vertical="center" indent="1"/>
    </xf>
    <xf numFmtId="3" fontId="4" fillId="0" borderId="0" xfId="8" applyNumberFormat="1" applyFont="1" applyBorder="1" applyAlignment="1">
      <alignment horizontal="right" vertical="center" indent="1"/>
    </xf>
    <xf numFmtId="0" fontId="3" fillId="6" borderId="47" xfId="2" applyFill="1" applyBorder="1" applyAlignment="1">
      <alignment horizontal="center" vertical="center" wrapText="1"/>
    </xf>
    <xf numFmtId="0" fontId="2" fillId="6" borderId="31" xfId="0" applyFont="1" applyFill="1" applyBorder="1"/>
    <xf numFmtId="0" fontId="2" fillId="6" borderId="46" xfId="0" applyFont="1" applyFill="1" applyBorder="1" applyAlignment="1">
      <alignment horizontal="left" vertical="center" wrapText="1"/>
    </xf>
    <xf numFmtId="0" fontId="2" fillId="6" borderId="68" xfId="0" applyFont="1" applyFill="1" applyBorder="1" applyAlignment="1">
      <alignment horizontal="left" vertical="center" indent="1"/>
    </xf>
    <xf numFmtId="0" fontId="2" fillId="0" borderId="0" xfId="0" applyFont="1" applyBorder="1"/>
    <xf numFmtId="0" fontId="30" fillId="0" borderId="0" xfId="0" applyFont="1"/>
    <xf numFmtId="0" fontId="2" fillId="0" borderId="0" xfId="1" applyFont="1" applyFill="1" applyBorder="1" applyAlignment="1">
      <alignment horizontal="center" vertical="center" wrapText="1"/>
    </xf>
    <xf numFmtId="3" fontId="4" fillId="0" borderId="0" xfId="8" applyNumberFormat="1" applyFont="1" applyFill="1" applyBorder="1" applyAlignment="1" applyProtection="1">
      <alignment horizontal="center" vertical="center"/>
      <protection locked="0"/>
    </xf>
    <xf numFmtId="0" fontId="2" fillId="2" borderId="0" xfId="1" applyFont="1" applyFill="1" applyBorder="1" applyAlignment="1">
      <alignment horizontal="center" vertical="center" wrapText="1"/>
    </xf>
    <xf numFmtId="3" fontId="4" fillId="2" borderId="0" xfId="8" applyNumberFormat="1" applyFont="1" applyFill="1" applyBorder="1" applyAlignment="1" applyProtection="1">
      <alignment horizontal="center" vertical="center"/>
      <protection locked="0"/>
    </xf>
    <xf numFmtId="0" fontId="2" fillId="6" borderId="67" xfId="0" applyFont="1" applyFill="1" applyBorder="1" applyAlignment="1">
      <alignment horizontal="left" vertical="center" indent="1"/>
    </xf>
    <xf numFmtId="0" fontId="2" fillId="0" borderId="50" xfId="0" applyFont="1" applyBorder="1" applyAlignment="1" applyProtection="1">
      <alignment horizontal="right"/>
      <protection locked="0"/>
    </xf>
    <xf numFmtId="0" fontId="2" fillId="0" borderId="10" xfId="0" applyFont="1" applyBorder="1" applyAlignment="1" applyProtection="1">
      <alignment horizontal="right"/>
      <protection locked="0"/>
    </xf>
    <xf numFmtId="0" fontId="2" fillId="9" borderId="70" xfId="0" applyFont="1" applyFill="1" applyBorder="1" applyAlignment="1">
      <alignment horizontal="left" vertical="center" wrapText="1"/>
    </xf>
    <xf numFmtId="0" fontId="2" fillId="4" borderId="66" xfId="0" applyFont="1" applyFill="1" applyBorder="1" applyAlignment="1">
      <alignment horizontal="right" vertical="center" wrapText="1"/>
    </xf>
    <xf numFmtId="0" fontId="2" fillId="0" borderId="0" xfId="0" applyFont="1" applyAlignment="1">
      <alignment horizontal="right"/>
    </xf>
    <xf numFmtId="0" fontId="3" fillId="0" borderId="73" xfId="2" applyFill="1" applyBorder="1" applyAlignment="1">
      <alignment horizontal="center" vertical="center" wrapText="1"/>
    </xf>
    <xf numFmtId="0" fontId="2" fillId="0" borderId="73" xfId="0" applyFont="1" applyFill="1" applyBorder="1"/>
    <xf numFmtId="170" fontId="17" fillId="0" borderId="43" xfId="1" applyNumberFormat="1" applyFont="1" applyBorder="1"/>
    <xf numFmtId="4" fontId="4" fillId="2" borderId="51" xfId="8" applyNumberFormat="1" applyFont="1" applyFill="1" applyBorder="1" applyAlignment="1">
      <alignment horizontal="right" vertical="center" indent="1"/>
    </xf>
    <xf numFmtId="4" fontId="4" fillId="0" borderId="38" xfId="8" applyNumberFormat="1" applyFont="1" applyBorder="1" applyAlignment="1">
      <alignment horizontal="right" vertical="center" indent="1"/>
    </xf>
    <xf numFmtId="171" fontId="4" fillId="3" borderId="10" xfId="8" applyNumberFormat="1" applyFont="1" applyFill="1" applyBorder="1" applyAlignment="1" applyProtection="1">
      <alignment horizontal="right" vertical="center" indent="1"/>
      <protection locked="0" hidden="1"/>
    </xf>
    <xf numFmtId="172" fontId="4" fillId="0" borderId="52" xfId="8" applyNumberFormat="1" applyFont="1" applyBorder="1" applyAlignment="1" applyProtection="1">
      <alignment horizontal="right" vertical="center" indent="1"/>
      <protection hidden="1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165" fontId="2" fillId="3" borderId="12" xfId="0" applyNumberFormat="1" applyFont="1" applyFill="1" applyBorder="1" applyProtection="1">
      <protection locked="0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wrapText="1"/>
    </xf>
    <xf numFmtId="0" fontId="2" fillId="6" borderId="58" xfId="0" applyFont="1" applyFill="1" applyBorder="1" applyAlignment="1">
      <alignment horizontal="left" vertical="center" indent="1"/>
    </xf>
    <xf numFmtId="0" fontId="2" fillId="6" borderId="71" xfId="0" applyFont="1" applyFill="1" applyBorder="1" applyAlignment="1">
      <alignment horizontal="left" vertical="center" indent="1"/>
    </xf>
    <xf numFmtId="0" fontId="2" fillId="6" borderId="72" xfId="0" applyFont="1" applyFill="1" applyBorder="1" applyAlignment="1">
      <alignment horizontal="left" vertical="center" indent="1"/>
    </xf>
    <xf numFmtId="0" fontId="2" fillId="6" borderId="54" xfId="0" applyFont="1" applyFill="1" applyBorder="1" applyAlignment="1">
      <alignment horizontal="left" vertical="center" indent="1"/>
    </xf>
    <xf numFmtId="0" fontId="2" fillId="6" borderId="55" xfId="0" applyFont="1" applyFill="1" applyBorder="1" applyAlignment="1">
      <alignment horizontal="left" vertical="center" indent="1"/>
    </xf>
    <xf numFmtId="0" fontId="2" fillId="6" borderId="46" xfId="0" applyFont="1" applyFill="1" applyBorder="1" applyAlignment="1">
      <alignment horizontal="center" wrapText="1"/>
    </xf>
    <xf numFmtId="0" fontId="2" fillId="6" borderId="69" xfId="0" applyFont="1" applyFill="1" applyBorder="1" applyAlignment="1">
      <alignment horizontal="center" wrapText="1"/>
    </xf>
    <xf numFmtId="0" fontId="2" fillId="6" borderId="70" xfId="0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 vertical="center"/>
    </xf>
    <xf numFmtId="0" fontId="2" fillId="7" borderId="40" xfId="0" applyFont="1" applyFill="1" applyBorder="1" applyAlignment="1">
      <alignment horizontal="left" indent="1"/>
    </xf>
    <xf numFmtId="0" fontId="2" fillId="7" borderId="32" xfId="0" applyFont="1" applyFill="1" applyBorder="1" applyAlignment="1">
      <alignment horizontal="left" indent="1"/>
    </xf>
    <xf numFmtId="0" fontId="2" fillId="0" borderId="42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2">
    <dxf>
      <font>
        <color rgb="FF00B050"/>
      </font>
    </dxf>
    <dxf>
      <font>
        <color rgb="FFC0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12</xdr:row>
          <xdr:rowOff>161925</xdr:rowOff>
        </xdr:from>
        <xdr:to>
          <xdr:col>3</xdr:col>
          <xdr:colOff>66675</xdr:colOff>
          <xdr:row>14</xdr:row>
          <xdr:rowOff>0</xdr:rowOff>
        </xdr:to>
        <xdr:sp macro="" textlink="">
          <xdr:nvSpPr>
            <xdr:cNvPr id="1057" name="CheckBox1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114300</xdr:rowOff>
        </xdr:from>
        <xdr:to>
          <xdr:col>3</xdr:col>
          <xdr:colOff>95250</xdr:colOff>
          <xdr:row>17</xdr:row>
          <xdr:rowOff>9525</xdr:rowOff>
        </xdr:to>
        <xdr:sp macro="" textlink="">
          <xdr:nvSpPr>
            <xdr:cNvPr id="1058" name="CheckBox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16</xdr:row>
          <xdr:rowOff>161925</xdr:rowOff>
        </xdr:from>
        <xdr:to>
          <xdr:col>3</xdr:col>
          <xdr:colOff>104775</xdr:colOff>
          <xdr:row>18</xdr:row>
          <xdr:rowOff>0</xdr:rowOff>
        </xdr:to>
        <xdr:sp macro="" textlink="">
          <xdr:nvSpPr>
            <xdr:cNvPr id="1059" name="CheckBox3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17</xdr:row>
          <xdr:rowOff>152400</xdr:rowOff>
        </xdr:from>
        <xdr:to>
          <xdr:col>3</xdr:col>
          <xdr:colOff>95250</xdr:colOff>
          <xdr:row>18</xdr:row>
          <xdr:rowOff>180975</xdr:rowOff>
        </xdr:to>
        <xdr:sp macro="" textlink="">
          <xdr:nvSpPr>
            <xdr:cNvPr id="1060" name="CheckBox4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18</xdr:row>
          <xdr:rowOff>171450</xdr:rowOff>
        </xdr:from>
        <xdr:to>
          <xdr:col>3</xdr:col>
          <xdr:colOff>95250</xdr:colOff>
          <xdr:row>20</xdr:row>
          <xdr:rowOff>9525</xdr:rowOff>
        </xdr:to>
        <xdr:sp macro="" textlink="">
          <xdr:nvSpPr>
            <xdr:cNvPr id="1061" name="CheckBox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19</xdr:row>
          <xdr:rowOff>171450</xdr:rowOff>
        </xdr:from>
        <xdr:to>
          <xdr:col>3</xdr:col>
          <xdr:colOff>95250</xdr:colOff>
          <xdr:row>21</xdr:row>
          <xdr:rowOff>9525</xdr:rowOff>
        </xdr:to>
        <xdr:sp macro="" textlink="">
          <xdr:nvSpPr>
            <xdr:cNvPr id="1062" name="CheckBox6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171450</xdr:rowOff>
        </xdr:from>
        <xdr:to>
          <xdr:col>3</xdr:col>
          <xdr:colOff>104775</xdr:colOff>
          <xdr:row>22</xdr:row>
          <xdr:rowOff>9525</xdr:rowOff>
        </xdr:to>
        <xdr:sp macro="" textlink="">
          <xdr:nvSpPr>
            <xdr:cNvPr id="1063" name="CheckBox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22</xdr:row>
          <xdr:rowOff>9525</xdr:rowOff>
        </xdr:from>
        <xdr:to>
          <xdr:col>3</xdr:col>
          <xdr:colOff>95250</xdr:colOff>
          <xdr:row>22</xdr:row>
          <xdr:rowOff>228600</xdr:rowOff>
        </xdr:to>
        <xdr:sp macro="" textlink="">
          <xdr:nvSpPr>
            <xdr:cNvPr id="1064" name="CheckBox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23</xdr:row>
          <xdr:rowOff>19050</xdr:rowOff>
        </xdr:from>
        <xdr:to>
          <xdr:col>3</xdr:col>
          <xdr:colOff>76200</xdr:colOff>
          <xdr:row>23</xdr:row>
          <xdr:rowOff>238125</xdr:rowOff>
        </xdr:to>
        <xdr:sp macro="" textlink="">
          <xdr:nvSpPr>
            <xdr:cNvPr id="1065" name="CheckBox9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161925</xdr:rowOff>
        </xdr:from>
        <xdr:to>
          <xdr:col>10</xdr:col>
          <xdr:colOff>28575</xdr:colOff>
          <xdr:row>16</xdr:row>
          <xdr:rowOff>28575</xdr:rowOff>
        </xdr:to>
        <xdr:sp macro="" textlink="">
          <xdr:nvSpPr>
            <xdr:cNvPr id="1067" name="CheckBox10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would like to exclude spaces from at least one performance section (per the LEED v4.1 tenant space exclusion)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24</xdr:row>
          <xdr:rowOff>104775</xdr:rowOff>
        </xdr:from>
        <xdr:to>
          <xdr:col>3</xdr:col>
          <xdr:colOff>352425</xdr:colOff>
          <xdr:row>25</xdr:row>
          <xdr:rowOff>171450</xdr:rowOff>
        </xdr:to>
        <xdr:sp macro="" textlink="">
          <xdr:nvSpPr>
            <xdr:cNvPr id="1068" name="Button 44" descr="Add Tab(s)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Tab(s)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2952750</xdr:colOff>
          <xdr:row>0</xdr:row>
          <xdr:rowOff>180975</xdr:rowOff>
        </xdr:from>
        <xdr:to>
          <xdr:col>3</xdr:col>
          <xdr:colOff>933450</xdr:colOff>
          <xdr:row>1</xdr:row>
          <xdr:rowOff>247650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1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32</xdr:row>
          <xdr:rowOff>85725</xdr:rowOff>
        </xdr:from>
        <xdr:to>
          <xdr:col>1</xdr:col>
          <xdr:colOff>1905000</xdr:colOff>
          <xdr:row>34</xdr:row>
          <xdr:rowOff>57150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1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Summaries</a:t>
              </a: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7</xdr:row>
          <xdr:rowOff>180975</xdr:rowOff>
        </xdr:from>
        <xdr:to>
          <xdr:col>3</xdr:col>
          <xdr:colOff>1085850</xdr:colOff>
          <xdr:row>9</xdr:row>
          <xdr:rowOff>209550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0</xdr:rowOff>
        </xdr:from>
        <xdr:to>
          <xdr:col>2</xdr:col>
          <xdr:colOff>0</xdr:colOff>
          <xdr:row>10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</xdr:row>
          <xdr:rowOff>0</xdr:rowOff>
        </xdr:from>
        <xdr:to>
          <xdr:col>2</xdr:col>
          <xdr:colOff>1295400</xdr:colOff>
          <xdr:row>10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5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8</xdr:row>
          <xdr:rowOff>180975</xdr:rowOff>
        </xdr:from>
        <xdr:to>
          <xdr:col>3</xdr:col>
          <xdr:colOff>1085850</xdr:colOff>
          <xdr:row>10</xdr:row>
          <xdr:rowOff>209550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5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1057275</xdr:colOff>
          <xdr:row>9</xdr:row>
          <xdr:rowOff>276225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9525</xdr:rowOff>
        </xdr:from>
        <xdr:to>
          <xdr:col>2</xdr:col>
          <xdr:colOff>447675</xdr:colOff>
          <xdr:row>10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10</xdr:row>
          <xdr:rowOff>400050</xdr:rowOff>
        </xdr:from>
        <xdr:to>
          <xdr:col>3</xdr:col>
          <xdr:colOff>981075</xdr:colOff>
          <xdr:row>12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7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8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8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8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4</xdr:row>
          <xdr:rowOff>152400</xdr:rowOff>
        </xdr:from>
        <xdr:to>
          <xdr:col>4</xdr:col>
          <xdr:colOff>962025</xdr:colOff>
          <xdr:row>4</xdr:row>
          <xdr:rowOff>390525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8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2</xdr:col>
          <xdr:colOff>466725</xdr:colOff>
          <xdr:row>10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9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10</xdr:row>
          <xdr:rowOff>352425</xdr:rowOff>
        </xdr:from>
        <xdr:to>
          <xdr:col>3</xdr:col>
          <xdr:colOff>990600</xdr:colOff>
          <xdr:row>12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A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A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4</xdr:row>
          <xdr:rowOff>133350</xdr:rowOff>
        </xdr:from>
        <xdr:to>
          <xdr:col>4</xdr:col>
          <xdr:colOff>885825</xdr:colOff>
          <xdr:row>4</xdr:row>
          <xdr:rowOff>419100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A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9</xdr:row>
          <xdr:rowOff>9525</xdr:rowOff>
        </xdr:from>
        <xdr:to>
          <xdr:col>3</xdr:col>
          <xdr:colOff>1200150</xdr:colOff>
          <xdr:row>9</xdr:row>
          <xdr:rowOff>266700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C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D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1133475</xdr:colOff>
          <xdr:row>9</xdr:row>
          <xdr:rowOff>266700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D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E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E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0</xdr:rowOff>
        </xdr:from>
        <xdr:to>
          <xdr:col>3</xdr:col>
          <xdr:colOff>1247775</xdr:colOff>
          <xdr:row>9</xdr:row>
          <xdr:rowOff>266700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E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F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1019175</xdr:colOff>
          <xdr:row>9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F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9525</xdr:rowOff>
        </xdr:from>
        <xdr:to>
          <xdr:col>3</xdr:col>
          <xdr:colOff>1181100</xdr:colOff>
          <xdr:row>9</xdr:row>
          <xdr:rowOff>276225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1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9525</xdr:rowOff>
        </xdr:from>
        <xdr:to>
          <xdr:col>3</xdr:col>
          <xdr:colOff>1076325</xdr:colOff>
          <xdr:row>9</xdr:row>
          <xdr:rowOff>276225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1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2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1104900</xdr:colOff>
          <xdr:row>9</xdr:row>
          <xdr:rowOff>276225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2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3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1066800</xdr:colOff>
          <xdr:row>9</xdr:row>
          <xdr:rowOff>285750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3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19050</xdr:rowOff>
        </xdr:from>
        <xdr:to>
          <xdr:col>3</xdr:col>
          <xdr:colOff>1152525</xdr:colOff>
          <xdr:row>9</xdr:row>
          <xdr:rowOff>285750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4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1085850</xdr:colOff>
          <xdr:row>9</xdr:row>
          <xdr:rowOff>266700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6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28575</xdr:rowOff>
        </xdr:from>
        <xdr:to>
          <xdr:col>3</xdr:col>
          <xdr:colOff>1047750</xdr:colOff>
          <xdr:row>9</xdr:row>
          <xdr:rowOff>285750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16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7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28575</xdr:rowOff>
        </xdr:from>
        <xdr:to>
          <xdr:col>3</xdr:col>
          <xdr:colOff>1162050</xdr:colOff>
          <xdr:row>9</xdr:row>
          <xdr:rowOff>276225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7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5"/>
  <sheetViews>
    <sheetView showGridLines="0" zoomScale="90" zoomScaleNormal="90" workbookViewId="0">
      <selection activeCell="D35" sqref="D35"/>
    </sheetView>
  </sheetViews>
  <sheetFormatPr defaultColWidth="9.140625" defaultRowHeight="15" x14ac:dyDescent="0.25"/>
  <cols>
    <col min="1" max="1" width="2.7109375" style="78" customWidth="1"/>
    <col min="2" max="2" width="5.7109375" style="78" customWidth="1"/>
    <col min="3" max="3" width="11.140625" style="78" customWidth="1"/>
    <col min="4" max="4" width="30.85546875" style="78" customWidth="1"/>
    <col min="5" max="5" width="29.140625" style="78" customWidth="1"/>
    <col min="6" max="6" width="21" style="78" customWidth="1"/>
    <col min="7" max="7" width="15.7109375" style="78" hidden="1" customWidth="1"/>
    <col min="8" max="8" width="110.28515625" style="78" hidden="1" customWidth="1"/>
    <col min="9" max="9" width="0.85546875" style="78" hidden="1" customWidth="1"/>
    <col min="10" max="10" width="9.140625" style="78" hidden="1" customWidth="1"/>
    <col min="11" max="11" width="4.5703125" style="78" customWidth="1"/>
    <col min="12" max="12" width="15.5703125" style="78" hidden="1" customWidth="1"/>
    <col min="13" max="18" width="9.140625" style="78" hidden="1" customWidth="1"/>
    <col min="19" max="19" width="5.140625" style="78" hidden="1" customWidth="1"/>
    <col min="20" max="20" width="9.140625" style="78" hidden="1" customWidth="1"/>
    <col min="21" max="16384" width="9.140625" style="78"/>
  </cols>
  <sheetData>
    <row r="2" spans="2:14" x14ac:dyDescent="0.25">
      <c r="B2" s="83"/>
      <c r="C2" s="84" t="s">
        <v>568</v>
      </c>
      <c r="D2" s="85"/>
      <c r="E2" s="85"/>
      <c r="F2" s="85"/>
      <c r="G2" s="85"/>
      <c r="H2" s="85"/>
      <c r="I2" s="86"/>
      <c r="J2" s="85"/>
      <c r="K2" s="87"/>
      <c r="L2" s="77"/>
      <c r="M2" s="77"/>
      <c r="N2" s="77"/>
    </row>
    <row r="3" spans="2:14" ht="49.5" customHeight="1" x14ac:dyDescent="0.25">
      <c r="B3" s="88"/>
      <c r="C3" s="198" t="s">
        <v>704</v>
      </c>
      <c r="D3" s="199"/>
      <c r="E3" s="199"/>
      <c r="F3" s="199"/>
      <c r="G3" s="1"/>
      <c r="H3" s="1"/>
      <c r="I3" s="9"/>
      <c r="J3" s="1"/>
      <c r="K3" s="89"/>
      <c r="L3" s="77"/>
      <c r="M3" s="77"/>
      <c r="N3" s="77"/>
    </row>
    <row r="4" spans="2:14" x14ac:dyDescent="0.25">
      <c r="B4" s="88"/>
      <c r="C4" s="10" t="s">
        <v>0</v>
      </c>
      <c r="D4" s="11"/>
      <c r="E4" s="11"/>
      <c r="F4" s="1"/>
      <c r="G4" s="1"/>
      <c r="H4" s="1"/>
      <c r="I4" s="9"/>
      <c r="J4" s="1"/>
      <c r="K4" s="89"/>
      <c r="L4" s="77"/>
      <c r="M4" s="77"/>
      <c r="N4" s="77"/>
    </row>
    <row r="5" spans="2:14" x14ac:dyDescent="0.25">
      <c r="B5" s="88"/>
      <c r="C5" s="12" t="s">
        <v>1</v>
      </c>
      <c r="D5" s="11"/>
      <c r="E5" s="11"/>
      <c r="F5" s="1"/>
      <c r="G5" s="1"/>
      <c r="H5" s="1"/>
      <c r="I5" s="9"/>
      <c r="J5" s="1"/>
      <c r="K5" s="89"/>
      <c r="L5" s="77"/>
      <c r="M5" s="77" t="s">
        <v>3</v>
      </c>
      <c r="N5" s="77"/>
    </row>
    <row r="6" spans="2:14" x14ac:dyDescent="0.25">
      <c r="B6" s="88"/>
      <c r="C6" s="13" t="s">
        <v>2</v>
      </c>
      <c r="D6" s="13"/>
      <c r="E6" s="14"/>
      <c r="F6" s="1"/>
      <c r="G6" s="1"/>
      <c r="H6" s="1"/>
      <c r="I6" s="9"/>
      <c r="J6" s="1"/>
      <c r="K6" s="89"/>
      <c r="L6" s="77"/>
      <c r="M6" s="77" t="s">
        <v>4</v>
      </c>
      <c r="N6" s="77"/>
    </row>
    <row r="7" spans="2:14" x14ac:dyDescent="0.25">
      <c r="B7" s="88"/>
      <c r="C7" s="13"/>
      <c r="D7" s="13"/>
      <c r="E7" s="14"/>
      <c r="F7" s="1"/>
      <c r="G7" s="1"/>
      <c r="H7" s="1"/>
      <c r="I7" s="9"/>
      <c r="J7" s="1"/>
      <c r="K7" s="89"/>
      <c r="L7" s="77"/>
      <c r="M7" s="77"/>
      <c r="N7" s="77"/>
    </row>
    <row r="8" spans="2:14" x14ac:dyDescent="0.25">
      <c r="B8" s="88"/>
      <c r="C8" s="122" t="s">
        <v>605</v>
      </c>
      <c r="D8" s="123"/>
      <c r="E8" s="124"/>
      <c r="F8" s="125"/>
      <c r="G8" s="1"/>
      <c r="H8" s="1"/>
      <c r="I8" s="9"/>
      <c r="J8" s="1"/>
      <c r="K8" s="89"/>
      <c r="L8" s="77"/>
      <c r="M8" s="77"/>
      <c r="N8" s="77"/>
    </row>
    <row r="9" spans="2:14" ht="15" customHeight="1" x14ac:dyDescent="0.25">
      <c r="B9" s="88"/>
      <c r="C9" s="126" t="s">
        <v>564</v>
      </c>
      <c r="D9" s="123"/>
      <c r="E9" s="124"/>
      <c r="F9" s="127" t="s">
        <v>685</v>
      </c>
      <c r="G9" s="1"/>
      <c r="H9" s="1"/>
      <c r="I9" s="9"/>
      <c r="J9" s="1"/>
      <c r="K9" s="89"/>
      <c r="L9" s="77"/>
      <c r="M9" s="77"/>
      <c r="N9" s="77"/>
    </row>
    <row r="10" spans="2:14" ht="15" customHeight="1" x14ac:dyDescent="0.25">
      <c r="B10" s="88"/>
      <c r="C10" s="128" t="s">
        <v>606</v>
      </c>
      <c r="D10" s="128"/>
      <c r="E10" s="123"/>
      <c r="F10" s="129"/>
      <c r="G10" s="7"/>
      <c r="H10" s="7"/>
      <c r="I10" s="8"/>
      <c r="J10" s="7"/>
      <c r="K10" s="89"/>
      <c r="L10" s="77"/>
      <c r="M10" s="77"/>
      <c r="N10" s="77"/>
    </row>
    <row r="11" spans="2:14" ht="9.75" customHeight="1" x14ac:dyDescent="0.25">
      <c r="B11" s="88"/>
      <c r="C11" s="128"/>
      <c r="D11" s="128"/>
      <c r="E11" s="123"/>
      <c r="F11" s="129"/>
      <c r="G11" s="7"/>
      <c r="H11" s="7"/>
      <c r="I11" s="8"/>
      <c r="J11" s="7"/>
      <c r="K11" s="89"/>
      <c r="L11" s="77"/>
      <c r="M11" s="77"/>
      <c r="N11" s="77"/>
    </row>
    <row r="12" spans="2:14" ht="15" customHeight="1" x14ac:dyDescent="0.25">
      <c r="B12" s="88"/>
      <c r="C12" s="15" t="s">
        <v>5</v>
      </c>
      <c r="D12" s="1"/>
      <c r="E12" s="1"/>
      <c r="F12" s="1"/>
      <c r="G12" s="7"/>
      <c r="H12" s="7"/>
      <c r="I12" s="8"/>
      <c r="J12" s="7"/>
      <c r="K12" s="89"/>
      <c r="L12" s="77"/>
      <c r="M12" s="77"/>
      <c r="N12" s="77"/>
    </row>
    <row r="13" spans="2:14" ht="15" customHeight="1" x14ac:dyDescent="0.25">
      <c r="B13" s="88"/>
      <c r="C13" s="15" t="s">
        <v>705</v>
      </c>
      <c r="D13" s="1"/>
      <c r="E13" s="1"/>
      <c r="F13" s="1"/>
      <c r="G13" s="7"/>
      <c r="H13" s="7"/>
      <c r="I13" s="8"/>
      <c r="J13" s="7"/>
      <c r="K13" s="89"/>
      <c r="L13" s="77"/>
      <c r="M13" s="77"/>
      <c r="N13" s="77"/>
    </row>
    <row r="14" spans="2:14" ht="15" customHeight="1" x14ac:dyDescent="0.25">
      <c r="B14" s="88"/>
      <c r="C14" s="15"/>
      <c r="D14" s="163" t="s">
        <v>731</v>
      </c>
      <c r="E14" s="1"/>
      <c r="F14" s="1"/>
      <c r="G14" s="7"/>
      <c r="H14" s="7"/>
      <c r="I14" s="8"/>
      <c r="J14" s="7"/>
      <c r="K14" s="89"/>
      <c r="L14" s="77"/>
      <c r="M14" s="77"/>
      <c r="N14" s="77"/>
    </row>
    <row r="15" spans="2:14" ht="15" customHeight="1" x14ac:dyDescent="0.25">
      <c r="B15" s="88"/>
      <c r="C15" s="15"/>
      <c r="D15" s="163"/>
      <c r="E15" s="1"/>
      <c r="F15" s="1"/>
      <c r="G15" s="7"/>
      <c r="H15" s="7"/>
      <c r="I15" s="8"/>
      <c r="J15" s="7"/>
      <c r="K15" s="89"/>
      <c r="L15" s="77"/>
      <c r="M15" s="77"/>
      <c r="N15" s="77"/>
    </row>
    <row r="16" spans="2:14" ht="10.5" customHeight="1" x14ac:dyDescent="0.25">
      <c r="B16" s="88"/>
      <c r="C16" s="15"/>
      <c r="D16" s="163"/>
      <c r="E16" s="1"/>
      <c r="F16" s="1"/>
      <c r="G16" s="7"/>
      <c r="H16" s="7"/>
      <c r="I16" s="8"/>
      <c r="J16" s="7"/>
      <c r="K16" s="89"/>
      <c r="L16" s="77"/>
      <c r="M16" s="77"/>
      <c r="N16" s="77"/>
    </row>
    <row r="17" spans="2:14" ht="15" customHeight="1" x14ac:dyDescent="0.25">
      <c r="B17" s="88"/>
      <c r="C17" s="15"/>
      <c r="D17" s="163" t="s">
        <v>548</v>
      </c>
      <c r="E17" s="1"/>
      <c r="F17" s="1"/>
      <c r="G17" s="7"/>
      <c r="H17" s="7"/>
      <c r="I17" s="8"/>
      <c r="J17" s="7"/>
      <c r="K17" s="89"/>
      <c r="L17" s="77"/>
      <c r="M17" s="77"/>
      <c r="N17" s="77"/>
    </row>
    <row r="18" spans="2:14" ht="15" customHeight="1" x14ac:dyDescent="0.25">
      <c r="B18" s="88"/>
      <c r="C18" s="15"/>
      <c r="D18" s="163" t="s">
        <v>540</v>
      </c>
      <c r="E18" s="1"/>
      <c r="F18" s="1"/>
      <c r="G18" s="7"/>
      <c r="H18" s="7"/>
      <c r="I18" s="8"/>
      <c r="J18" s="7"/>
      <c r="K18" s="89"/>
      <c r="L18" s="77"/>
      <c r="M18" s="77"/>
      <c r="N18" s="77"/>
    </row>
    <row r="19" spans="2:14" ht="15" customHeight="1" x14ac:dyDescent="0.25">
      <c r="B19" s="88"/>
      <c r="C19" s="15"/>
      <c r="D19" s="163" t="s">
        <v>706</v>
      </c>
      <c r="E19" s="1"/>
      <c r="F19" s="1"/>
      <c r="G19" s="7"/>
      <c r="H19" s="7"/>
      <c r="I19" s="8"/>
      <c r="J19" s="7"/>
      <c r="K19" s="89"/>
      <c r="L19" s="77"/>
      <c r="M19" s="77"/>
      <c r="N19" s="77"/>
    </row>
    <row r="20" spans="2:14" ht="15" customHeight="1" x14ac:dyDescent="0.25">
      <c r="B20" s="88"/>
      <c r="C20" s="15"/>
      <c r="D20" s="163" t="s">
        <v>555</v>
      </c>
      <c r="E20" s="1"/>
      <c r="F20" s="1"/>
      <c r="G20" s="7"/>
      <c r="H20" s="7"/>
      <c r="I20" s="8"/>
      <c r="J20" s="7"/>
      <c r="K20" s="89"/>
      <c r="L20" s="77"/>
      <c r="M20" s="77"/>
      <c r="N20" s="77"/>
    </row>
    <row r="21" spans="2:14" ht="15" customHeight="1" x14ac:dyDescent="0.25">
      <c r="B21" s="88"/>
      <c r="C21" s="15"/>
      <c r="D21" s="163" t="s">
        <v>707</v>
      </c>
      <c r="E21" s="1"/>
      <c r="F21" s="1"/>
      <c r="G21" s="7"/>
      <c r="H21" s="7"/>
      <c r="I21" s="8"/>
      <c r="J21" s="7"/>
      <c r="K21" s="89"/>
      <c r="L21" s="77"/>
      <c r="M21" s="77"/>
      <c r="N21" s="77"/>
    </row>
    <row r="22" spans="2:14" ht="15" customHeight="1" x14ac:dyDescent="0.25">
      <c r="B22" s="88"/>
      <c r="C22" s="15"/>
      <c r="D22" s="163" t="s">
        <v>708</v>
      </c>
      <c r="E22" s="1"/>
      <c r="F22" s="1"/>
      <c r="G22" s="7"/>
      <c r="H22" s="7"/>
      <c r="I22" s="8"/>
      <c r="J22" s="7"/>
      <c r="K22" s="89"/>
      <c r="L22" s="77"/>
      <c r="M22" s="77"/>
      <c r="N22" s="77"/>
    </row>
    <row r="23" spans="2:14" ht="30" customHeight="1" x14ac:dyDescent="0.25">
      <c r="B23" s="88"/>
      <c r="C23" s="15"/>
      <c r="D23" s="200" t="s">
        <v>709</v>
      </c>
      <c r="E23" s="200"/>
      <c r="F23" s="200"/>
      <c r="G23" s="7"/>
      <c r="H23" s="7"/>
      <c r="I23" s="8"/>
      <c r="J23" s="7"/>
      <c r="K23" s="89"/>
      <c r="L23" s="77"/>
      <c r="M23" s="77"/>
      <c r="N23" s="77"/>
    </row>
    <row r="24" spans="2:14" ht="30" customHeight="1" x14ac:dyDescent="0.25">
      <c r="B24" s="88"/>
      <c r="C24" s="15"/>
      <c r="D24" s="200" t="s">
        <v>710</v>
      </c>
      <c r="E24" s="200"/>
      <c r="F24" s="200"/>
      <c r="G24" s="7"/>
      <c r="H24" s="7"/>
      <c r="I24" s="8"/>
      <c r="J24" s="7"/>
      <c r="K24" s="89"/>
      <c r="L24" s="77"/>
      <c r="M24" s="77"/>
      <c r="N24" s="77"/>
    </row>
    <row r="25" spans="2:14" ht="15" customHeight="1" x14ac:dyDescent="0.25">
      <c r="B25" s="88"/>
      <c r="C25" s="15"/>
      <c r="D25" s="1"/>
      <c r="E25" s="1"/>
      <c r="F25" s="1"/>
      <c r="G25" s="7"/>
      <c r="H25" s="7"/>
      <c r="I25" s="8"/>
      <c r="J25" s="7"/>
      <c r="K25" s="89"/>
      <c r="L25" s="77"/>
      <c r="M25" s="77"/>
      <c r="N25" s="77"/>
    </row>
    <row r="26" spans="2:14" ht="15" customHeight="1" x14ac:dyDescent="0.25">
      <c r="B26" s="88"/>
      <c r="C26" s="15"/>
      <c r="D26" s="1"/>
      <c r="E26" s="1"/>
      <c r="F26" s="1"/>
      <c r="G26" s="7"/>
      <c r="H26" s="7"/>
      <c r="I26" s="8"/>
      <c r="J26" s="7"/>
      <c r="K26" s="89"/>
      <c r="L26" s="77"/>
      <c r="M26" s="77"/>
      <c r="N26" s="77"/>
    </row>
    <row r="27" spans="2:14" ht="15" customHeight="1" x14ac:dyDescent="0.25">
      <c r="B27" s="88"/>
      <c r="C27" s="15"/>
      <c r="D27" s="1"/>
      <c r="E27" s="1"/>
      <c r="F27" s="1"/>
      <c r="G27" s="7"/>
      <c r="H27" s="7"/>
      <c r="I27" s="8"/>
      <c r="J27" s="7"/>
      <c r="K27" s="89"/>
      <c r="L27" s="77"/>
      <c r="M27" s="77"/>
      <c r="N27" s="77"/>
    </row>
    <row r="28" spans="2:14" ht="15" customHeight="1" x14ac:dyDescent="0.25">
      <c r="B28" s="88"/>
      <c r="C28" s="15" t="s">
        <v>607</v>
      </c>
      <c r="D28" s="1"/>
      <c r="E28" s="1"/>
      <c r="F28" s="1"/>
      <c r="G28" s="1"/>
      <c r="H28" s="1"/>
      <c r="I28" s="9"/>
      <c r="J28" s="1"/>
      <c r="K28" s="89"/>
    </row>
    <row r="29" spans="2:14" ht="15" customHeight="1" x14ac:dyDescent="0.25">
      <c r="B29" s="88"/>
      <c r="C29" s="15" t="s">
        <v>711</v>
      </c>
      <c r="D29" s="1"/>
      <c r="E29" s="1"/>
      <c r="F29" s="1"/>
      <c r="G29" s="1"/>
      <c r="H29" s="1"/>
      <c r="I29" s="162"/>
      <c r="J29" s="1"/>
      <c r="K29" s="89"/>
    </row>
    <row r="30" spans="2:14" ht="15" customHeight="1" x14ac:dyDescent="0.25">
      <c r="B30" s="88"/>
      <c r="C30" s="15"/>
      <c r="D30" s="1"/>
      <c r="E30" s="1"/>
      <c r="F30" s="1"/>
      <c r="G30" s="1"/>
      <c r="H30" s="1"/>
      <c r="I30" s="162"/>
      <c r="J30" s="1"/>
      <c r="K30" s="89"/>
    </row>
    <row r="31" spans="2:14" ht="15" customHeight="1" x14ac:dyDescent="0.25">
      <c r="B31" s="88"/>
      <c r="C31" s="130" t="s">
        <v>608</v>
      </c>
      <c r="D31" s="131"/>
      <c r="E31"/>
      <c r="F31"/>
      <c r="G31" s="132"/>
      <c r="H31" s="132"/>
      <c r="I31" s="132"/>
      <c r="J31" s="132"/>
      <c r="K31" s="89"/>
    </row>
    <row r="32" spans="2:14" ht="15" customHeight="1" x14ac:dyDescent="0.25">
      <c r="B32" s="88"/>
      <c r="C32" s="164" t="s">
        <v>712</v>
      </c>
      <c r="D32" s="131"/>
      <c r="E32"/>
      <c r="F32"/>
      <c r="G32" s="132"/>
      <c r="H32" s="132"/>
      <c r="I32" s="132"/>
      <c r="J32" s="132"/>
      <c r="K32" s="89"/>
    </row>
    <row r="33" spans="2:19" ht="11.25" customHeight="1" x14ac:dyDescent="0.25">
      <c r="B33" s="134"/>
      <c r="C33" s="133"/>
      <c r="D33" s="133"/>
      <c r="E33" s="133"/>
      <c r="F33" s="133"/>
      <c r="G33" s="132"/>
      <c r="H33" s="132"/>
      <c r="I33" s="132"/>
      <c r="J33" s="132"/>
      <c r="K33" s="136"/>
      <c r="L33" s="135" t="s">
        <v>6</v>
      </c>
      <c r="M33" s="80" t="s">
        <v>7</v>
      </c>
      <c r="O33" s="78" t="s">
        <v>540</v>
      </c>
      <c r="Q33" s="78" t="s">
        <v>540</v>
      </c>
      <c r="S33" s="80" t="s">
        <v>616</v>
      </c>
    </row>
    <row r="34" spans="2:19" ht="11.25" customHeight="1" x14ac:dyDescent="0.25">
      <c r="F34" s="79"/>
      <c r="G34" s="79"/>
      <c r="H34" s="79"/>
      <c r="I34" s="79"/>
      <c r="J34" s="79"/>
      <c r="L34" s="80" t="s">
        <v>8</v>
      </c>
      <c r="M34" s="80" t="s">
        <v>9</v>
      </c>
      <c r="O34" s="78" t="s">
        <v>558</v>
      </c>
      <c r="Q34" s="78" t="s">
        <v>558</v>
      </c>
      <c r="S34" s="80" t="s">
        <v>617</v>
      </c>
    </row>
    <row r="35" spans="2:19" ht="11.25" customHeight="1" x14ac:dyDescent="0.25">
      <c r="F35" s="79"/>
      <c r="K35" s="82"/>
      <c r="L35" s="80" t="s">
        <v>10</v>
      </c>
      <c r="M35" s="80" t="s">
        <v>11</v>
      </c>
      <c r="O35" s="78" t="s">
        <v>555</v>
      </c>
      <c r="S35" s="80" t="s">
        <v>618</v>
      </c>
    </row>
    <row r="36" spans="2:19" x14ac:dyDescent="0.25">
      <c r="F36" s="79"/>
      <c r="K36" s="82"/>
      <c r="L36" s="80" t="s">
        <v>12</v>
      </c>
      <c r="M36" s="80" t="s">
        <v>13</v>
      </c>
      <c r="O36" s="78" t="s">
        <v>557</v>
      </c>
      <c r="S36" s="80" t="s">
        <v>619</v>
      </c>
    </row>
    <row r="37" spans="2:19" x14ac:dyDescent="0.25">
      <c r="F37" s="90" t="s">
        <v>703</v>
      </c>
      <c r="K37" s="90" t="s">
        <v>725</v>
      </c>
      <c r="L37" s="80" t="s">
        <v>14</v>
      </c>
      <c r="M37" s="80" t="s">
        <v>15</v>
      </c>
      <c r="O37" s="78" t="s">
        <v>556</v>
      </c>
      <c r="S37" s="80" t="s">
        <v>620</v>
      </c>
    </row>
    <row r="38" spans="2:19" x14ac:dyDescent="0.25">
      <c r="K38" s="90" t="s">
        <v>611</v>
      </c>
      <c r="L38" s="80" t="s">
        <v>16</v>
      </c>
      <c r="M38" s="80" t="s">
        <v>17</v>
      </c>
      <c r="S38" s="80" t="s">
        <v>621</v>
      </c>
    </row>
    <row r="39" spans="2:19" x14ac:dyDescent="0.25">
      <c r="K39" s="90" t="s">
        <v>566</v>
      </c>
      <c r="L39" s="80" t="s">
        <v>18</v>
      </c>
      <c r="M39" s="80" t="s">
        <v>19</v>
      </c>
      <c r="S39" s="80" t="s">
        <v>622</v>
      </c>
    </row>
    <row r="40" spans="2:19" x14ac:dyDescent="0.25">
      <c r="K40" s="90" t="s">
        <v>567</v>
      </c>
      <c r="L40" s="80" t="s">
        <v>20</v>
      </c>
      <c r="M40" s="80" t="s">
        <v>21</v>
      </c>
      <c r="S40" s="80" t="s">
        <v>623</v>
      </c>
    </row>
    <row r="41" spans="2:19" x14ac:dyDescent="0.25">
      <c r="L41" s="80" t="s">
        <v>22</v>
      </c>
      <c r="M41" s="80" t="s">
        <v>23</v>
      </c>
      <c r="S41" s="80" t="s">
        <v>624</v>
      </c>
    </row>
    <row r="42" spans="2:19" x14ac:dyDescent="0.25">
      <c r="L42" s="80" t="s">
        <v>24</v>
      </c>
      <c r="M42" s="80" t="s">
        <v>25</v>
      </c>
      <c r="S42" s="80" t="s">
        <v>625</v>
      </c>
    </row>
    <row r="43" spans="2:19" x14ac:dyDescent="0.25">
      <c r="L43" s="80" t="s">
        <v>26</v>
      </c>
      <c r="M43" s="80" t="s">
        <v>27</v>
      </c>
      <c r="S43" s="80" t="s">
        <v>626</v>
      </c>
    </row>
    <row r="44" spans="2:19" x14ac:dyDescent="0.25">
      <c r="L44" s="80" t="s">
        <v>28</v>
      </c>
      <c r="M44" s="80" t="s">
        <v>29</v>
      </c>
      <c r="S44" s="80" t="s">
        <v>627</v>
      </c>
    </row>
    <row r="45" spans="2:19" x14ac:dyDescent="0.25">
      <c r="L45" s="80" t="s">
        <v>30</v>
      </c>
      <c r="M45" s="80" t="s">
        <v>31</v>
      </c>
      <c r="S45" s="80" t="s">
        <v>628</v>
      </c>
    </row>
    <row r="46" spans="2:19" x14ac:dyDescent="0.25">
      <c r="L46" s="80" t="s">
        <v>32</v>
      </c>
      <c r="M46" s="80" t="s">
        <v>33</v>
      </c>
      <c r="S46" s="80" t="s">
        <v>629</v>
      </c>
    </row>
    <row r="47" spans="2:19" x14ac:dyDescent="0.25">
      <c r="L47" s="80" t="s">
        <v>34</v>
      </c>
      <c r="M47" s="80" t="s">
        <v>35</v>
      </c>
      <c r="S47" s="80" t="s">
        <v>630</v>
      </c>
    </row>
    <row r="48" spans="2:19" x14ac:dyDescent="0.25">
      <c r="L48" s="80" t="s">
        <v>36</v>
      </c>
      <c r="M48" s="80" t="s">
        <v>37</v>
      </c>
      <c r="S48" s="80" t="s">
        <v>631</v>
      </c>
    </row>
    <row r="49" spans="12:19" x14ac:dyDescent="0.25">
      <c r="L49" s="80" t="s">
        <v>38</v>
      </c>
      <c r="M49" s="80" t="s">
        <v>39</v>
      </c>
      <c r="S49" s="80" t="s">
        <v>632</v>
      </c>
    </row>
    <row r="50" spans="12:19" x14ac:dyDescent="0.25">
      <c r="L50" s="80" t="s">
        <v>40</v>
      </c>
      <c r="M50" s="80" t="s">
        <v>41</v>
      </c>
      <c r="S50" s="80" t="s">
        <v>633</v>
      </c>
    </row>
    <row r="51" spans="12:19" x14ac:dyDescent="0.25">
      <c r="L51" s="80" t="s">
        <v>42</v>
      </c>
      <c r="M51" s="80" t="s">
        <v>43</v>
      </c>
      <c r="S51" s="80" t="s">
        <v>634</v>
      </c>
    </row>
    <row r="52" spans="12:19" x14ac:dyDescent="0.25">
      <c r="L52" s="80" t="s">
        <v>44</v>
      </c>
      <c r="M52" s="80" t="s">
        <v>45</v>
      </c>
      <c r="S52" s="80" t="s">
        <v>635</v>
      </c>
    </row>
    <row r="53" spans="12:19" x14ac:dyDescent="0.25">
      <c r="L53" s="80" t="s">
        <v>46</v>
      </c>
      <c r="M53" s="80" t="s">
        <v>47</v>
      </c>
      <c r="S53" s="80" t="s">
        <v>636</v>
      </c>
    </row>
    <row r="54" spans="12:19" x14ac:dyDescent="0.25">
      <c r="L54" s="80" t="s">
        <v>48</v>
      </c>
      <c r="M54" s="80" t="s">
        <v>49</v>
      </c>
      <c r="S54" s="80" t="s">
        <v>637</v>
      </c>
    </row>
    <row r="55" spans="12:19" x14ac:dyDescent="0.25">
      <c r="L55" s="80" t="s">
        <v>50</v>
      </c>
      <c r="M55" s="80" t="s">
        <v>51</v>
      </c>
      <c r="S55" s="80" t="s">
        <v>638</v>
      </c>
    </row>
    <row r="56" spans="12:19" x14ac:dyDescent="0.25">
      <c r="L56" s="80" t="s">
        <v>52</v>
      </c>
      <c r="M56" s="80" t="s">
        <v>53</v>
      </c>
      <c r="S56" s="80" t="s">
        <v>639</v>
      </c>
    </row>
    <row r="57" spans="12:19" x14ac:dyDescent="0.25">
      <c r="L57" s="80" t="s">
        <v>54</v>
      </c>
      <c r="M57" s="80" t="s">
        <v>55</v>
      </c>
      <c r="S57" s="80" t="s">
        <v>640</v>
      </c>
    </row>
    <row r="58" spans="12:19" x14ac:dyDescent="0.25">
      <c r="L58" s="80" t="s">
        <v>56</v>
      </c>
      <c r="M58" s="80" t="s">
        <v>57</v>
      </c>
      <c r="S58" s="80" t="s">
        <v>641</v>
      </c>
    </row>
    <row r="59" spans="12:19" x14ac:dyDescent="0.25">
      <c r="L59" s="80" t="s">
        <v>58</v>
      </c>
      <c r="M59" s="80" t="s">
        <v>59</v>
      </c>
      <c r="S59" s="80" t="s">
        <v>642</v>
      </c>
    </row>
    <row r="60" spans="12:19" x14ac:dyDescent="0.25">
      <c r="L60" s="80" t="s">
        <v>60</v>
      </c>
      <c r="M60" s="80" t="s">
        <v>61</v>
      </c>
      <c r="S60" s="80" t="s">
        <v>643</v>
      </c>
    </row>
    <row r="61" spans="12:19" x14ac:dyDescent="0.25">
      <c r="L61" s="80" t="s">
        <v>62</v>
      </c>
      <c r="M61" s="80" t="s">
        <v>63</v>
      </c>
      <c r="S61" s="80" t="s">
        <v>644</v>
      </c>
    </row>
    <row r="62" spans="12:19" x14ac:dyDescent="0.25">
      <c r="L62" s="80" t="s">
        <v>64</v>
      </c>
      <c r="M62" s="80" t="s">
        <v>65</v>
      </c>
      <c r="S62" s="80" t="s">
        <v>645</v>
      </c>
    </row>
    <row r="63" spans="12:19" x14ac:dyDescent="0.25">
      <c r="L63" s="80" t="s">
        <v>66</v>
      </c>
      <c r="M63" s="80" t="s">
        <v>67</v>
      </c>
      <c r="S63" s="80" t="s">
        <v>646</v>
      </c>
    </row>
    <row r="64" spans="12:19" x14ac:dyDescent="0.25">
      <c r="L64" s="80" t="s">
        <v>68</v>
      </c>
      <c r="M64" s="80" t="s">
        <v>69</v>
      </c>
      <c r="S64" s="80" t="s">
        <v>647</v>
      </c>
    </row>
    <row r="65" spans="12:19" x14ac:dyDescent="0.25">
      <c r="L65" s="80" t="s">
        <v>70</v>
      </c>
      <c r="M65" s="80" t="s">
        <v>71</v>
      </c>
      <c r="S65" s="80" t="s">
        <v>648</v>
      </c>
    </row>
    <row r="66" spans="12:19" x14ac:dyDescent="0.25">
      <c r="L66" s="80" t="s">
        <v>72</v>
      </c>
      <c r="M66" s="80" t="s">
        <v>73</v>
      </c>
      <c r="S66" s="80" t="s">
        <v>649</v>
      </c>
    </row>
    <row r="67" spans="12:19" x14ac:dyDescent="0.25">
      <c r="L67" s="80" t="s">
        <v>74</v>
      </c>
      <c r="M67" s="80" t="s">
        <v>75</v>
      </c>
      <c r="S67" s="80" t="s">
        <v>650</v>
      </c>
    </row>
    <row r="68" spans="12:19" x14ac:dyDescent="0.25">
      <c r="L68" s="80" t="s">
        <v>76</v>
      </c>
      <c r="M68" s="80" t="s">
        <v>77</v>
      </c>
      <c r="S68" s="80" t="s">
        <v>651</v>
      </c>
    </row>
    <row r="69" spans="12:19" x14ac:dyDescent="0.25">
      <c r="L69" s="80" t="s">
        <v>78</v>
      </c>
      <c r="M69" s="80" t="s">
        <v>79</v>
      </c>
      <c r="S69" s="80" t="s">
        <v>652</v>
      </c>
    </row>
    <row r="70" spans="12:19" x14ac:dyDescent="0.25">
      <c r="L70" s="80" t="s">
        <v>80</v>
      </c>
      <c r="M70" s="80" t="s">
        <v>81</v>
      </c>
      <c r="S70" s="80" t="s">
        <v>653</v>
      </c>
    </row>
    <row r="71" spans="12:19" x14ac:dyDescent="0.25">
      <c r="L71" s="80" t="s">
        <v>82</v>
      </c>
      <c r="M71" s="80" t="s">
        <v>83</v>
      </c>
      <c r="S71" s="80" t="s">
        <v>654</v>
      </c>
    </row>
    <row r="72" spans="12:19" x14ac:dyDescent="0.25">
      <c r="L72" s="80" t="s">
        <v>84</v>
      </c>
      <c r="M72" s="80" t="s">
        <v>85</v>
      </c>
      <c r="S72" s="80" t="s">
        <v>655</v>
      </c>
    </row>
    <row r="73" spans="12:19" x14ac:dyDescent="0.25">
      <c r="L73" s="80" t="s">
        <v>86</v>
      </c>
      <c r="M73" s="80" t="s">
        <v>87</v>
      </c>
      <c r="S73" s="80" t="s">
        <v>656</v>
      </c>
    </row>
    <row r="74" spans="12:19" x14ac:dyDescent="0.25">
      <c r="L74" s="80" t="s">
        <v>88</v>
      </c>
      <c r="M74" s="80" t="s">
        <v>89</v>
      </c>
      <c r="S74" s="80" t="s">
        <v>657</v>
      </c>
    </row>
    <row r="75" spans="12:19" x14ac:dyDescent="0.25">
      <c r="L75" s="80" t="s">
        <v>90</v>
      </c>
      <c r="M75" s="80" t="s">
        <v>91</v>
      </c>
      <c r="S75" s="80" t="s">
        <v>658</v>
      </c>
    </row>
    <row r="76" spans="12:19" x14ac:dyDescent="0.25">
      <c r="L76" s="80" t="s">
        <v>92</v>
      </c>
      <c r="M76" s="80" t="s">
        <v>93</v>
      </c>
      <c r="S76" s="80" t="s">
        <v>659</v>
      </c>
    </row>
    <row r="77" spans="12:19" x14ac:dyDescent="0.25">
      <c r="L77" s="80" t="s">
        <v>94</v>
      </c>
      <c r="M77" s="80" t="s">
        <v>95</v>
      </c>
      <c r="S77" s="80" t="s">
        <v>660</v>
      </c>
    </row>
    <row r="78" spans="12:19" x14ac:dyDescent="0.25">
      <c r="L78" s="80" t="s">
        <v>96</v>
      </c>
      <c r="M78" s="80" t="s">
        <v>97</v>
      </c>
      <c r="S78" s="80" t="s">
        <v>661</v>
      </c>
    </row>
    <row r="79" spans="12:19" x14ac:dyDescent="0.25">
      <c r="L79" s="80" t="s">
        <v>98</v>
      </c>
      <c r="M79" s="80" t="s">
        <v>99</v>
      </c>
      <c r="S79" s="80" t="s">
        <v>662</v>
      </c>
    </row>
    <row r="80" spans="12:19" x14ac:dyDescent="0.25">
      <c r="L80" s="80" t="s">
        <v>100</v>
      </c>
      <c r="M80" s="80" t="s">
        <v>101</v>
      </c>
      <c r="S80" s="80" t="s">
        <v>663</v>
      </c>
    </row>
    <row r="81" spans="12:19" x14ac:dyDescent="0.25">
      <c r="L81" s="80" t="s">
        <v>102</v>
      </c>
      <c r="M81" s="80" t="s">
        <v>103</v>
      </c>
      <c r="S81" s="80" t="s">
        <v>664</v>
      </c>
    </row>
    <row r="82" spans="12:19" x14ac:dyDescent="0.25">
      <c r="L82" s="80" t="s">
        <v>104</v>
      </c>
      <c r="M82" s="80" t="s">
        <v>105</v>
      </c>
      <c r="S82" s="80" t="s">
        <v>665</v>
      </c>
    </row>
    <row r="83" spans="12:19" x14ac:dyDescent="0.25">
      <c r="L83" s="80" t="s">
        <v>106</v>
      </c>
      <c r="M83" s="80" t="s">
        <v>107</v>
      </c>
      <c r="S83" s="80" t="s">
        <v>666</v>
      </c>
    </row>
    <row r="84" spans="12:19" x14ac:dyDescent="0.25">
      <c r="L84" s="80" t="s">
        <v>108</v>
      </c>
      <c r="M84" s="80" t="s">
        <v>109</v>
      </c>
      <c r="S84" s="80" t="s">
        <v>667</v>
      </c>
    </row>
    <row r="85" spans="12:19" x14ac:dyDescent="0.25">
      <c r="L85" s="80" t="s">
        <v>110</v>
      </c>
      <c r="M85" s="80" t="s">
        <v>111</v>
      </c>
      <c r="S85" s="80" t="s">
        <v>668</v>
      </c>
    </row>
    <row r="86" spans="12:19" x14ac:dyDescent="0.25">
      <c r="L86" s="80" t="s">
        <v>112</v>
      </c>
      <c r="M86" s="80" t="s">
        <v>113</v>
      </c>
      <c r="S86" s="80" t="s">
        <v>669</v>
      </c>
    </row>
    <row r="87" spans="12:19" x14ac:dyDescent="0.25">
      <c r="L87" s="80" t="s">
        <v>114</v>
      </c>
      <c r="M87" s="80" t="s">
        <v>115</v>
      </c>
      <c r="S87" s="80" t="s">
        <v>670</v>
      </c>
    </row>
    <row r="88" spans="12:19" x14ac:dyDescent="0.25">
      <c r="L88" s="80" t="s">
        <v>116</v>
      </c>
      <c r="M88" s="80" t="s">
        <v>117</v>
      </c>
      <c r="S88" s="80" t="s">
        <v>671</v>
      </c>
    </row>
    <row r="89" spans="12:19" x14ac:dyDescent="0.25">
      <c r="L89" s="80" t="s">
        <v>118</v>
      </c>
      <c r="M89" s="80" t="s">
        <v>119</v>
      </c>
    </row>
    <row r="90" spans="12:19" x14ac:dyDescent="0.25">
      <c r="L90" s="80" t="s">
        <v>120</v>
      </c>
      <c r="M90" s="80" t="s">
        <v>121</v>
      </c>
    </row>
    <row r="91" spans="12:19" x14ac:dyDescent="0.25">
      <c r="L91" s="80" t="s">
        <v>122</v>
      </c>
      <c r="M91" s="80" t="s">
        <v>123</v>
      </c>
    </row>
    <row r="92" spans="12:19" x14ac:dyDescent="0.25">
      <c r="L92" s="80" t="s">
        <v>124</v>
      </c>
      <c r="M92" s="80" t="s">
        <v>125</v>
      </c>
    </row>
    <row r="93" spans="12:19" x14ac:dyDescent="0.25">
      <c r="L93" s="80" t="s">
        <v>126</v>
      </c>
      <c r="M93" s="80" t="s">
        <v>127</v>
      </c>
    </row>
    <row r="94" spans="12:19" x14ac:dyDescent="0.25">
      <c r="L94" s="80" t="s">
        <v>128</v>
      </c>
      <c r="M94" s="80" t="s">
        <v>129</v>
      </c>
    </row>
    <row r="95" spans="12:19" x14ac:dyDescent="0.25">
      <c r="L95" s="80" t="s">
        <v>130</v>
      </c>
      <c r="M95" s="80" t="s">
        <v>131</v>
      </c>
    </row>
    <row r="96" spans="12:19" x14ac:dyDescent="0.25">
      <c r="L96" s="80" t="s">
        <v>132</v>
      </c>
      <c r="M96" s="80" t="s">
        <v>133</v>
      </c>
    </row>
    <row r="97" spans="12:13" x14ac:dyDescent="0.25">
      <c r="L97" s="80" t="s">
        <v>134</v>
      </c>
      <c r="M97" s="80" t="s">
        <v>135</v>
      </c>
    </row>
    <row r="98" spans="12:13" x14ac:dyDescent="0.25">
      <c r="L98" s="80" t="s">
        <v>136</v>
      </c>
      <c r="M98" s="80" t="s">
        <v>137</v>
      </c>
    </row>
    <row r="99" spans="12:13" x14ac:dyDescent="0.25">
      <c r="L99" s="80" t="s">
        <v>138</v>
      </c>
      <c r="M99" s="80" t="s">
        <v>139</v>
      </c>
    </row>
    <row r="100" spans="12:13" x14ac:dyDescent="0.25">
      <c r="L100" s="80" t="s">
        <v>140</v>
      </c>
      <c r="M100" s="80" t="s">
        <v>141</v>
      </c>
    </row>
    <row r="101" spans="12:13" x14ac:dyDescent="0.25">
      <c r="L101" s="80" t="s">
        <v>142</v>
      </c>
      <c r="M101" s="80" t="s">
        <v>143</v>
      </c>
    </row>
    <row r="102" spans="12:13" x14ac:dyDescent="0.25">
      <c r="L102" s="80" t="s">
        <v>144</v>
      </c>
      <c r="M102" s="80" t="s">
        <v>145</v>
      </c>
    </row>
    <row r="103" spans="12:13" x14ac:dyDescent="0.25">
      <c r="L103" s="80" t="s">
        <v>146</v>
      </c>
      <c r="M103" s="80" t="s">
        <v>147</v>
      </c>
    </row>
    <row r="104" spans="12:13" x14ac:dyDescent="0.25">
      <c r="L104" s="80" t="s">
        <v>148</v>
      </c>
      <c r="M104" s="80" t="s">
        <v>149</v>
      </c>
    </row>
    <row r="105" spans="12:13" x14ac:dyDescent="0.25">
      <c r="L105" s="80" t="s">
        <v>150</v>
      </c>
      <c r="M105" s="80" t="s">
        <v>151</v>
      </c>
    </row>
    <row r="106" spans="12:13" x14ac:dyDescent="0.25">
      <c r="L106" s="80" t="s">
        <v>152</v>
      </c>
      <c r="M106" s="80" t="s">
        <v>153</v>
      </c>
    </row>
    <row r="107" spans="12:13" x14ac:dyDescent="0.25">
      <c r="L107" s="80" t="s">
        <v>154</v>
      </c>
      <c r="M107" s="80" t="s">
        <v>155</v>
      </c>
    </row>
    <row r="108" spans="12:13" x14ac:dyDescent="0.25">
      <c r="L108" s="80" t="s">
        <v>156</v>
      </c>
      <c r="M108" s="80" t="s">
        <v>157</v>
      </c>
    </row>
    <row r="109" spans="12:13" x14ac:dyDescent="0.25">
      <c r="L109" s="80" t="s">
        <v>158</v>
      </c>
      <c r="M109" s="80" t="s">
        <v>159</v>
      </c>
    </row>
    <row r="110" spans="12:13" x14ac:dyDescent="0.25">
      <c r="L110" s="80" t="s">
        <v>160</v>
      </c>
      <c r="M110" s="80" t="s">
        <v>161</v>
      </c>
    </row>
    <row r="111" spans="12:13" x14ac:dyDescent="0.25">
      <c r="L111" s="80" t="s">
        <v>162</v>
      </c>
      <c r="M111" s="80" t="s">
        <v>163</v>
      </c>
    </row>
    <row r="112" spans="12:13" x14ac:dyDescent="0.25">
      <c r="L112" s="80" t="s">
        <v>164</v>
      </c>
      <c r="M112" s="80" t="s">
        <v>165</v>
      </c>
    </row>
    <row r="113" spans="12:13" x14ac:dyDescent="0.25">
      <c r="L113" s="80" t="s">
        <v>166</v>
      </c>
      <c r="M113" s="80" t="s">
        <v>167</v>
      </c>
    </row>
    <row r="114" spans="12:13" x14ac:dyDescent="0.25">
      <c r="L114" s="80" t="s">
        <v>168</v>
      </c>
      <c r="M114" s="80" t="s">
        <v>169</v>
      </c>
    </row>
    <row r="115" spans="12:13" x14ac:dyDescent="0.25">
      <c r="L115" s="80" t="s">
        <v>170</v>
      </c>
      <c r="M115" s="80" t="s">
        <v>171</v>
      </c>
    </row>
    <row r="116" spans="12:13" x14ac:dyDescent="0.25">
      <c r="L116" s="80" t="s">
        <v>172</v>
      </c>
      <c r="M116" s="80" t="s">
        <v>173</v>
      </c>
    </row>
    <row r="117" spans="12:13" x14ac:dyDescent="0.25">
      <c r="L117" s="80" t="s">
        <v>174</v>
      </c>
      <c r="M117" s="80" t="s">
        <v>175</v>
      </c>
    </row>
    <row r="118" spans="12:13" x14ac:dyDescent="0.25">
      <c r="L118" s="80" t="s">
        <v>176</v>
      </c>
      <c r="M118" s="80" t="s">
        <v>177</v>
      </c>
    </row>
    <row r="119" spans="12:13" x14ac:dyDescent="0.25">
      <c r="L119" s="80" t="s">
        <v>178</v>
      </c>
      <c r="M119" s="80" t="s">
        <v>179</v>
      </c>
    </row>
    <row r="120" spans="12:13" x14ac:dyDescent="0.25">
      <c r="L120" s="80" t="s">
        <v>180</v>
      </c>
      <c r="M120" s="80" t="s">
        <v>181</v>
      </c>
    </row>
    <row r="121" spans="12:13" x14ac:dyDescent="0.25">
      <c r="L121" s="80" t="s">
        <v>182</v>
      </c>
      <c r="M121" s="80" t="s">
        <v>183</v>
      </c>
    </row>
    <row r="122" spans="12:13" x14ac:dyDescent="0.25">
      <c r="L122" s="80" t="s">
        <v>184</v>
      </c>
      <c r="M122" s="80" t="s">
        <v>185</v>
      </c>
    </row>
    <row r="123" spans="12:13" x14ac:dyDescent="0.25">
      <c r="L123" s="80" t="s">
        <v>186</v>
      </c>
      <c r="M123" s="80" t="s">
        <v>187</v>
      </c>
    </row>
    <row r="124" spans="12:13" x14ac:dyDescent="0.25">
      <c r="L124" s="80" t="s">
        <v>188</v>
      </c>
      <c r="M124" s="80" t="s">
        <v>189</v>
      </c>
    </row>
    <row r="125" spans="12:13" x14ac:dyDescent="0.25">
      <c r="L125" s="80" t="s">
        <v>190</v>
      </c>
      <c r="M125" s="80" t="s">
        <v>191</v>
      </c>
    </row>
    <row r="126" spans="12:13" x14ac:dyDescent="0.25">
      <c r="L126" s="80" t="s">
        <v>192</v>
      </c>
      <c r="M126" s="80" t="s">
        <v>193</v>
      </c>
    </row>
    <row r="127" spans="12:13" x14ac:dyDescent="0.25">
      <c r="L127" s="80" t="s">
        <v>194</v>
      </c>
      <c r="M127" s="80" t="s">
        <v>195</v>
      </c>
    </row>
    <row r="128" spans="12:13" x14ac:dyDescent="0.25">
      <c r="L128" s="80" t="s">
        <v>196</v>
      </c>
      <c r="M128" s="80" t="s">
        <v>197</v>
      </c>
    </row>
    <row r="129" spans="12:13" x14ac:dyDescent="0.25">
      <c r="L129" s="80" t="s">
        <v>198</v>
      </c>
      <c r="M129" s="80" t="s">
        <v>199</v>
      </c>
    </row>
    <row r="130" spans="12:13" x14ac:dyDescent="0.25">
      <c r="L130" s="80" t="s">
        <v>200</v>
      </c>
      <c r="M130" s="80" t="s">
        <v>201</v>
      </c>
    </row>
    <row r="131" spans="12:13" x14ac:dyDescent="0.25">
      <c r="L131" s="80" t="s">
        <v>202</v>
      </c>
      <c r="M131" s="80" t="s">
        <v>203</v>
      </c>
    </row>
    <row r="132" spans="12:13" x14ac:dyDescent="0.25">
      <c r="L132" s="80" t="s">
        <v>204</v>
      </c>
      <c r="M132" s="80" t="s">
        <v>205</v>
      </c>
    </row>
    <row r="133" spans="12:13" x14ac:dyDescent="0.25">
      <c r="L133" s="80" t="s">
        <v>206</v>
      </c>
      <c r="M133" s="80" t="s">
        <v>207</v>
      </c>
    </row>
    <row r="134" spans="12:13" x14ac:dyDescent="0.25">
      <c r="L134" s="80" t="s">
        <v>208</v>
      </c>
      <c r="M134" s="80" t="s">
        <v>209</v>
      </c>
    </row>
    <row r="135" spans="12:13" x14ac:dyDescent="0.25">
      <c r="L135" s="80" t="s">
        <v>210</v>
      </c>
      <c r="M135" s="80" t="s">
        <v>211</v>
      </c>
    </row>
    <row r="136" spans="12:13" x14ac:dyDescent="0.25">
      <c r="L136" s="80" t="s">
        <v>212</v>
      </c>
      <c r="M136" s="80" t="s">
        <v>213</v>
      </c>
    </row>
    <row r="137" spans="12:13" x14ac:dyDescent="0.25">
      <c r="L137" s="80" t="s">
        <v>214</v>
      </c>
      <c r="M137" s="80" t="s">
        <v>215</v>
      </c>
    </row>
    <row r="138" spans="12:13" x14ac:dyDescent="0.25">
      <c r="L138" s="80" t="s">
        <v>216</v>
      </c>
      <c r="M138" s="80" t="s">
        <v>217</v>
      </c>
    </row>
    <row r="139" spans="12:13" x14ac:dyDescent="0.25">
      <c r="L139" s="80" t="s">
        <v>218</v>
      </c>
      <c r="M139" s="80" t="s">
        <v>219</v>
      </c>
    </row>
    <row r="140" spans="12:13" x14ac:dyDescent="0.25">
      <c r="L140" s="80" t="s">
        <v>220</v>
      </c>
      <c r="M140" s="80" t="s">
        <v>221</v>
      </c>
    </row>
    <row r="141" spans="12:13" x14ac:dyDescent="0.25">
      <c r="L141" s="80" t="s">
        <v>222</v>
      </c>
      <c r="M141" s="80" t="s">
        <v>223</v>
      </c>
    </row>
    <row r="142" spans="12:13" x14ac:dyDescent="0.25">
      <c r="L142" s="80" t="s">
        <v>224</v>
      </c>
      <c r="M142" s="80" t="s">
        <v>225</v>
      </c>
    </row>
    <row r="143" spans="12:13" x14ac:dyDescent="0.25">
      <c r="L143" s="80" t="s">
        <v>226</v>
      </c>
      <c r="M143" s="80" t="s">
        <v>227</v>
      </c>
    </row>
    <row r="144" spans="12:13" x14ac:dyDescent="0.25">
      <c r="L144" s="80" t="s">
        <v>228</v>
      </c>
      <c r="M144" s="80" t="s">
        <v>229</v>
      </c>
    </row>
    <row r="145" spans="12:13" x14ac:dyDescent="0.25">
      <c r="L145" s="80" t="s">
        <v>230</v>
      </c>
      <c r="M145" s="80" t="s">
        <v>231</v>
      </c>
    </row>
    <row r="146" spans="12:13" x14ac:dyDescent="0.25">
      <c r="L146" s="80" t="s">
        <v>232</v>
      </c>
      <c r="M146" s="80" t="s">
        <v>233</v>
      </c>
    </row>
    <row r="147" spans="12:13" x14ac:dyDescent="0.25">
      <c r="L147" s="80" t="s">
        <v>234</v>
      </c>
      <c r="M147" s="80" t="s">
        <v>235</v>
      </c>
    </row>
    <row r="148" spans="12:13" x14ac:dyDescent="0.25">
      <c r="L148" s="80" t="s">
        <v>236</v>
      </c>
      <c r="M148" s="80" t="s">
        <v>237</v>
      </c>
    </row>
    <row r="149" spans="12:13" x14ac:dyDescent="0.25">
      <c r="L149" s="80" t="s">
        <v>238</v>
      </c>
      <c r="M149" s="80" t="s">
        <v>239</v>
      </c>
    </row>
    <row r="150" spans="12:13" x14ac:dyDescent="0.25">
      <c r="L150" s="80" t="s">
        <v>240</v>
      </c>
      <c r="M150" s="80" t="s">
        <v>241</v>
      </c>
    </row>
    <row r="151" spans="12:13" x14ac:dyDescent="0.25">
      <c r="L151" s="80" t="s">
        <v>242</v>
      </c>
      <c r="M151" s="80" t="s">
        <v>243</v>
      </c>
    </row>
    <row r="152" spans="12:13" x14ac:dyDescent="0.25">
      <c r="L152" s="80" t="s">
        <v>244</v>
      </c>
      <c r="M152" s="80" t="s">
        <v>245</v>
      </c>
    </row>
    <row r="153" spans="12:13" x14ac:dyDescent="0.25">
      <c r="L153" s="80" t="s">
        <v>246</v>
      </c>
      <c r="M153" s="80" t="s">
        <v>247</v>
      </c>
    </row>
    <row r="154" spans="12:13" x14ac:dyDescent="0.25">
      <c r="L154" s="80" t="s">
        <v>248</v>
      </c>
      <c r="M154" s="80" t="s">
        <v>249</v>
      </c>
    </row>
    <row r="155" spans="12:13" x14ac:dyDescent="0.25">
      <c r="L155" s="80" t="s">
        <v>250</v>
      </c>
      <c r="M155" s="80" t="s">
        <v>251</v>
      </c>
    </row>
    <row r="156" spans="12:13" x14ac:dyDescent="0.25">
      <c r="L156" s="80" t="s">
        <v>252</v>
      </c>
      <c r="M156" s="80" t="s">
        <v>253</v>
      </c>
    </row>
    <row r="157" spans="12:13" x14ac:dyDescent="0.25">
      <c r="L157" s="80" t="s">
        <v>254</v>
      </c>
      <c r="M157" s="80" t="s">
        <v>255</v>
      </c>
    </row>
    <row r="158" spans="12:13" x14ac:dyDescent="0.25">
      <c r="L158" s="80" t="s">
        <v>256</v>
      </c>
      <c r="M158" s="80" t="s">
        <v>257</v>
      </c>
    </row>
    <row r="159" spans="12:13" x14ac:dyDescent="0.25">
      <c r="L159" s="80" t="s">
        <v>258</v>
      </c>
      <c r="M159" s="80" t="s">
        <v>259</v>
      </c>
    </row>
    <row r="160" spans="12:13" x14ac:dyDescent="0.25">
      <c r="L160" s="80" t="s">
        <v>260</v>
      </c>
      <c r="M160" s="80" t="s">
        <v>261</v>
      </c>
    </row>
    <row r="161" spans="12:13" x14ac:dyDescent="0.25">
      <c r="L161" s="80" t="s">
        <v>262</v>
      </c>
      <c r="M161" s="80" t="s">
        <v>263</v>
      </c>
    </row>
    <row r="162" spans="12:13" x14ac:dyDescent="0.25">
      <c r="L162" s="80" t="s">
        <v>264</v>
      </c>
      <c r="M162" s="80" t="s">
        <v>265</v>
      </c>
    </row>
    <row r="163" spans="12:13" x14ac:dyDescent="0.25">
      <c r="L163" s="80" t="s">
        <v>266</v>
      </c>
      <c r="M163" s="80" t="s">
        <v>267</v>
      </c>
    </row>
    <row r="164" spans="12:13" x14ac:dyDescent="0.25">
      <c r="L164" s="80" t="s">
        <v>268</v>
      </c>
      <c r="M164" s="80" t="s">
        <v>269</v>
      </c>
    </row>
    <row r="165" spans="12:13" x14ac:dyDescent="0.25">
      <c r="L165" s="80" t="s">
        <v>270</v>
      </c>
      <c r="M165" s="80" t="s">
        <v>271</v>
      </c>
    </row>
    <row r="166" spans="12:13" x14ac:dyDescent="0.25">
      <c r="L166" s="80" t="s">
        <v>272</v>
      </c>
      <c r="M166" s="80" t="s">
        <v>273</v>
      </c>
    </row>
    <row r="167" spans="12:13" x14ac:dyDescent="0.25">
      <c r="L167" s="80" t="s">
        <v>274</v>
      </c>
      <c r="M167" s="80" t="s">
        <v>275</v>
      </c>
    </row>
    <row r="168" spans="12:13" x14ac:dyDescent="0.25">
      <c r="L168" s="80" t="s">
        <v>276</v>
      </c>
      <c r="M168" s="80" t="s">
        <v>277</v>
      </c>
    </row>
    <row r="169" spans="12:13" x14ac:dyDescent="0.25">
      <c r="L169" s="80" t="s">
        <v>278</v>
      </c>
      <c r="M169" s="80" t="s">
        <v>279</v>
      </c>
    </row>
    <row r="170" spans="12:13" x14ac:dyDescent="0.25">
      <c r="L170" s="80" t="s">
        <v>280</v>
      </c>
      <c r="M170" s="80" t="s">
        <v>281</v>
      </c>
    </row>
    <row r="171" spans="12:13" x14ac:dyDescent="0.25">
      <c r="L171" s="80" t="s">
        <v>282</v>
      </c>
      <c r="M171" s="80" t="s">
        <v>283</v>
      </c>
    </row>
    <row r="172" spans="12:13" x14ac:dyDescent="0.25">
      <c r="L172" s="80" t="s">
        <v>284</v>
      </c>
      <c r="M172" s="80" t="s">
        <v>285</v>
      </c>
    </row>
    <row r="173" spans="12:13" x14ac:dyDescent="0.25">
      <c r="L173" s="80" t="s">
        <v>286</v>
      </c>
      <c r="M173" s="80" t="s">
        <v>287</v>
      </c>
    </row>
    <row r="174" spans="12:13" x14ac:dyDescent="0.25">
      <c r="L174" s="80" t="s">
        <v>288</v>
      </c>
      <c r="M174" s="80" t="s">
        <v>289</v>
      </c>
    </row>
    <row r="175" spans="12:13" x14ac:dyDescent="0.25">
      <c r="L175" s="80" t="s">
        <v>290</v>
      </c>
      <c r="M175" s="80" t="s">
        <v>291</v>
      </c>
    </row>
    <row r="176" spans="12:13" x14ac:dyDescent="0.25">
      <c r="L176" s="80" t="s">
        <v>292</v>
      </c>
      <c r="M176" s="80" t="s">
        <v>293</v>
      </c>
    </row>
    <row r="177" spans="12:13" x14ac:dyDescent="0.25">
      <c r="L177" s="80" t="s">
        <v>294</v>
      </c>
      <c r="M177" s="80" t="s">
        <v>295</v>
      </c>
    </row>
    <row r="178" spans="12:13" x14ac:dyDescent="0.25">
      <c r="L178" s="80" t="s">
        <v>296</v>
      </c>
      <c r="M178" s="80" t="s">
        <v>297</v>
      </c>
    </row>
    <row r="179" spans="12:13" x14ac:dyDescent="0.25">
      <c r="L179" s="80" t="s">
        <v>298</v>
      </c>
      <c r="M179" s="80" t="s">
        <v>299</v>
      </c>
    </row>
    <row r="180" spans="12:13" x14ac:dyDescent="0.25">
      <c r="L180" s="80" t="s">
        <v>300</v>
      </c>
      <c r="M180" s="80" t="s">
        <v>301</v>
      </c>
    </row>
    <row r="181" spans="12:13" x14ac:dyDescent="0.25">
      <c r="L181" s="80" t="s">
        <v>302</v>
      </c>
      <c r="M181" s="80" t="s">
        <v>303</v>
      </c>
    </row>
    <row r="182" spans="12:13" x14ac:dyDescent="0.25">
      <c r="L182" s="80" t="s">
        <v>304</v>
      </c>
      <c r="M182" s="80" t="s">
        <v>305</v>
      </c>
    </row>
    <row r="183" spans="12:13" x14ac:dyDescent="0.25">
      <c r="L183" s="80" t="s">
        <v>306</v>
      </c>
      <c r="M183" s="80" t="s">
        <v>307</v>
      </c>
    </row>
    <row r="184" spans="12:13" x14ac:dyDescent="0.25">
      <c r="L184" s="80" t="s">
        <v>308</v>
      </c>
      <c r="M184" s="80" t="s">
        <v>309</v>
      </c>
    </row>
    <row r="185" spans="12:13" x14ac:dyDescent="0.25">
      <c r="L185" s="80" t="s">
        <v>310</v>
      </c>
      <c r="M185" s="80" t="s">
        <v>311</v>
      </c>
    </row>
    <row r="186" spans="12:13" x14ac:dyDescent="0.25">
      <c r="L186" s="80" t="s">
        <v>312</v>
      </c>
      <c r="M186" s="80" t="s">
        <v>313</v>
      </c>
    </row>
    <row r="187" spans="12:13" x14ac:dyDescent="0.25">
      <c r="L187" s="80" t="s">
        <v>314</v>
      </c>
      <c r="M187" s="80" t="s">
        <v>315</v>
      </c>
    </row>
    <row r="188" spans="12:13" x14ac:dyDescent="0.25">
      <c r="L188" s="80" t="s">
        <v>316</v>
      </c>
      <c r="M188" s="80" t="s">
        <v>317</v>
      </c>
    </row>
    <row r="189" spans="12:13" x14ac:dyDescent="0.25">
      <c r="L189" s="80" t="s">
        <v>318</v>
      </c>
      <c r="M189" s="80" t="s">
        <v>319</v>
      </c>
    </row>
    <row r="190" spans="12:13" x14ac:dyDescent="0.25">
      <c r="L190" s="80" t="s">
        <v>320</v>
      </c>
      <c r="M190" s="80" t="s">
        <v>321</v>
      </c>
    </row>
    <row r="191" spans="12:13" x14ac:dyDescent="0.25">
      <c r="L191" s="80" t="s">
        <v>322</v>
      </c>
      <c r="M191" s="80" t="s">
        <v>323</v>
      </c>
    </row>
    <row r="192" spans="12:13" x14ac:dyDescent="0.25">
      <c r="L192" s="80" t="s">
        <v>324</v>
      </c>
      <c r="M192" s="80" t="s">
        <v>325</v>
      </c>
    </row>
    <row r="193" spans="12:13" x14ac:dyDescent="0.25">
      <c r="L193" s="80" t="s">
        <v>326</v>
      </c>
      <c r="M193" s="80" t="s">
        <v>327</v>
      </c>
    </row>
    <row r="194" spans="12:13" x14ac:dyDescent="0.25">
      <c r="L194" s="80" t="s">
        <v>328</v>
      </c>
      <c r="M194" s="80" t="s">
        <v>329</v>
      </c>
    </row>
    <row r="195" spans="12:13" x14ac:dyDescent="0.25">
      <c r="L195" s="80" t="s">
        <v>330</v>
      </c>
      <c r="M195" s="80" t="s">
        <v>331</v>
      </c>
    </row>
    <row r="196" spans="12:13" x14ac:dyDescent="0.25">
      <c r="L196" s="80" t="s">
        <v>332</v>
      </c>
      <c r="M196" s="80" t="s">
        <v>333</v>
      </c>
    </row>
    <row r="197" spans="12:13" x14ac:dyDescent="0.25">
      <c r="L197" s="80" t="s">
        <v>334</v>
      </c>
      <c r="M197" s="80" t="s">
        <v>335</v>
      </c>
    </row>
    <row r="198" spans="12:13" x14ac:dyDescent="0.25">
      <c r="L198" s="80" t="s">
        <v>336</v>
      </c>
      <c r="M198" s="80" t="s">
        <v>337</v>
      </c>
    </row>
    <row r="199" spans="12:13" x14ac:dyDescent="0.25">
      <c r="L199" s="80" t="s">
        <v>338</v>
      </c>
      <c r="M199" s="80" t="s">
        <v>339</v>
      </c>
    </row>
    <row r="200" spans="12:13" x14ac:dyDescent="0.25">
      <c r="L200" s="80" t="s">
        <v>340</v>
      </c>
      <c r="M200" s="80" t="s">
        <v>341</v>
      </c>
    </row>
    <row r="201" spans="12:13" x14ac:dyDescent="0.25">
      <c r="L201" s="80" t="s">
        <v>342</v>
      </c>
      <c r="M201" s="80" t="s">
        <v>343</v>
      </c>
    </row>
    <row r="202" spans="12:13" x14ac:dyDescent="0.25">
      <c r="L202" s="80" t="s">
        <v>344</v>
      </c>
      <c r="M202" s="80" t="s">
        <v>345</v>
      </c>
    </row>
    <row r="203" spans="12:13" x14ac:dyDescent="0.25">
      <c r="L203" s="80" t="s">
        <v>346</v>
      </c>
      <c r="M203" s="80" t="s">
        <v>347</v>
      </c>
    </row>
    <row r="204" spans="12:13" x14ac:dyDescent="0.25">
      <c r="L204" s="80" t="s">
        <v>348</v>
      </c>
      <c r="M204" s="80" t="s">
        <v>349</v>
      </c>
    </row>
    <row r="205" spans="12:13" x14ac:dyDescent="0.25">
      <c r="L205" s="80" t="s">
        <v>350</v>
      </c>
      <c r="M205" s="80" t="s">
        <v>351</v>
      </c>
    </row>
    <row r="206" spans="12:13" x14ac:dyDescent="0.25">
      <c r="L206" s="80" t="s">
        <v>352</v>
      </c>
      <c r="M206" s="80" t="s">
        <v>353</v>
      </c>
    </row>
    <row r="207" spans="12:13" x14ac:dyDescent="0.25">
      <c r="L207" s="80" t="s">
        <v>354</v>
      </c>
      <c r="M207" s="80" t="s">
        <v>355</v>
      </c>
    </row>
    <row r="208" spans="12:13" x14ac:dyDescent="0.25">
      <c r="L208" s="80" t="s">
        <v>356</v>
      </c>
      <c r="M208" s="80" t="s">
        <v>357</v>
      </c>
    </row>
    <row r="209" spans="12:13" x14ac:dyDescent="0.25">
      <c r="L209" s="80" t="s">
        <v>358</v>
      </c>
      <c r="M209" s="80" t="s">
        <v>359</v>
      </c>
    </row>
    <row r="210" spans="12:13" x14ac:dyDescent="0.25">
      <c r="L210" s="80" t="s">
        <v>360</v>
      </c>
      <c r="M210" s="80" t="s">
        <v>361</v>
      </c>
    </row>
    <row r="211" spans="12:13" x14ac:dyDescent="0.25">
      <c r="L211" s="80" t="s">
        <v>362</v>
      </c>
      <c r="M211" s="80" t="s">
        <v>363</v>
      </c>
    </row>
    <row r="212" spans="12:13" x14ac:dyDescent="0.25">
      <c r="L212" s="80" t="s">
        <v>364</v>
      </c>
      <c r="M212" s="80" t="s">
        <v>365</v>
      </c>
    </row>
    <row r="213" spans="12:13" x14ac:dyDescent="0.25">
      <c r="L213" s="80" t="s">
        <v>366</v>
      </c>
      <c r="M213" s="80" t="s">
        <v>367</v>
      </c>
    </row>
    <row r="214" spans="12:13" x14ac:dyDescent="0.25">
      <c r="L214" s="80" t="s">
        <v>368</v>
      </c>
      <c r="M214" s="80" t="s">
        <v>369</v>
      </c>
    </row>
    <row r="215" spans="12:13" x14ac:dyDescent="0.25">
      <c r="L215" s="80" t="s">
        <v>370</v>
      </c>
      <c r="M215" s="80" t="s">
        <v>371</v>
      </c>
    </row>
    <row r="216" spans="12:13" x14ac:dyDescent="0.25">
      <c r="L216" s="80" t="s">
        <v>372</v>
      </c>
      <c r="M216" s="80" t="s">
        <v>373</v>
      </c>
    </row>
    <row r="217" spans="12:13" x14ac:dyDescent="0.25">
      <c r="L217" s="80" t="s">
        <v>374</v>
      </c>
      <c r="M217" s="80" t="s">
        <v>375</v>
      </c>
    </row>
    <row r="218" spans="12:13" x14ac:dyDescent="0.25">
      <c r="L218" s="80" t="s">
        <v>376</v>
      </c>
      <c r="M218" s="80" t="s">
        <v>377</v>
      </c>
    </row>
    <row r="219" spans="12:13" x14ac:dyDescent="0.25">
      <c r="L219" s="80" t="s">
        <v>378</v>
      </c>
      <c r="M219" s="80" t="s">
        <v>379</v>
      </c>
    </row>
    <row r="220" spans="12:13" x14ac:dyDescent="0.25">
      <c r="L220" s="80" t="s">
        <v>380</v>
      </c>
      <c r="M220" s="80" t="s">
        <v>381</v>
      </c>
    </row>
    <row r="221" spans="12:13" x14ac:dyDescent="0.25">
      <c r="L221" s="80" t="s">
        <v>382</v>
      </c>
      <c r="M221" s="80" t="s">
        <v>383</v>
      </c>
    </row>
    <row r="222" spans="12:13" x14ac:dyDescent="0.25">
      <c r="L222" s="80" t="s">
        <v>384</v>
      </c>
      <c r="M222" s="80" t="s">
        <v>385</v>
      </c>
    </row>
    <row r="223" spans="12:13" x14ac:dyDescent="0.25">
      <c r="L223" s="80" t="s">
        <v>386</v>
      </c>
      <c r="M223" s="80" t="s">
        <v>387</v>
      </c>
    </row>
    <row r="224" spans="12:13" x14ac:dyDescent="0.25">
      <c r="L224" s="80" t="s">
        <v>388</v>
      </c>
      <c r="M224" s="80" t="s">
        <v>389</v>
      </c>
    </row>
    <row r="225" spans="12:13" x14ac:dyDescent="0.25">
      <c r="L225" s="80" t="s">
        <v>390</v>
      </c>
      <c r="M225" s="80" t="s">
        <v>391</v>
      </c>
    </row>
    <row r="226" spans="12:13" x14ac:dyDescent="0.25">
      <c r="L226" s="80" t="s">
        <v>392</v>
      </c>
      <c r="M226" s="80" t="s">
        <v>393</v>
      </c>
    </row>
    <row r="227" spans="12:13" x14ac:dyDescent="0.25">
      <c r="L227" s="80" t="s">
        <v>394</v>
      </c>
      <c r="M227" s="80" t="s">
        <v>395</v>
      </c>
    </row>
    <row r="228" spans="12:13" x14ac:dyDescent="0.25">
      <c r="L228" s="80" t="s">
        <v>396</v>
      </c>
      <c r="M228" s="80" t="s">
        <v>397</v>
      </c>
    </row>
    <row r="229" spans="12:13" x14ac:dyDescent="0.25">
      <c r="L229" s="80" t="s">
        <v>398</v>
      </c>
      <c r="M229" s="80" t="s">
        <v>399</v>
      </c>
    </row>
    <row r="230" spans="12:13" x14ac:dyDescent="0.25">
      <c r="L230" s="80" t="s">
        <v>400</v>
      </c>
      <c r="M230" s="80" t="s">
        <v>401</v>
      </c>
    </row>
    <row r="231" spans="12:13" x14ac:dyDescent="0.25">
      <c r="L231" s="80" t="s">
        <v>402</v>
      </c>
      <c r="M231" s="80" t="s">
        <v>403</v>
      </c>
    </row>
    <row r="232" spans="12:13" x14ac:dyDescent="0.25">
      <c r="L232" s="80" t="s">
        <v>404</v>
      </c>
      <c r="M232" s="80" t="s">
        <v>405</v>
      </c>
    </row>
    <row r="233" spans="12:13" x14ac:dyDescent="0.25">
      <c r="L233" s="80" t="s">
        <v>406</v>
      </c>
      <c r="M233" s="80" t="s">
        <v>407</v>
      </c>
    </row>
    <row r="234" spans="12:13" x14ac:dyDescent="0.25">
      <c r="L234" s="80" t="s">
        <v>408</v>
      </c>
      <c r="M234" s="80" t="s">
        <v>409</v>
      </c>
    </row>
    <row r="235" spans="12:13" x14ac:dyDescent="0.25">
      <c r="L235" s="80" t="s">
        <v>410</v>
      </c>
      <c r="M235" s="80" t="s">
        <v>411</v>
      </c>
    </row>
    <row r="236" spans="12:13" x14ac:dyDescent="0.25">
      <c r="L236" s="80" t="s">
        <v>412</v>
      </c>
      <c r="M236" s="80" t="s">
        <v>413</v>
      </c>
    </row>
    <row r="237" spans="12:13" x14ac:dyDescent="0.25">
      <c r="L237" s="80" t="s">
        <v>414</v>
      </c>
      <c r="M237" s="80" t="s">
        <v>415</v>
      </c>
    </row>
    <row r="238" spans="12:13" x14ac:dyDescent="0.25">
      <c r="L238" s="80" t="s">
        <v>416</v>
      </c>
      <c r="M238" s="80" t="s">
        <v>417</v>
      </c>
    </row>
    <row r="239" spans="12:13" x14ac:dyDescent="0.25">
      <c r="L239" s="80" t="s">
        <v>418</v>
      </c>
      <c r="M239" s="80" t="s">
        <v>419</v>
      </c>
    </row>
    <row r="240" spans="12:13" x14ac:dyDescent="0.25">
      <c r="L240" s="80" t="s">
        <v>420</v>
      </c>
      <c r="M240" s="80" t="s">
        <v>421</v>
      </c>
    </row>
    <row r="241" spans="12:13" x14ac:dyDescent="0.25">
      <c r="L241" s="80" t="s">
        <v>422</v>
      </c>
      <c r="M241" s="80" t="s">
        <v>423</v>
      </c>
    </row>
    <row r="242" spans="12:13" x14ac:dyDescent="0.25">
      <c r="L242" s="80" t="s">
        <v>424</v>
      </c>
      <c r="M242" s="80" t="s">
        <v>425</v>
      </c>
    </row>
    <row r="243" spans="12:13" x14ac:dyDescent="0.25">
      <c r="L243" s="80" t="s">
        <v>426</v>
      </c>
      <c r="M243" s="80" t="s">
        <v>427</v>
      </c>
    </row>
    <row r="244" spans="12:13" x14ac:dyDescent="0.25">
      <c r="L244" s="80" t="s">
        <v>428</v>
      </c>
      <c r="M244" s="80" t="s">
        <v>429</v>
      </c>
    </row>
    <row r="245" spans="12:13" x14ac:dyDescent="0.25">
      <c r="L245" s="80" t="s">
        <v>430</v>
      </c>
      <c r="M245" s="80" t="s">
        <v>431</v>
      </c>
    </row>
    <row r="246" spans="12:13" x14ac:dyDescent="0.25">
      <c r="L246" s="80" t="s">
        <v>432</v>
      </c>
      <c r="M246" s="80" t="s">
        <v>433</v>
      </c>
    </row>
    <row r="247" spans="12:13" x14ac:dyDescent="0.25">
      <c r="L247" s="80" t="s">
        <v>434</v>
      </c>
      <c r="M247" s="80" t="s">
        <v>435</v>
      </c>
    </row>
    <row r="248" spans="12:13" x14ac:dyDescent="0.25">
      <c r="L248" s="80" t="s">
        <v>436</v>
      </c>
      <c r="M248" s="80" t="s">
        <v>437</v>
      </c>
    </row>
    <row r="249" spans="12:13" x14ac:dyDescent="0.25">
      <c r="L249" s="80" t="s">
        <v>438</v>
      </c>
      <c r="M249" s="80" t="s">
        <v>439</v>
      </c>
    </row>
    <row r="250" spans="12:13" x14ac:dyDescent="0.25">
      <c r="L250" s="80" t="s">
        <v>440</v>
      </c>
      <c r="M250" s="80" t="s">
        <v>441</v>
      </c>
    </row>
    <row r="251" spans="12:13" x14ac:dyDescent="0.25">
      <c r="L251" s="80" t="s">
        <v>442</v>
      </c>
      <c r="M251" s="80" t="s">
        <v>443</v>
      </c>
    </row>
    <row r="252" spans="12:13" x14ac:dyDescent="0.25">
      <c r="L252" s="80" t="s">
        <v>444</v>
      </c>
      <c r="M252" s="80" t="s">
        <v>445</v>
      </c>
    </row>
    <row r="253" spans="12:13" x14ac:dyDescent="0.25">
      <c r="L253" s="80" t="s">
        <v>446</v>
      </c>
      <c r="M253" s="80" t="s">
        <v>447</v>
      </c>
    </row>
    <row r="254" spans="12:13" x14ac:dyDescent="0.25">
      <c r="L254" s="80" t="s">
        <v>448</v>
      </c>
      <c r="M254" s="80" t="s">
        <v>449</v>
      </c>
    </row>
    <row r="255" spans="12:13" x14ac:dyDescent="0.25">
      <c r="L255" s="80" t="s">
        <v>450</v>
      </c>
      <c r="M255" s="80" t="s">
        <v>451</v>
      </c>
    </row>
    <row r="256" spans="12:13" x14ac:dyDescent="0.25">
      <c r="L256" s="80" t="s">
        <v>452</v>
      </c>
      <c r="M256" s="80" t="s">
        <v>453</v>
      </c>
    </row>
    <row r="257" spans="12:13" x14ac:dyDescent="0.25">
      <c r="L257" s="80" t="s">
        <v>454</v>
      </c>
      <c r="M257" s="80" t="s">
        <v>455</v>
      </c>
    </row>
    <row r="258" spans="12:13" x14ac:dyDescent="0.25">
      <c r="L258" s="80" t="s">
        <v>456</v>
      </c>
      <c r="M258" s="80" t="s">
        <v>457</v>
      </c>
    </row>
    <row r="259" spans="12:13" x14ac:dyDescent="0.25">
      <c r="L259" s="80" t="s">
        <v>458</v>
      </c>
      <c r="M259" s="80" t="s">
        <v>459</v>
      </c>
    </row>
    <row r="260" spans="12:13" x14ac:dyDescent="0.25">
      <c r="L260" s="80" t="s">
        <v>460</v>
      </c>
      <c r="M260" s="80" t="s">
        <v>461</v>
      </c>
    </row>
    <row r="261" spans="12:13" x14ac:dyDescent="0.25">
      <c r="L261" s="80" t="s">
        <v>462</v>
      </c>
      <c r="M261" s="80" t="s">
        <v>463</v>
      </c>
    </row>
    <row r="262" spans="12:13" x14ac:dyDescent="0.25">
      <c r="L262" s="80" t="s">
        <v>464</v>
      </c>
      <c r="M262" s="80" t="s">
        <v>465</v>
      </c>
    </row>
    <row r="263" spans="12:13" x14ac:dyDescent="0.25">
      <c r="L263" s="80" t="s">
        <v>466</v>
      </c>
      <c r="M263" s="80" t="s">
        <v>467</v>
      </c>
    </row>
    <row r="264" spans="12:13" x14ac:dyDescent="0.25">
      <c r="L264" s="80" t="s">
        <v>468</v>
      </c>
      <c r="M264" s="80" t="s">
        <v>469</v>
      </c>
    </row>
    <row r="265" spans="12:13" x14ac:dyDescent="0.25">
      <c r="L265" s="80" t="s">
        <v>470</v>
      </c>
      <c r="M265" s="80" t="s">
        <v>471</v>
      </c>
    </row>
    <row r="266" spans="12:13" x14ac:dyDescent="0.25">
      <c r="L266" s="80" t="s">
        <v>472</v>
      </c>
      <c r="M266" s="80" t="s">
        <v>473</v>
      </c>
    </row>
    <row r="267" spans="12:13" x14ac:dyDescent="0.25">
      <c r="L267" s="80" t="s">
        <v>474</v>
      </c>
      <c r="M267" s="80" t="s">
        <v>475</v>
      </c>
    </row>
    <row r="268" spans="12:13" x14ac:dyDescent="0.25">
      <c r="L268" s="80" t="s">
        <v>476</v>
      </c>
      <c r="M268" s="80" t="s">
        <v>477</v>
      </c>
    </row>
    <row r="269" spans="12:13" x14ac:dyDescent="0.25">
      <c r="L269" s="80" t="s">
        <v>478</v>
      </c>
      <c r="M269" s="80" t="s">
        <v>479</v>
      </c>
    </row>
    <row r="270" spans="12:13" x14ac:dyDescent="0.25">
      <c r="L270" s="80" t="s">
        <v>480</v>
      </c>
      <c r="M270" s="80" t="s">
        <v>481</v>
      </c>
    </row>
    <row r="271" spans="12:13" x14ac:dyDescent="0.25">
      <c r="L271" s="80" t="s">
        <v>482</v>
      </c>
      <c r="M271" s="80" t="s">
        <v>483</v>
      </c>
    </row>
    <row r="272" spans="12:13" x14ac:dyDescent="0.25">
      <c r="L272" s="80" t="s">
        <v>484</v>
      </c>
      <c r="M272" s="80" t="s">
        <v>485</v>
      </c>
    </row>
    <row r="273" spans="12:13" x14ac:dyDescent="0.25">
      <c r="L273" s="80" t="s">
        <v>486</v>
      </c>
      <c r="M273" s="80" t="s">
        <v>487</v>
      </c>
    </row>
    <row r="274" spans="12:13" x14ac:dyDescent="0.25">
      <c r="L274" s="80" t="s">
        <v>488</v>
      </c>
      <c r="M274" s="80" t="s">
        <v>489</v>
      </c>
    </row>
    <row r="275" spans="12:13" x14ac:dyDescent="0.25">
      <c r="L275" s="80" t="s">
        <v>490</v>
      </c>
      <c r="M275" s="80" t="s">
        <v>491</v>
      </c>
    </row>
    <row r="277" spans="12:13" x14ac:dyDescent="0.25">
      <c r="L277" s="81" t="s">
        <v>492</v>
      </c>
    </row>
    <row r="278" spans="12:13" x14ac:dyDescent="0.25">
      <c r="L278" s="80" t="s">
        <v>493</v>
      </c>
    </row>
    <row r="279" spans="12:13" x14ac:dyDescent="0.25">
      <c r="L279" s="80" t="s">
        <v>494</v>
      </c>
    </row>
    <row r="280" spans="12:13" x14ac:dyDescent="0.25">
      <c r="L280" s="80" t="s">
        <v>495</v>
      </c>
    </row>
    <row r="281" spans="12:13" x14ac:dyDescent="0.25">
      <c r="L281" s="80" t="s">
        <v>496</v>
      </c>
    </row>
    <row r="282" spans="12:13" x14ac:dyDescent="0.25">
      <c r="L282" s="80" t="s">
        <v>497</v>
      </c>
    </row>
    <row r="283" spans="12:13" x14ac:dyDescent="0.25">
      <c r="L283" s="80" t="s">
        <v>498</v>
      </c>
    </row>
    <row r="284" spans="12:13" x14ac:dyDescent="0.25">
      <c r="L284" s="80" t="s">
        <v>499</v>
      </c>
    </row>
    <row r="285" spans="12:13" x14ac:dyDescent="0.25">
      <c r="L285" s="80" t="s">
        <v>500</v>
      </c>
    </row>
    <row r="286" spans="12:13" x14ac:dyDescent="0.25">
      <c r="L286" s="80" t="s">
        <v>501</v>
      </c>
    </row>
    <row r="287" spans="12:13" x14ac:dyDescent="0.25">
      <c r="L287" s="80" t="s">
        <v>502</v>
      </c>
    </row>
    <row r="288" spans="12:13" x14ac:dyDescent="0.25">
      <c r="L288" s="80" t="s">
        <v>503</v>
      </c>
    </row>
    <row r="289" spans="12:12" x14ac:dyDescent="0.25">
      <c r="L289" s="80" t="s">
        <v>504</v>
      </c>
    </row>
    <row r="290" spans="12:12" x14ac:dyDescent="0.25">
      <c r="L290" s="80" t="s">
        <v>505</v>
      </c>
    </row>
    <row r="291" spans="12:12" x14ac:dyDescent="0.25">
      <c r="L291" s="80" t="s">
        <v>506</v>
      </c>
    </row>
    <row r="292" spans="12:12" x14ac:dyDescent="0.25">
      <c r="L292" s="80" t="s">
        <v>507</v>
      </c>
    </row>
    <row r="293" spans="12:12" x14ac:dyDescent="0.25">
      <c r="L293" s="80" t="s">
        <v>508</v>
      </c>
    </row>
    <row r="294" spans="12:12" x14ac:dyDescent="0.25">
      <c r="L294" s="80" t="s">
        <v>509</v>
      </c>
    </row>
    <row r="295" spans="12:12" x14ac:dyDescent="0.25">
      <c r="L295" s="80" t="s">
        <v>510</v>
      </c>
    </row>
    <row r="296" spans="12:12" x14ac:dyDescent="0.25">
      <c r="L296" s="80" t="s">
        <v>511</v>
      </c>
    </row>
    <row r="297" spans="12:12" x14ac:dyDescent="0.25">
      <c r="L297" s="80" t="s">
        <v>512</v>
      </c>
    </row>
    <row r="298" spans="12:12" x14ac:dyDescent="0.25">
      <c r="L298" s="80" t="s">
        <v>513</v>
      </c>
    </row>
    <row r="299" spans="12:12" x14ac:dyDescent="0.25">
      <c r="L299" s="80" t="s">
        <v>514</v>
      </c>
    </row>
    <row r="300" spans="12:12" x14ac:dyDescent="0.25">
      <c r="L300" s="80" t="s">
        <v>515</v>
      </c>
    </row>
    <row r="301" spans="12:12" x14ac:dyDescent="0.25">
      <c r="L301" s="80" t="s">
        <v>516</v>
      </c>
    </row>
    <row r="302" spans="12:12" x14ac:dyDescent="0.25">
      <c r="L302" s="80" t="s">
        <v>517</v>
      </c>
    </row>
    <row r="303" spans="12:12" x14ac:dyDescent="0.25">
      <c r="L303" s="80" t="s">
        <v>518</v>
      </c>
    </row>
    <row r="304" spans="12:12" x14ac:dyDescent="0.25">
      <c r="L304" s="80" t="s">
        <v>519</v>
      </c>
    </row>
    <row r="306" spans="12:12" x14ac:dyDescent="0.25">
      <c r="L306" s="81" t="s">
        <v>520</v>
      </c>
    </row>
    <row r="307" spans="12:12" x14ac:dyDescent="0.25">
      <c r="L307" s="80" t="s">
        <v>521</v>
      </c>
    </row>
    <row r="308" spans="12:12" x14ac:dyDescent="0.25">
      <c r="L308" s="80" t="s">
        <v>522</v>
      </c>
    </row>
    <row r="309" spans="12:12" x14ac:dyDescent="0.25">
      <c r="L309" s="80" t="s">
        <v>523</v>
      </c>
    </row>
    <row r="310" spans="12:12" x14ac:dyDescent="0.25">
      <c r="L310" s="80" t="s">
        <v>524</v>
      </c>
    </row>
    <row r="311" spans="12:12" x14ac:dyDescent="0.25">
      <c r="L311" s="80" t="s">
        <v>525</v>
      </c>
    </row>
    <row r="312" spans="12:12" x14ac:dyDescent="0.25">
      <c r="L312" s="80" t="s">
        <v>526</v>
      </c>
    </row>
    <row r="313" spans="12:12" x14ac:dyDescent="0.25">
      <c r="L313" s="80" t="s">
        <v>527</v>
      </c>
    </row>
    <row r="314" spans="12:12" x14ac:dyDescent="0.25">
      <c r="L314" s="80" t="s">
        <v>528</v>
      </c>
    </row>
    <row r="315" spans="12:12" x14ac:dyDescent="0.25">
      <c r="L315" s="80" t="s">
        <v>529</v>
      </c>
    </row>
    <row r="316" spans="12:12" x14ac:dyDescent="0.25">
      <c r="L316" s="80" t="s">
        <v>530</v>
      </c>
    </row>
    <row r="317" spans="12:12" x14ac:dyDescent="0.25">
      <c r="L317" s="80" t="s">
        <v>531</v>
      </c>
    </row>
    <row r="318" spans="12:12" x14ac:dyDescent="0.25">
      <c r="L318" s="80" t="s">
        <v>532</v>
      </c>
    </row>
    <row r="319" spans="12:12" x14ac:dyDescent="0.25">
      <c r="L319" s="80" t="s">
        <v>533</v>
      </c>
    </row>
    <row r="320" spans="12:12" x14ac:dyDescent="0.25">
      <c r="L320" s="80" t="s">
        <v>534</v>
      </c>
    </row>
    <row r="321" spans="12:12" x14ac:dyDescent="0.25">
      <c r="L321" s="80" t="s">
        <v>535</v>
      </c>
    </row>
    <row r="322" spans="12:12" x14ac:dyDescent="0.25">
      <c r="L322" s="80" t="s">
        <v>536</v>
      </c>
    </row>
    <row r="323" spans="12:12" x14ac:dyDescent="0.25">
      <c r="L323" s="80" t="s">
        <v>537</v>
      </c>
    </row>
    <row r="324" spans="12:12" x14ac:dyDescent="0.25">
      <c r="L324" s="80" t="s">
        <v>538</v>
      </c>
    </row>
    <row r="325" spans="12:12" x14ac:dyDescent="0.25">
      <c r="L325" s="80" t="s">
        <v>539</v>
      </c>
    </row>
  </sheetData>
  <mergeCells count="3">
    <mergeCell ref="C3:F3"/>
    <mergeCell ref="D23:F23"/>
    <mergeCell ref="D24:F24"/>
  </mergeCells>
  <dataValidations count="1"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CheckBox1">
              <controlPr defaultSize="0" autoFill="0" autoLine="0" autoPict="0">
                <anchor moveWithCells="1">
                  <from>
                    <xdr:col>2</xdr:col>
                    <xdr:colOff>504825</xdr:colOff>
                    <xdr:row>12</xdr:row>
                    <xdr:rowOff>161925</xdr:rowOff>
                  </from>
                  <to>
                    <xdr:col>3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CheckBox2">
              <controlPr defaultSize="0" autoFill="0" autoLine="0" autoPict="0">
                <anchor moveWithCells="1">
                  <from>
                    <xdr:col>2</xdr:col>
                    <xdr:colOff>533400</xdr:colOff>
                    <xdr:row>15</xdr:row>
                    <xdr:rowOff>114300</xdr:rowOff>
                  </from>
                  <to>
                    <xdr:col>3</xdr:col>
                    <xdr:colOff>95250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CheckBox3">
              <controlPr defaultSize="0" autoFill="0" autoLine="0" autoPict="0">
                <anchor moveWithCells="1">
                  <from>
                    <xdr:col>2</xdr:col>
                    <xdr:colOff>533400</xdr:colOff>
                    <xdr:row>16</xdr:row>
                    <xdr:rowOff>161925</xdr:rowOff>
                  </from>
                  <to>
                    <xdr:col>3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CheckBox4">
              <controlPr defaultSize="0" autoFill="0" autoLine="0" autoPict="0">
                <anchor moveWithCells="1">
                  <from>
                    <xdr:col>2</xdr:col>
                    <xdr:colOff>533400</xdr:colOff>
                    <xdr:row>17</xdr:row>
                    <xdr:rowOff>152400</xdr:rowOff>
                  </from>
                  <to>
                    <xdr:col>3</xdr:col>
                    <xdr:colOff>95250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CheckBox5">
              <controlPr defaultSize="0" autoFill="0" autoLine="0" autoPict="0">
                <anchor moveWithCells="1">
                  <from>
                    <xdr:col>2</xdr:col>
                    <xdr:colOff>533400</xdr:colOff>
                    <xdr:row>18</xdr:row>
                    <xdr:rowOff>171450</xdr:rowOff>
                  </from>
                  <to>
                    <xdr:col>3</xdr:col>
                    <xdr:colOff>95250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CheckBox6">
              <controlPr defaultSize="0" autoFill="0" autoLine="0" autoPict="0">
                <anchor moveWithCells="1">
                  <from>
                    <xdr:col>2</xdr:col>
                    <xdr:colOff>533400</xdr:colOff>
                    <xdr:row>19</xdr:row>
                    <xdr:rowOff>171450</xdr:rowOff>
                  </from>
                  <to>
                    <xdr:col>3</xdr:col>
                    <xdr:colOff>95250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0" name="CheckBox7">
              <controlPr defaultSize="0" autoFill="0" autoLine="0" autoPict="0">
                <anchor moveWithCells="1">
                  <from>
                    <xdr:col>2</xdr:col>
                    <xdr:colOff>542925</xdr:colOff>
                    <xdr:row>20</xdr:row>
                    <xdr:rowOff>171450</xdr:rowOff>
                  </from>
                  <to>
                    <xdr:col>3</xdr:col>
                    <xdr:colOff>104775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1" name="CheckBox8">
              <controlPr defaultSize="0" autoFill="0" autoLine="0" autoPict="0">
                <anchor moveWithCells="1">
                  <from>
                    <xdr:col>2</xdr:col>
                    <xdr:colOff>533400</xdr:colOff>
                    <xdr:row>22</xdr:row>
                    <xdr:rowOff>9525</xdr:rowOff>
                  </from>
                  <to>
                    <xdr:col>3</xdr:col>
                    <xdr:colOff>95250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CheckBox9">
              <controlPr defaultSize="0" autoFill="0" autoLine="0" autoPict="0">
                <anchor moveWithCells="1">
                  <from>
                    <xdr:col>2</xdr:col>
                    <xdr:colOff>514350</xdr:colOff>
                    <xdr:row>23</xdr:row>
                    <xdr:rowOff>19050</xdr:rowOff>
                  </from>
                  <to>
                    <xdr:col>3</xdr:col>
                    <xdr:colOff>76200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CheckBox10">
              <controlPr defaultSize="0" autoFill="0" autoLine="0" autoPict="0" macro="[0]!CheckBox10_Click">
                <anchor moveWithCells="1">
                  <from>
                    <xdr:col>3</xdr:col>
                    <xdr:colOff>0</xdr:colOff>
                    <xdr:row>13</xdr:row>
                    <xdr:rowOff>161925</xdr:rowOff>
                  </from>
                  <to>
                    <xdr:col>10</xdr:col>
                    <xdr:colOff>28575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4" name="Button 44">
              <controlPr defaultSize="0" print="0" autoFill="0" autoPict="0" macro="[0]!Button44_Click" altText="Add Tab(s)">
                <anchor moveWithCells="1" sizeWithCells="1">
                  <from>
                    <xdr:col>2</xdr:col>
                    <xdr:colOff>57150</xdr:colOff>
                    <xdr:row>24</xdr:row>
                    <xdr:rowOff>104775</xdr:rowOff>
                  </from>
                  <to>
                    <xdr:col>3</xdr:col>
                    <xdr:colOff>352425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S64"/>
  <sheetViews>
    <sheetView showGridLines="0" tabSelected="1" topLeftCell="A7" zoomScale="90" zoomScaleNormal="90" workbookViewId="0">
      <pane xSplit="4" topLeftCell="E1" activePane="topRight" state="frozen"/>
      <selection pane="topRight" activeCell="A70" sqref="A70"/>
    </sheetView>
  </sheetViews>
  <sheetFormatPr defaultColWidth="9.140625" defaultRowHeight="12.75" x14ac:dyDescent="0.2"/>
  <cols>
    <col min="1" max="1" width="2.7109375" style="141" customWidth="1"/>
    <col min="2" max="2" width="38.5703125" style="104" customWidth="1"/>
    <col min="3" max="3" width="45.7109375" style="104" customWidth="1"/>
    <col min="4" max="4" width="15.7109375" style="104" customWidth="1"/>
    <col min="5" max="5" width="14.7109375" style="104" customWidth="1"/>
    <col min="6" max="7" width="19.85546875" style="104" customWidth="1"/>
    <col min="8" max="9" width="14.7109375" style="104" customWidth="1"/>
    <col min="10" max="10" width="17.140625" style="104" customWidth="1"/>
    <col min="11" max="11" width="11.5703125" style="104" hidden="1" customWidth="1"/>
    <col min="12" max="12" width="11.85546875" style="104" hidden="1" customWidth="1"/>
    <col min="13" max="13" width="12.7109375" style="104" hidden="1" customWidth="1"/>
    <col min="14" max="14" width="16" style="104" hidden="1" customWidth="1"/>
    <col min="15" max="17" width="16.140625" style="104" hidden="1" customWidth="1"/>
    <col min="18" max="18" width="33.140625" style="104" hidden="1" customWidth="1"/>
    <col min="19" max="19" width="9.140625" style="104" customWidth="1"/>
    <col min="20" max="20" width="16.7109375" style="104" customWidth="1"/>
    <col min="21" max="16384" width="9.140625" style="104"/>
  </cols>
  <sheetData>
    <row r="1" spans="1:19" s="101" customFormat="1" ht="15" customHeight="1" x14ac:dyDescent="0.2">
      <c r="A1" s="14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</row>
    <row r="2" spans="1:19" s="101" customFormat="1" ht="20.25" customHeight="1" x14ac:dyDescent="0.2">
      <c r="A2" s="140"/>
      <c r="B2" s="102" t="s">
        <v>604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9" s="101" customFormat="1" ht="14.25" customHeight="1" x14ac:dyDescent="0.2">
      <c r="A3" s="14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9" ht="46.15" customHeight="1" x14ac:dyDescent="0.2">
      <c r="B4" s="212" t="s">
        <v>593</v>
      </c>
      <c r="C4" s="212"/>
      <c r="D4" s="212"/>
      <c r="E4" s="212"/>
      <c r="F4" s="212"/>
      <c r="G4" s="212"/>
      <c r="H4" s="212"/>
      <c r="I4" s="212"/>
      <c r="J4" s="212"/>
      <c r="K4" s="168"/>
    </row>
    <row r="5" spans="1:19" ht="30" customHeight="1" x14ac:dyDescent="0.2">
      <c r="A5" s="142" t="s">
        <v>746</v>
      </c>
      <c r="B5" s="105"/>
      <c r="C5" s="106"/>
      <c r="D5" s="106"/>
      <c r="E5" s="106"/>
      <c r="F5" s="107"/>
      <c r="G5" s="167"/>
      <c r="H5" s="185" t="s">
        <v>594</v>
      </c>
      <c r="I5" s="166"/>
      <c r="J5" s="184"/>
      <c r="K5" s="173"/>
      <c r="L5" s="172"/>
      <c r="M5" s="188"/>
      <c r="N5" s="206" t="s">
        <v>732</v>
      </c>
      <c r="O5" s="207"/>
      <c r="P5" s="207"/>
      <c r="Q5" s="207"/>
      <c r="R5" s="208"/>
    </row>
    <row r="6" spans="1:19" ht="44.45" customHeight="1" x14ac:dyDescent="0.2">
      <c r="A6" s="189">
        <v>19</v>
      </c>
      <c r="B6" s="108" t="s">
        <v>595</v>
      </c>
      <c r="C6" s="109" t="s">
        <v>596</v>
      </c>
      <c r="D6" s="109" t="str">
        <f>CONCATENATE("Gross 
Floor Area
",IF(Instructions!$F$9="SI Units","(sq m)","(sq ft)"))</f>
        <v>Gross 
Floor Area
(sq ft)</v>
      </c>
      <c r="E6" s="109" t="s">
        <v>597</v>
      </c>
      <c r="F6" s="109" t="s">
        <v>598</v>
      </c>
      <c r="G6" s="109" t="s">
        <v>713</v>
      </c>
      <c r="H6" s="110" t="s">
        <v>599</v>
      </c>
      <c r="I6" s="111" t="s">
        <v>734</v>
      </c>
      <c r="J6" s="112" t="s">
        <v>600</v>
      </c>
      <c r="K6" s="171" t="s">
        <v>714</v>
      </c>
      <c r="L6" s="113" t="s">
        <v>601</v>
      </c>
      <c r="M6" s="187"/>
      <c r="N6" s="171" t="s">
        <v>715</v>
      </c>
      <c r="O6" s="171" t="s">
        <v>716</v>
      </c>
      <c r="P6" s="171" t="s">
        <v>717</v>
      </c>
      <c r="Q6" s="171" t="s">
        <v>718</v>
      </c>
      <c r="R6" s="171" t="s">
        <v>719</v>
      </c>
      <c r="S6" s="139"/>
    </row>
    <row r="7" spans="1:19" ht="15" customHeight="1" x14ac:dyDescent="0.2">
      <c r="A7" s="114"/>
      <c r="B7" s="115" t="s">
        <v>736</v>
      </c>
      <c r="C7" s="118" t="s">
        <v>617</v>
      </c>
      <c r="D7" s="117">
        <v>1000</v>
      </c>
      <c r="E7" s="116">
        <v>100</v>
      </c>
      <c r="F7" s="116">
        <v>9</v>
      </c>
      <c r="G7" s="116"/>
      <c r="H7" s="116"/>
      <c r="I7" s="192">
        <v>0.5</v>
      </c>
      <c r="J7" s="190"/>
      <c r="K7" s="169">
        <f>G7*H7</f>
        <v>0</v>
      </c>
      <c r="L7" s="104">
        <f t="shared" ref="L7" si="0">E7*D7</f>
        <v>100000</v>
      </c>
      <c r="M7" s="186"/>
      <c r="N7" s="182" t="s">
        <v>720</v>
      </c>
      <c r="O7" s="183" t="s">
        <v>720</v>
      </c>
      <c r="P7" s="183" t="s">
        <v>720</v>
      </c>
      <c r="Q7" s="183" t="s">
        <v>720</v>
      </c>
      <c r="R7" s="183" t="s">
        <v>720</v>
      </c>
    </row>
    <row r="8" spans="1:19" ht="15" customHeight="1" x14ac:dyDescent="0.2">
      <c r="A8" s="114">
        <v>0</v>
      </c>
      <c r="B8" s="115" t="s">
        <v>737</v>
      </c>
      <c r="C8" s="118" t="s">
        <v>619</v>
      </c>
      <c r="D8" s="117"/>
      <c r="E8" s="116"/>
      <c r="F8" s="116"/>
      <c r="G8" s="116"/>
      <c r="H8" s="116"/>
      <c r="I8" s="192"/>
      <c r="J8" s="190" t="str">
        <f t="shared" ref="J8:J18" si="1">IFERROR((K8/E8)*(I8*24)," ")</f>
        <v xml:space="preserve"> </v>
      </c>
      <c r="K8" s="169">
        <f t="shared" ref="K8:K18" si="2">G8*H8</f>
        <v>0</v>
      </c>
      <c r="L8" s="104">
        <f t="shared" ref="L8:L16" si="3">E8*D8</f>
        <v>0</v>
      </c>
      <c r="M8" s="186"/>
      <c r="N8" s="183" t="s">
        <v>739</v>
      </c>
      <c r="O8" s="183" t="s">
        <v>739</v>
      </c>
      <c r="P8" s="183" t="s">
        <v>720</v>
      </c>
      <c r="Q8" s="183" t="s">
        <v>720</v>
      </c>
      <c r="R8" s="183" t="s">
        <v>720</v>
      </c>
    </row>
    <row r="9" spans="1:19" ht="15" customHeight="1" x14ac:dyDescent="0.2">
      <c r="A9" s="114">
        <v>0</v>
      </c>
      <c r="B9" s="115" t="s">
        <v>738</v>
      </c>
      <c r="C9" s="118" t="s">
        <v>622</v>
      </c>
      <c r="D9" s="117"/>
      <c r="E9" s="116"/>
      <c r="F9" s="116"/>
      <c r="G9" s="116"/>
      <c r="H9" s="116"/>
      <c r="I9" s="192"/>
      <c r="J9" s="190" t="str">
        <f t="shared" si="1"/>
        <v xml:space="preserve"> </v>
      </c>
      <c r="K9" s="169">
        <f t="shared" si="2"/>
        <v>0</v>
      </c>
      <c r="L9" s="104">
        <f t="shared" si="3"/>
        <v>0</v>
      </c>
      <c r="N9" s="183" t="s">
        <v>739</v>
      </c>
      <c r="O9" s="183" t="s">
        <v>720</v>
      </c>
      <c r="P9" s="183" t="s">
        <v>720</v>
      </c>
      <c r="Q9" s="183" t="s">
        <v>720</v>
      </c>
      <c r="R9" s="183" t="s">
        <v>720</v>
      </c>
    </row>
    <row r="10" spans="1:19" ht="15" customHeight="1" x14ac:dyDescent="0.2">
      <c r="A10" s="114">
        <v>0</v>
      </c>
      <c r="B10" s="115"/>
      <c r="C10" s="118"/>
      <c r="D10" s="117"/>
      <c r="E10" s="116"/>
      <c r="F10" s="116"/>
      <c r="G10" s="116"/>
      <c r="H10" s="116"/>
      <c r="I10" s="192"/>
      <c r="J10" s="190" t="str">
        <f t="shared" si="1"/>
        <v xml:space="preserve"> </v>
      </c>
      <c r="K10" s="169">
        <f t="shared" si="2"/>
        <v>0</v>
      </c>
      <c r="L10" s="104">
        <f t="shared" si="3"/>
        <v>0</v>
      </c>
      <c r="N10" s="183" t="s">
        <v>720</v>
      </c>
      <c r="O10" s="183" t="s">
        <v>720</v>
      </c>
      <c r="P10" s="183" t="s">
        <v>720</v>
      </c>
      <c r="Q10" s="183" t="s">
        <v>720</v>
      </c>
      <c r="R10" s="183" t="s">
        <v>720</v>
      </c>
    </row>
    <row r="11" spans="1:19" ht="15" customHeight="1" x14ac:dyDescent="0.2">
      <c r="A11" s="114">
        <v>0</v>
      </c>
      <c r="B11" s="115"/>
      <c r="C11" s="118"/>
      <c r="D11" s="117"/>
      <c r="E11" s="116"/>
      <c r="F11" s="116"/>
      <c r="G11" s="116"/>
      <c r="H11" s="116"/>
      <c r="I11" s="192"/>
      <c r="J11" s="190" t="str">
        <f t="shared" si="1"/>
        <v xml:space="preserve"> </v>
      </c>
      <c r="K11" s="169">
        <f t="shared" si="2"/>
        <v>0</v>
      </c>
      <c r="L11" s="104">
        <f t="shared" si="3"/>
        <v>0</v>
      </c>
      <c r="N11" s="183" t="s">
        <v>720</v>
      </c>
      <c r="O11" s="183" t="s">
        <v>720</v>
      </c>
      <c r="P11" s="183" t="s">
        <v>720</v>
      </c>
      <c r="Q11" s="183" t="s">
        <v>720</v>
      </c>
      <c r="R11" s="183" t="s">
        <v>720</v>
      </c>
    </row>
    <row r="12" spans="1:19" ht="15" customHeight="1" x14ac:dyDescent="0.2">
      <c r="A12" s="114">
        <v>0</v>
      </c>
      <c r="B12" s="115"/>
      <c r="C12" s="118"/>
      <c r="D12" s="117"/>
      <c r="E12" s="116"/>
      <c r="F12" s="116"/>
      <c r="G12" s="116"/>
      <c r="H12" s="116"/>
      <c r="I12" s="192"/>
      <c r="J12" s="190" t="str">
        <f t="shared" si="1"/>
        <v xml:space="preserve"> </v>
      </c>
      <c r="K12" s="169">
        <f t="shared" si="2"/>
        <v>0</v>
      </c>
      <c r="L12" s="104">
        <f t="shared" si="3"/>
        <v>0</v>
      </c>
      <c r="N12" s="183" t="s">
        <v>720</v>
      </c>
      <c r="O12" s="183" t="s">
        <v>720</v>
      </c>
      <c r="P12" s="183" t="s">
        <v>720</v>
      </c>
      <c r="Q12" s="183" t="s">
        <v>720</v>
      </c>
      <c r="R12" s="183" t="s">
        <v>720</v>
      </c>
    </row>
    <row r="13" spans="1:19" ht="15" customHeight="1" x14ac:dyDescent="0.2">
      <c r="A13" s="114">
        <v>0</v>
      </c>
      <c r="B13" s="115"/>
      <c r="C13" s="118"/>
      <c r="D13" s="117"/>
      <c r="E13" s="116"/>
      <c r="F13" s="116"/>
      <c r="G13" s="116"/>
      <c r="H13" s="116"/>
      <c r="I13" s="192"/>
      <c r="J13" s="190" t="str">
        <f t="shared" si="1"/>
        <v xml:space="preserve"> </v>
      </c>
      <c r="K13" s="169">
        <f t="shared" si="2"/>
        <v>0</v>
      </c>
      <c r="L13" s="104">
        <f t="shared" si="3"/>
        <v>0</v>
      </c>
      <c r="N13" s="183" t="s">
        <v>720</v>
      </c>
      <c r="O13" s="183" t="s">
        <v>720</v>
      </c>
      <c r="P13" s="183" t="s">
        <v>720</v>
      </c>
      <c r="Q13" s="183" t="s">
        <v>720</v>
      </c>
      <c r="R13" s="183" t="s">
        <v>720</v>
      </c>
    </row>
    <row r="14" spans="1:19" ht="15" customHeight="1" x14ac:dyDescent="0.2">
      <c r="A14" s="114">
        <v>0</v>
      </c>
      <c r="B14" s="115"/>
      <c r="C14" s="118"/>
      <c r="D14" s="117"/>
      <c r="E14" s="116"/>
      <c r="F14" s="116"/>
      <c r="G14" s="116"/>
      <c r="H14" s="116"/>
      <c r="I14" s="192"/>
      <c r="J14" s="190" t="str">
        <f t="shared" si="1"/>
        <v xml:space="preserve"> </v>
      </c>
      <c r="K14" s="169">
        <f t="shared" si="2"/>
        <v>0</v>
      </c>
      <c r="L14" s="104">
        <f t="shared" si="3"/>
        <v>0</v>
      </c>
      <c r="N14" s="183" t="s">
        <v>720</v>
      </c>
      <c r="O14" s="183" t="s">
        <v>720</v>
      </c>
      <c r="P14" s="183" t="s">
        <v>720</v>
      </c>
      <c r="Q14" s="183" t="s">
        <v>720</v>
      </c>
      <c r="R14" s="183" t="s">
        <v>720</v>
      </c>
    </row>
    <row r="15" spans="1:19" ht="15" customHeight="1" x14ac:dyDescent="0.2">
      <c r="A15" s="114">
        <v>0</v>
      </c>
      <c r="B15" s="115"/>
      <c r="C15" s="118"/>
      <c r="D15" s="117"/>
      <c r="E15" s="116"/>
      <c r="F15" s="116"/>
      <c r="G15" s="116"/>
      <c r="H15" s="116"/>
      <c r="I15" s="192"/>
      <c r="J15" s="190" t="str">
        <f t="shared" si="1"/>
        <v xml:space="preserve"> </v>
      </c>
      <c r="K15" s="169">
        <f t="shared" si="2"/>
        <v>0</v>
      </c>
      <c r="L15" s="104">
        <f t="shared" si="3"/>
        <v>0</v>
      </c>
      <c r="N15" s="183" t="s">
        <v>720</v>
      </c>
      <c r="O15" s="183" t="s">
        <v>720</v>
      </c>
      <c r="P15" s="183" t="s">
        <v>720</v>
      </c>
      <c r="Q15" s="183" t="s">
        <v>720</v>
      </c>
      <c r="R15" s="183" t="s">
        <v>720</v>
      </c>
    </row>
    <row r="16" spans="1:19" ht="15" customHeight="1" x14ac:dyDescent="0.2">
      <c r="A16" s="114">
        <v>0</v>
      </c>
      <c r="B16" s="115"/>
      <c r="C16" s="118"/>
      <c r="D16" s="117"/>
      <c r="E16" s="116"/>
      <c r="F16" s="116"/>
      <c r="G16" s="116"/>
      <c r="H16" s="116"/>
      <c r="I16" s="192"/>
      <c r="J16" s="190" t="str">
        <f t="shared" si="1"/>
        <v xml:space="preserve"> </v>
      </c>
      <c r="K16" s="169">
        <f t="shared" si="2"/>
        <v>0</v>
      </c>
      <c r="L16" s="104">
        <f t="shared" si="3"/>
        <v>0</v>
      </c>
      <c r="N16" s="183" t="s">
        <v>720</v>
      </c>
      <c r="O16" s="183" t="s">
        <v>720</v>
      </c>
      <c r="P16" s="183" t="s">
        <v>720</v>
      </c>
      <c r="Q16" s="183" t="s">
        <v>720</v>
      </c>
      <c r="R16" s="183" t="s">
        <v>720</v>
      </c>
    </row>
    <row r="17" spans="1:18" ht="15" customHeight="1" x14ac:dyDescent="0.2">
      <c r="A17" s="114"/>
      <c r="B17" s="115"/>
      <c r="C17" s="118"/>
      <c r="D17" s="117"/>
      <c r="E17" s="116"/>
      <c r="F17" s="116"/>
      <c r="G17" s="116"/>
      <c r="H17" s="116"/>
      <c r="I17" s="192"/>
      <c r="J17" s="190" t="str">
        <f t="shared" si="1"/>
        <v xml:space="preserve"> </v>
      </c>
      <c r="K17" s="169">
        <f t="shared" si="2"/>
        <v>0</v>
      </c>
      <c r="L17" s="104">
        <f t="shared" ref="L17:L18" si="4">E17*D17</f>
        <v>0</v>
      </c>
      <c r="N17" s="183" t="s">
        <v>720</v>
      </c>
      <c r="O17" s="183" t="s">
        <v>720</v>
      </c>
      <c r="P17" s="183" t="s">
        <v>720</v>
      </c>
      <c r="Q17" s="183" t="s">
        <v>720</v>
      </c>
      <c r="R17" s="183" t="s">
        <v>720</v>
      </c>
    </row>
    <row r="18" spans="1:18" ht="15" customHeight="1" x14ac:dyDescent="0.2">
      <c r="A18" s="114"/>
      <c r="B18" s="115"/>
      <c r="C18" s="118"/>
      <c r="D18" s="117"/>
      <c r="E18" s="116"/>
      <c r="F18" s="116"/>
      <c r="G18" s="116"/>
      <c r="H18" s="116"/>
      <c r="I18" s="192"/>
      <c r="J18" s="190" t="str">
        <f t="shared" si="1"/>
        <v xml:space="preserve"> </v>
      </c>
      <c r="K18" s="169">
        <f t="shared" si="2"/>
        <v>0</v>
      </c>
      <c r="L18" s="104">
        <f t="shared" si="4"/>
        <v>0</v>
      </c>
      <c r="N18" s="183" t="s">
        <v>720</v>
      </c>
      <c r="O18" s="183" t="s">
        <v>720</v>
      </c>
      <c r="P18" s="183" t="s">
        <v>720</v>
      </c>
      <c r="Q18" s="183" t="s">
        <v>720</v>
      </c>
      <c r="R18" s="183" t="s">
        <v>720</v>
      </c>
    </row>
    <row r="19" spans="1:18" ht="20.25" customHeight="1" x14ac:dyDescent="0.2">
      <c r="A19" s="114" t="s">
        <v>545</v>
      </c>
      <c r="B19" s="213" t="s">
        <v>735</v>
      </c>
      <c r="C19" s="214"/>
      <c r="D19" s="158">
        <f>IFERROR(SUM(D7:D18)," ")</f>
        <v>1000</v>
      </c>
      <c r="E19" s="119">
        <f t="shared" ref="E19:J19" si="5">SUM(E7:E18)</f>
        <v>100</v>
      </c>
      <c r="F19" s="119">
        <f t="shared" si="5"/>
        <v>9</v>
      </c>
      <c r="G19" s="119">
        <f t="shared" si="5"/>
        <v>0</v>
      </c>
      <c r="H19" s="119">
        <f t="shared" si="5"/>
        <v>0</v>
      </c>
      <c r="I19" s="193">
        <f>SUM(I7:I18)</f>
        <v>0.5</v>
      </c>
      <c r="J19" s="191">
        <f t="shared" si="5"/>
        <v>0</v>
      </c>
      <c r="K19" s="170"/>
    </row>
    <row r="20" spans="1:18" ht="33.75" customHeight="1" x14ac:dyDescent="0.2"/>
    <row r="21" spans="1:18" ht="12" customHeight="1" x14ac:dyDescent="0.2"/>
    <row r="22" spans="1:18" ht="12" customHeight="1" x14ac:dyDescent="0.2">
      <c r="B22" s="176" t="s">
        <v>733</v>
      </c>
    </row>
    <row r="24" spans="1:18" x14ac:dyDescent="0.2">
      <c r="A24" s="143"/>
      <c r="B24" s="204" t="str">
        <f>CONCATENATE("Gross 
Floor Area 
",IF(Instructions!$F$9="SI Units","(sq m)","(sq ft)"))</f>
        <v>Gross 
Floor Area 
(sq ft)</v>
      </c>
      <c r="C24" s="205"/>
      <c r="D24" s="156">
        <f>IFERROR(D19," ")</f>
        <v>1000</v>
      </c>
      <c r="F24" s="209"/>
      <c r="G24" s="209"/>
      <c r="H24" s="209"/>
      <c r="I24" s="209"/>
      <c r="L24" s="144"/>
    </row>
    <row r="25" spans="1:18" x14ac:dyDescent="0.2">
      <c r="A25" s="143"/>
      <c r="B25" s="215" t="s">
        <v>602</v>
      </c>
      <c r="C25" s="201"/>
      <c r="D25" s="157">
        <f>IFERROR(ROUND(SUM(L7:L18)/D19, 0)," ")</f>
        <v>100</v>
      </c>
      <c r="F25" s="177"/>
      <c r="G25" s="177"/>
      <c r="H25" s="177"/>
      <c r="I25" s="177"/>
    </row>
    <row r="26" spans="1:18" x14ac:dyDescent="0.2">
      <c r="A26" s="143"/>
      <c r="B26" s="174" t="s">
        <v>721</v>
      </c>
      <c r="C26" s="165"/>
      <c r="D26" s="120">
        <f>F19</f>
        <v>9</v>
      </c>
      <c r="F26" s="177"/>
      <c r="G26" s="177"/>
      <c r="H26" s="177"/>
      <c r="I26" s="177"/>
    </row>
    <row r="27" spans="1:18" x14ac:dyDescent="0.2">
      <c r="A27" s="143"/>
      <c r="B27" s="174" t="s">
        <v>722</v>
      </c>
      <c r="C27" s="165"/>
      <c r="D27" s="120">
        <f>ROUND(J19,0)</f>
        <v>0</v>
      </c>
      <c r="F27" s="179"/>
      <c r="G27" s="179"/>
      <c r="H27" s="177"/>
      <c r="I27" s="177"/>
    </row>
    <row r="28" spans="1:18" x14ac:dyDescent="0.2">
      <c r="A28" s="143"/>
      <c r="B28" s="202" t="s">
        <v>603</v>
      </c>
      <c r="C28" s="203"/>
      <c r="D28" s="120">
        <f>IFERROR(ROUND((F19+J19), 0)," ")</f>
        <v>9</v>
      </c>
      <c r="F28" s="180"/>
      <c r="G28" s="180"/>
      <c r="H28" s="178"/>
      <c r="I28" s="178"/>
    </row>
    <row r="29" spans="1:18" x14ac:dyDescent="0.2">
      <c r="C29" s="175"/>
      <c r="D29" s="121"/>
    </row>
    <row r="30" spans="1:18" x14ac:dyDescent="0.2">
      <c r="B30" s="210" t="s">
        <v>723</v>
      </c>
      <c r="C30" s="211"/>
      <c r="D30" s="197">
        <v>43101</v>
      </c>
    </row>
    <row r="32" spans="1:18" hidden="1" x14ac:dyDescent="0.2">
      <c r="B32" s="176" t="s">
        <v>724</v>
      </c>
    </row>
    <row r="33" spans="2:4" hidden="1" x14ac:dyDescent="0.2"/>
    <row r="34" spans="2:4" hidden="1" x14ac:dyDescent="0.2"/>
    <row r="35" spans="2:4" hidden="1" x14ac:dyDescent="0.2"/>
    <row r="36" spans="2:4" hidden="1" x14ac:dyDescent="0.2">
      <c r="B36" s="104" t="s">
        <v>726</v>
      </c>
    </row>
    <row r="37" spans="2:4" hidden="1" x14ac:dyDescent="0.2"/>
    <row r="38" spans="2:4" hidden="1" x14ac:dyDescent="0.2">
      <c r="B38" s="204" t="str">
        <f>CONCATENATE("Gross 
Floor Area 
",IF(Instructions!$F$9="SI Units","(sq m)","(sq ft)"))</f>
        <v>Gross 
Floor Area 
(sq ft)</v>
      </c>
      <c r="C38" s="205"/>
      <c r="D38" s="156">
        <v>1000</v>
      </c>
    </row>
    <row r="39" spans="2:4" hidden="1" x14ac:dyDescent="0.2">
      <c r="B39" s="201" t="s">
        <v>602</v>
      </c>
      <c r="C39" s="201"/>
      <c r="D39" s="157">
        <v>100</v>
      </c>
    </row>
    <row r="40" spans="2:4" hidden="1" x14ac:dyDescent="0.2">
      <c r="B40" s="202" t="s">
        <v>603</v>
      </c>
      <c r="C40" s="203"/>
      <c r="D40" s="157">
        <v>9</v>
      </c>
    </row>
    <row r="41" spans="2:4" hidden="1" x14ac:dyDescent="0.2"/>
    <row r="42" spans="2:4" hidden="1" x14ac:dyDescent="0.2">
      <c r="B42" s="104" t="s">
        <v>727</v>
      </c>
    </row>
    <row r="43" spans="2:4" hidden="1" x14ac:dyDescent="0.2"/>
    <row r="44" spans="2:4" hidden="1" x14ac:dyDescent="0.2">
      <c r="B44" s="204" t="str">
        <f>CONCATENATE("Gross 
Floor Area 
",IF(Instructions!$F$9="SI Units","(sq m)","(sq ft)"))</f>
        <v>Gross 
Floor Area 
(sq ft)</v>
      </c>
      <c r="C44" s="205"/>
      <c r="D44" s="156">
        <v>1000</v>
      </c>
    </row>
    <row r="45" spans="2:4" hidden="1" x14ac:dyDescent="0.2">
      <c r="B45" s="201" t="s">
        <v>602</v>
      </c>
      <c r="C45" s="201"/>
      <c r="D45" s="157">
        <v>100</v>
      </c>
    </row>
    <row r="46" spans="2:4" hidden="1" x14ac:dyDescent="0.2">
      <c r="B46" s="202" t="s">
        <v>603</v>
      </c>
      <c r="C46" s="203"/>
      <c r="D46" s="157">
        <v>9</v>
      </c>
    </row>
    <row r="47" spans="2:4" hidden="1" x14ac:dyDescent="0.2"/>
    <row r="48" spans="2:4" hidden="1" x14ac:dyDescent="0.2">
      <c r="B48" s="104" t="s">
        <v>728</v>
      </c>
    </row>
    <row r="49" spans="2:4" hidden="1" x14ac:dyDescent="0.2"/>
    <row r="50" spans="2:4" hidden="1" x14ac:dyDescent="0.2">
      <c r="B50" s="204" t="str">
        <f>CONCATENATE("Gross 
Floor Area 
",IF(Instructions!$F$9="SI Units","(sq m)","(sq ft)"))</f>
        <v>Gross 
Floor Area 
(sq ft)</v>
      </c>
      <c r="C50" s="205"/>
      <c r="D50" s="156">
        <v>1000</v>
      </c>
    </row>
    <row r="51" spans="2:4" hidden="1" x14ac:dyDescent="0.2">
      <c r="B51" s="201" t="s">
        <v>602</v>
      </c>
      <c r="C51" s="201"/>
      <c r="D51" s="157">
        <v>100</v>
      </c>
    </row>
    <row r="52" spans="2:4" hidden="1" x14ac:dyDescent="0.2">
      <c r="B52" s="202" t="s">
        <v>603</v>
      </c>
      <c r="C52" s="203"/>
      <c r="D52" s="157">
        <v>9</v>
      </c>
    </row>
    <row r="53" spans="2:4" hidden="1" x14ac:dyDescent="0.2"/>
    <row r="54" spans="2:4" hidden="1" x14ac:dyDescent="0.2">
      <c r="B54" s="104" t="s">
        <v>729</v>
      </c>
    </row>
    <row r="55" spans="2:4" hidden="1" x14ac:dyDescent="0.2"/>
    <row r="56" spans="2:4" hidden="1" x14ac:dyDescent="0.2">
      <c r="B56" s="181" t="s">
        <v>721</v>
      </c>
      <c r="C56" s="165"/>
      <c r="D56" s="120">
        <v>9</v>
      </c>
    </row>
    <row r="57" spans="2:4" hidden="1" x14ac:dyDescent="0.2">
      <c r="B57" s="181" t="s">
        <v>722</v>
      </c>
      <c r="C57" s="165"/>
      <c r="D57" s="120">
        <v>0</v>
      </c>
    </row>
    <row r="58" spans="2:4" hidden="1" x14ac:dyDescent="0.2">
      <c r="B58" s="202" t="s">
        <v>603</v>
      </c>
      <c r="C58" s="203"/>
      <c r="D58" s="157">
        <v>9</v>
      </c>
    </row>
    <row r="59" spans="2:4" hidden="1" x14ac:dyDescent="0.2"/>
    <row r="60" spans="2:4" hidden="1" x14ac:dyDescent="0.2">
      <c r="B60" s="104" t="s">
        <v>730</v>
      </c>
    </row>
    <row r="61" spans="2:4" hidden="1" x14ac:dyDescent="0.2"/>
    <row r="62" spans="2:4" hidden="1" x14ac:dyDescent="0.2">
      <c r="B62" s="181" t="s">
        <v>721</v>
      </c>
      <c r="C62" s="165"/>
      <c r="D62" s="120">
        <v>9</v>
      </c>
    </row>
    <row r="63" spans="2:4" hidden="1" x14ac:dyDescent="0.2">
      <c r="B63" s="181" t="s">
        <v>722</v>
      </c>
      <c r="C63" s="165"/>
      <c r="D63" s="120">
        <v>0</v>
      </c>
    </row>
    <row r="64" spans="2:4" hidden="1" x14ac:dyDescent="0.2">
      <c r="B64" s="202" t="s">
        <v>603</v>
      </c>
      <c r="C64" s="203"/>
      <c r="D64" s="157">
        <v>9</v>
      </c>
    </row>
  </sheetData>
  <mergeCells count="20">
    <mergeCell ref="B4:J4"/>
    <mergeCell ref="B19:C19"/>
    <mergeCell ref="B24:C24"/>
    <mergeCell ref="H24:I24"/>
    <mergeCell ref="B25:C25"/>
    <mergeCell ref="N5:R5"/>
    <mergeCell ref="F24:G24"/>
    <mergeCell ref="B30:C30"/>
    <mergeCell ref="B38:C38"/>
    <mergeCell ref="B39:C39"/>
    <mergeCell ref="B28:C28"/>
    <mergeCell ref="B51:C51"/>
    <mergeCell ref="B52:C52"/>
    <mergeCell ref="B58:C58"/>
    <mergeCell ref="B64:C64"/>
    <mergeCell ref="B40:C40"/>
    <mergeCell ref="B44:C44"/>
    <mergeCell ref="B45:C45"/>
    <mergeCell ref="B46:C46"/>
    <mergeCell ref="B50:C50"/>
  </mergeCells>
  <conditionalFormatting sqref="N7:R18">
    <cfRule type="containsText" dxfId="1" priority="1" operator="containsText" text="Exclude">
      <formula>NOT(ISERROR(SEARCH("Exclude",N7)))</formula>
    </cfRule>
    <cfRule type="containsText" dxfId="0" priority="2" operator="containsText" text="Include">
      <formula>NOT(ISERROR(SEARCH("Include",N7)))</formula>
    </cfRule>
  </conditionalFormatting>
  <dataValidations count="12">
    <dataValidation type="whole" allowBlank="1" showInputMessage="1" showErrorMessage="1" errorTitle="Weekly Operating Hours" error="It can accepts integer values from 1 to 168." sqref="D25:D27 D39 D45 D51 D56:D57 D62:D6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4 D38 D44 D50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Weekly Operating Hours may not exceed 168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H7:H18" xr:uid="{00000000-0002-0000-0400-000005000000}">
      <formula1>0</formula1>
      <formula2>99999999999999</formula2>
    </dataValidation>
    <dataValidation type="time" allowBlank="1" showInputMessage="1" showErrorMessage="1" error="Please enter valid number of hours" sqref="I7:I18" xr:uid="{DE3FE902-564E-4870-9C2E-54B183D9023E}">
      <formula1>0</formula1>
      <formula2>0.999305555555556</formula2>
    </dataValidation>
    <dataValidation type="list" showInputMessage="1" showErrorMessage="1" sqref="N7:R18" xr:uid="{A87764CF-D6D5-448C-8D53-FDEEEA597263}">
      <formula1>"Include, Exclude"</formula1>
    </dataValidation>
    <dataValidation type="decimal" operator="lessThanOrEqual" allowBlank="1" showInputMessage="1" showErrorMessage="1" errorTitle="Error" error="Value of Gross Floor Area cannot exceed 20499999" sqref="D7:D18" xr:uid="{1CDE6CCB-8877-4FF5-9CEB-9A365D0E3DEF}">
      <formula1>20499999</formula1>
    </dataValidation>
    <dataValidation type="date" operator="lessThanOrEqual" allowBlank="1" showInputMessage="1" showErrorMessage="1" errorTitle="Error" error="Please enter a valid date" sqref="D30" xr:uid="{A6C3C33A-6D8B-456A-8CF4-D345FA2D21F5}">
      <formula1>TODAY()</formula1>
    </dataValidation>
    <dataValidation type="whole" allowBlank="1" showInputMessage="1" showErrorMessage="1" errorTitle="Error" error="Days per week can be between 0 to 7" sqref="G7:G18" xr:uid="{7B40EA20-C474-41E5-BC09-D1B931CD9FC9}">
      <formula1>0</formula1>
      <formula2>7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6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2952750</xdr:colOff>
                    <xdr:row>0</xdr:row>
                    <xdr:rowOff>180975</xdr:rowOff>
                  </from>
                  <to>
                    <xdr:col>3</xdr:col>
                    <xdr:colOff>933450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171450</xdr:colOff>
                    <xdr:row>32</xdr:row>
                    <xdr:rowOff>85725</xdr:rowOff>
                  </from>
                  <to>
                    <xdr:col>1</xdr:col>
                    <xdr:colOff>1905000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1" sqref="D1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base_w</v>
      </c>
      <c r="C1" s="1"/>
      <c r="D1" s="155" t="str">
        <f ca="1">B1</f>
        <v>base_w</v>
      </c>
      <c r="E1" s="1"/>
    </row>
    <row r="2" spans="1:9" x14ac:dyDescent="0.25">
      <c r="A2" s="4" t="s">
        <v>590</v>
      </c>
      <c r="B2" s="147" t="s">
        <v>563</v>
      </c>
      <c r="C2" s="152"/>
      <c r="D2" s="148"/>
      <c r="E2" s="1"/>
    </row>
    <row r="3" spans="1:9" x14ac:dyDescent="0.25">
      <c r="A3" s="4" t="s">
        <v>590</v>
      </c>
      <c r="B3" s="146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46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/>
      <c r="B8" s="23"/>
      <c r="C8" s="23"/>
      <c r="D8" s="26"/>
      <c r="E8" s="1"/>
    </row>
    <row r="9" spans="1:9" ht="6" customHeight="1" x14ac:dyDescent="0.25">
      <c r="A9" s="4"/>
      <c r="B9" s="23"/>
      <c r="C9" s="23"/>
      <c r="D9" s="26"/>
      <c r="E9" s="1"/>
      <c r="I9" t="s">
        <v>674</v>
      </c>
    </row>
    <row r="10" spans="1:9" ht="25.5" customHeight="1" x14ac:dyDescent="0.25">
      <c r="A10" s="4" t="s">
        <v>545</v>
      </c>
      <c r="B10" s="24"/>
      <c r="C10" s="24"/>
      <c r="D10" s="2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t="s">
        <v>524</v>
      </c>
    </row>
    <row r="16" spans="1:9" x14ac:dyDescent="0.25">
      <c r="H16" t="s">
        <v>527</v>
      </c>
    </row>
    <row r="17" spans="8:8" x14ac:dyDescent="0.25">
      <c r="H17" t="s">
        <v>546</v>
      </c>
    </row>
    <row r="18" spans="8:8" x14ac:dyDescent="0.25">
      <c r="H18" t="s">
        <v>547</v>
      </c>
    </row>
    <row r="19" spans="8:8" x14ac:dyDescent="0.25">
      <c r="H19" t="s">
        <v>521</v>
      </c>
    </row>
    <row r="20" spans="8:8" x14ac:dyDescent="0.25">
      <c r="H20" t="s">
        <v>526</v>
      </c>
    </row>
    <row r="21" spans="8:8" x14ac:dyDescent="0.25">
      <c r="H21" t="s">
        <v>541</v>
      </c>
    </row>
    <row r="22" spans="8:8" x14ac:dyDescent="0.25">
      <c r="H22" t="s">
        <v>560</v>
      </c>
    </row>
    <row r="23" spans="8:8" x14ac:dyDescent="0.25">
      <c r="H23" t="s">
        <v>523</v>
      </c>
    </row>
    <row r="24" spans="8:8" x14ac:dyDescent="0.25">
      <c r="H24" s="2" t="s">
        <v>542</v>
      </c>
    </row>
    <row r="25" spans="8:8" x14ac:dyDescent="0.25">
      <c r="H25" s="2" t="s">
        <v>561</v>
      </c>
    </row>
    <row r="26" spans="8:8" x14ac:dyDescent="0.25">
      <c r="H26" s="2" t="s">
        <v>562</v>
      </c>
    </row>
    <row r="27" spans="8:8" x14ac:dyDescent="0.25">
      <c r="H27" t="s">
        <v>677</v>
      </c>
    </row>
    <row r="28" spans="8:8" x14ac:dyDescent="0.25">
      <c r="H28" t="s">
        <v>678</v>
      </c>
    </row>
    <row r="29" spans="8:8" x14ac:dyDescent="0.25">
      <c r="H29" t="s">
        <v>672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7</xdr:row>
                    <xdr:rowOff>180975</xdr:rowOff>
                  </from>
                  <to>
                    <xdr:col>3</xdr:col>
                    <xdr:colOff>1085850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8" sqref="D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590</v>
      </c>
      <c r="B2" s="147" t="s">
        <v>563</v>
      </c>
      <c r="C2" s="152"/>
      <c r="D2" s="148"/>
      <c r="E2" s="1"/>
    </row>
    <row r="3" spans="1:10" x14ac:dyDescent="0.25">
      <c r="A3" s="4" t="s">
        <v>590</v>
      </c>
      <c r="B3" s="146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46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/>
      <c r="C7" s="35"/>
      <c r="D7" s="22"/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18671-3DA3-4D48-B7E1-3B64583A9780}">
  <sheetPr codeName="Sheet1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L19" sqref="L19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AnalyticsEnergyMeter</v>
      </c>
      <c r="C1" s="1"/>
      <c r="D1" s="4" t="str">
        <f ca="1">B1</f>
        <v>AnalyticsEnergyMeter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740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43435</v>
      </c>
      <c r="C7" s="35">
        <v>43496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dataValidations count="6">
    <dataValidation type="textLength" allowBlank="1" showInputMessage="1" showErrorMessage="1" errorTitle="Data Source" error="It can only accept 40 characters." sqref="D5" xr:uid="{E58DA960-509D-4D4D-85AF-DBB79A55855F}">
      <formula1>0</formula1>
      <formula2>40</formula2>
    </dataValidation>
    <dataValidation type="decimal" allowBlank="1" showInputMessage="1" showErrorMessage="1" error="Please enter a valid reading." sqref="D7" xr:uid="{BAA65C28-E119-4E03-8E18-8C8300973ADD}">
      <formula1>0</formula1>
      <formula2>9999999999</formula2>
    </dataValidation>
    <dataValidation type="date" allowBlank="1" showInputMessage="1" showErrorMessage="1" error="Please enter a valid date in mm/dd/yyyy format." sqref="B7:C7" xr:uid="{099B8438-045E-43DD-9935-7A63628D6FFB}">
      <formula1>1</formula1>
      <formula2>73415</formula2>
    </dataValidation>
    <dataValidation allowBlank="1" showInputMessage="1" showErrorMessage="1" error="Please enter a valid date in mm/dd/yyyy format." sqref="B8:D10" xr:uid="{2CC6ADAE-8E01-4B43-A82E-29DA7AC6DB39}"/>
    <dataValidation type="list" allowBlank="1" showInputMessage="1" showErrorMessage="1" sqref="D3" xr:uid="{CDDE7969-D1CA-446F-BFEB-C0621ACCEBDE}">
      <formula1>ElectricityDrp</formula1>
    </dataValidation>
    <dataValidation type="list" allowBlank="1" showInputMessage="1" showErrorMessage="1" error="Units cannot edit." sqref="D4" xr:uid="{C1EF7FF5-571C-4FC9-B460-A25D10E1A4CB}">
      <formula1>elecName</formula1>
    </dataValidation>
  </dataValidation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EB5-80F3-4CD8-8511-96B29B8E16A6}">
  <sheetPr codeName="Sheet24"/>
  <dimension ref="A1:I40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C18" sqref="C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AnalyticWaterMeter</v>
      </c>
      <c r="C1" s="1"/>
      <c r="D1" s="155" t="str">
        <f ca="1">B1</f>
        <v>AnalyticWaterMeter</v>
      </c>
      <c r="E1" s="1"/>
    </row>
    <row r="2" spans="1:9" x14ac:dyDescent="0.25">
      <c r="A2" s="4" t="s">
        <v>590</v>
      </c>
      <c r="B2" s="196" t="s">
        <v>563</v>
      </c>
      <c r="C2" s="152"/>
      <c r="D2" s="148" t="s">
        <v>741</v>
      </c>
      <c r="E2" s="1"/>
    </row>
    <row r="3" spans="1:9" x14ac:dyDescent="0.25">
      <c r="A3" s="4" t="s">
        <v>590</v>
      </c>
      <c r="B3" s="195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95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11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>
        <v>0</v>
      </c>
      <c r="B8" s="35">
        <v>43435</v>
      </c>
      <c r="C8" s="35">
        <v>43496</v>
      </c>
      <c r="D8" s="21">
        <v>5.46</v>
      </c>
      <c r="E8" s="1"/>
    </row>
    <row r="9" spans="1:9" x14ac:dyDescent="0.25">
      <c r="A9" s="4"/>
      <c r="B9" s="23"/>
      <c r="C9" s="23"/>
      <c r="D9" s="26"/>
      <c r="E9" s="1"/>
    </row>
    <row r="10" spans="1:9" ht="6" customHeight="1" x14ac:dyDescent="0.25">
      <c r="A10" s="4"/>
      <c r="B10" s="23"/>
      <c r="C10" s="23"/>
      <c r="D10" s="26"/>
      <c r="E10" s="1"/>
      <c r="I10" t="s">
        <v>674</v>
      </c>
    </row>
    <row r="11" spans="1:9" ht="25.5" customHeight="1" x14ac:dyDescent="0.25">
      <c r="A11" s="4" t="s">
        <v>545</v>
      </c>
      <c r="B11" s="24"/>
      <c r="C11" s="24"/>
      <c r="D11" s="24"/>
      <c r="E11" s="1"/>
      <c r="I11" t="s">
        <v>675</v>
      </c>
    </row>
    <row r="12" spans="1:9" x14ac:dyDescent="0.25">
      <c r="I12" t="s">
        <v>676</v>
      </c>
    </row>
    <row r="16" spans="1:9" x14ac:dyDescent="0.25">
      <c r="H16" t="s">
        <v>524</v>
      </c>
    </row>
    <row r="17" spans="8:8" x14ac:dyDescent="0.25">
      <c r="H17" t="s">
        <v>527</v>
      </c>
    </row>
    <row r="18" spans="8:8" x14ac:dyDescent="0.25">
      <c r="H18" t="s">
        <v>546</v>
      </c>
    </row>
    <row r="19" spans="8:8" x14ac:dyDescent="0.25">
      <c r="H19" t="s">
        <v>547</v>
      </c>
    </row>
    <row r="20" spans="8:8" x14ac:dyDescent="0.25">
      <c r="H20" t="s">
        <v>521</v>
      </c>
    </row>
    <row r="21" spans="8:8" x14ac:dyDescent="0.25">
      <c r="H21" t="s">
        <v>526</v>
      </c>
    </row>
    <row r="22" spans="8:8" x14ac:dyDescent="0.25">
      <c r="H22" t="s">
        <v>541</v>
      </c>
    </row>
    <row r="23" spans="8:8" x14ac:dyDescent="0.25">
      <c r="H23" t="s">
        <v>560</v>
      </c>
    </row>
    <row r="24" spans="8:8" x14ac:dyDescent="0.25">
      <c r="H24" t="s">
        <v>523</v>
      </c>
    </row>
    <row r="25" spans="8:8" x14ac:dyDescent="0.25">
      <c r="H25" s="2" t="s">
        <v>542</v>
      </c>
    </row>
    <row r="26" spans="8:8" x14ac:dyDescent="0.25">
      <c r="H26" s="2" t="s">
        <v>561</v>
      </c>
    </row>
    <row r="27" spans="8:8" x14ac:dyDescent="0.25">
      <c r="H27" s="2" t="s">
        <v>562</v>
      </c>
    </row>
    <row r="28" spans="8:8" x14ac:dyDescent="0.25">
      <c r="H28" t="s">
        <v>677</v>
      </c>
    </row>
    <row r="29" spans="8:8" x14ac:dyDescent="0.25">
      <c r="H29" t="s">
        <v>678</v>
      </c>
    </row>
    <row r="30" spans="8:8" x14ac:dyDescent="0.25">
      <c r="H30" t="s">
        <v>672</v>
      </c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  <row r="40" spans="8:8" x14ac:dyDescent="0.25">
      <c r="H40"/>
    </row>
  </sheetData>
  <sheetProtection algorithmName="SHA-512" hashValue="A095sJn7hgWf6DV7RzpG12spvLkGWo8qvgQp23aReVMfBxDXFW6WWg8UT3Rhi9UITlA/tqE/CBYi8igRBOTdPg==" saltValue="2FSzLyry4LRsDCteqbc0Mw==" spinCount="100000" sheet="1" objects="1" scenarios="1"/>
  <dataValidations count="6">
    <dataValidation type="textLength" allowBlank="1" showInputMessage="1" showErrorMessage="1" errorTitle="Data Source" error="It can only accept 40 characters." sqref="D5" xr:uid="{8A7E23B1-D818-44A4-BB89-3629A86ABF90}">
      <formula1>0</formula1>
      <formula2>40</formula2>
    </dataValidation>
    <dataValidation type="decimal" allowBlank="1" showInputMessage="1" showErrorMessage="1" error="Please enter a valid reading." sqref="D7:D8" xr:uid="{E82F16CE-A00B-4CC4-8273-F2CA143BD65A}">
      <formula1>0</formula1>
      <formula2>9999999999</formula2>
    </dataValidation>
    <dataValidation type="date" allowBlank="1" showInputMessage="1" showErrorMessage="1" error="Please enter a valid date in mm/dd/yyyy format." sqref="B7:C8" xr:uid="{EC5A3D6B-3615-4FF8-9B61-B6AB8C37706F}">
      <formula1>1</formula1>
      <formula2>73415</formula2>
    </dataValidation>
    <dataValidation allowBlank="1" showInputMessage="1" showErrorMessage="1" error="Please enter a valid date in mm/dd/yyyy format." sqref="B9:D11" xr:uid="{47A9F792-F189-4261-8EDC-4E5B5DA8098A}"/>
    <dataValidation type="list" allowBlank="1" showInputMessage="1" showErrorMessage="1" sqref="D3" xr:uid="{D65E472C-6370-4870-841A-A24C26CEC405}">
      <formula1>WaterDrp</formula1>
    </dataValidation>
    <dataValidation type="list" allowBlank="1" showInputMessage="1" showErrorMessage="1" error="Units cannot edit." sqref="D4" xr:uid="{449A7A96-D823-4790-8FB5-DE84ACC0F8A2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9</xdr:row>
                    <xdr:rowOff>0</xdr:rowOff>
                  </from>
                  <to>
                    <xdr:col>2</xdr:col>
                    <xdr:colOff>1295400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8</xdr:row>
                    <xdr:rowOff>180975</xdr:rowOff>
                  </from>
                  <to>
                    <xdr:col>3</xdr:col>
                    <xdr:colOff>1085850</xdr:colOff>
                    <xdr:row>10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48"/>
      <c r="E2" s="1"/>
    </row>
    <row r="3" spans="1:24" ht="29.25" customHeight="1" x14ac:dyDescent="0.25">
      <c r="A3" s="4" t="s">
        <v>590</v>
      </c>
      <c r="B3" s="146" t="s">
        <v>565</v>
      </c>
      <c r="C3" s="153"/>
      <c r="D3" s="149" t="s">
        <v>512</v>
      </c>
      <c r="E3" s="1"/>
    </row>
    <row r="4" spans="1:24" ht="15.75" customHeight="1" x14ac:dyDescent="0.25">
      <c r="A4" s="4" t="s">
        <v>590</v>
      </c>
      <c r="B4" s="146" t="s">
        <v>564</v>
      </c>
      <c r="C4" s="9"/>
      <c r="D4" s="150" t="s">
        <v>529</v>
      </c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qJbXNFqDGcSeOvwrxxRiDSwwh8jvr144XErFNcXXZQUN6ylHbR3g6oAbl5MTZPFj6svUTWKkylmQ5vJDzVd0A==" saltValue="B01KCQB9kjRGsFQFvKf/oQ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base_f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1057275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1"/>
  <sheetViews>
    <sheetView zoomScaleNormal="100" workbookViewId="0">
      <selection activeCell="L11" sqref="L11"/>
    </sheetView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590</v>
      </c>
      <c r="B1" s="1"/>
      <c r="C1" s="1"/>
      <c r="D1" s="1"/>
      <c r="E1" s="1"/>
    </row>
    <row r="2" spans="1:6" x14ac:dyDescent="0.25">
      <c r="A2" s="4" t="s">
        <v>590</v>
      </c>
      <c r="B2" s="218" t="s">
        <v>563</v>
      </c>
      <c r="C2" s="219"/>
      <c r="D2" s="32" t="s">
        <v>592</v>
      </c>
      <c r="E2" s="1"/>
    </row>
    <row r="3" spans="1:6" x14ac:dyDescent="0.25">
      <c r="A3" s="4" t="s">
        <v>590</v>
      </c>
      <c r="B3" s="216" t="s">
        <v>679</v>
      </c>
      <c r="C3" s="217"/>
      <c r="D3" s="32" t="s">
        <v>557</v>
      </c>
      <c r="E3" s="1"/>
    </row>
    <row r="4" spans="1:6" ht="15" customHeight="1" x14ac:dyDescent="0.25">
      <c r="A4" s="4" t="s">
        <v>590</v>
      </c>
      <c r="B4" s="17" t="s">
        <v>564</v>
      </c>
      <c r="C4" s="19"/>
      <c r="D4" s="32" t="s">
        <v>574</v>
      </c>
      <c r="E4" s="1"/>
    </row>
    <row r="5" spans="1:6" ht="20.45" customHeight="1" x14ac:dyDescent="0.25">
      <c r="A5" s="4"/>
      <c r="B5" s="138" t="s">
        <v>614</v>
      </c>
      <c r="C5" s="99"/>
      <c r="D5" s="137"/>
      <c r="E5" s="1"/>
    </row>
    <row r="6" spans="1:6" ht="48" customHeight="1" x14ac:dyDescent="0.25">
      <c r="A6" s="4">
        <v>11</v>
      </c>
      <c r="B6" s="3" t="s">
        <v>543</v>
      </c>
      <c r="C6" s="3" t="s">
        <v>544</v>
      </c>
      <c r="D6" s="3" t="str">
        <f>CONCATENATE("Average 95th Percentile 
CO2 Reading 
","(",D4,")")</f>
        <v>Average 95th Percentile 
CO2 Reading 
(ppm)</v>
      </c>
      <c r="E6" s="1"/>
      <c r="F6" s="36"/>
    </row>
    <row r="7" spans="1:6" x14ac:dyDescent="0.25">
      <c r="A7" s="37">
        <f>IFERROR(IF(D7="",1,0),1)</f>
        <v>0</v>
      </c>
      <c r="B7" s="52">
        <f>INDEX(Dates,1,E7)</f>
        <v>43415</v>
      </c>
      <c r="C7" s="52">
        <f t="shared" ref="C7" si="0">B7</f>
        <v>43415</v>
      </c>
      <c r="D7" s="53">
        <f>HLOOKUP(B7,ReadingTable,2,FALSE)</f>
        <v>50.11</v>
      </c>
      <c r="E7" s="68">
        <f>IF(E6="",7,E6+1)</f>
        <v>7</v>
      </c>
    </row>
    <row r="8" spans="1:6" x14ac:dyDescent="0.25">
      <c r="A8" s="37">
        <f t="shared" ref="A8" si="1">IFERROR(IF(D8="",1,0),1)</f>
        <v>0</v>
      </c>
      <c r="B8" s="52">
        <f>INDEX(Dates,1,E8)</f>
        <v>43446</v>
      </c>
      <c r="C8" s="52">
        <f t="shared" ref="C8" si="2">B8</f>
        <v>43446</v>
      </c>
      <c r="D8" s="53">
        <f>HLOOKUP(B8,ReadingTable,2,FALSE)</f>
        <v>100.11</v>
      </c>
      <c r="E8" s="68">
        <f t="shared" ref="E8" si="3">IF(E7="",7,E7+1)</f>
        <v>8</v>
      </c>
    </row>
    <row r="9" spans="1:6" x14ac:dyDescent="0.25">
      <c r="A9" s="4" t="s">
        <v>545</v>
      </c>
      <c r="B9" s="1"/>
      <c r="C9" s="1"/>
      <c r="D9" s="1"/>
      <c r="E9" s="1"/>
    </row>
    <row r="10" spans="1:6" x14ac:dyDescent="0.25">
      <c r="A10" s="4"/>
      <c r="B10" s="1"/>
      <c r="C10" s="1"/>
      <c r="D10" s="1"/>
      <c r="E10" s="1"/>
    </row>
    <row r="11" spans="1:6" ht="36.6" customHeight="1" x14ac:dyDescent="0.25">
      <c r="A11" s="4" t="s">
        <v>545</v>
      </c>
      <c r="B11" s="24"/>
      <c r="C11" s="24"/>
      <c r="D11" s="24"/>
      <c r="E11" s="1"/>
    </row>
  </sheetData>
  <sheetProtection algorithmName="SHA-512" hashValue="cvmDojbYynb1B3fveXEAhWb9doc9sv57bsMF0iiBcG5Sc2fIz2fFfr9Xk2Rc1dfKSZRRsbVLAYeVWgZ66BneMA==" saltValue="mVV27CBlmhK32tJEimf4ZQ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8" xr:uid="{00000000-0002-0000-0500-000001000000}">
      <formula1>1</formula1>
      <formula2>73051</formula2>
    </dataValidation>
    <dataValidation type="decimal" allowBlank="1" showInputMessage="1" showErrorMessage="1" error="Please enter a valid reading." sqref="D7:D8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10</xdr:row>
                    <xdr:rowOff>9525</xdr:rowOff>
                  </from>
                  <to>
                    <xdr:col>2</xdr:col>
                    <xdr:colOff>447675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10</xdr:row>
                    <xdr:rowOff>400050</xdr:rowOff>
                  </from>
                  <to>
                    <xdr:col>3</xdr:col>
                    <xdr:colOff>981075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24"/>
  <sheetViews>
    <sheetView showGridLines="0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8" ht="36" customHeight="1" x14ac:dyDescent="0.25">
      <c r="A1" s="38" t="s">
        <v>590</v>
      </c>
      <c r="B1" s="40" t="s">
        <v>612</v>
      </c>
    </row>
    <row r="2" spans="1:8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577</v>
      </c>
      <c r="F2" s="45" t="s">
        <v>583</v>
      </c>
    </row>
    <row r="3" spans="1:8" x14ac:dyDescent="0.25">
      <c r="B3" s="75" t="s">
        <v>742</v>
      </c>
      <c r="C3" s="76">
        <v>1</v>
      </c>
      <c r="D3" s="91">
        <v>43415</v>
      </c>
      <c r="E3" s="97">
        <v>0.375</v>
      </c>
      <c r="F3" s="92">
        <v>50.11</v>
      </c>
    </row>
    <row r="4" spans="1:8" x14ac:dyDescent="0.25">
      <c r="B4" s="75" t="s">
        <v>744</v>
      </c>
      <c r="C4" s="76">
        <v>2</v>
      </c>
      <c r="D4" s="91">
        <v>43446</v>
      </c>
      <c r="E4" s="97">
        <v>0.375</v>
      </c>
      <c r="F4" s="92">
        <v>100.11</v>
      </c>
    </row>
    <row r="5" spans="1:8" ht="39" customHeight="1" x14ac:dyDescent="0.25"/>
    <row r="6" spans="1:8" s="59" customFormat="1" ht="51" customHeight="1" x14ac:dyDescent="0.2">
      <c r="A6" s="38" t="s">
        <v>581</v>
      </c>
      <c r="B6" s="40"/>
      <c r="F6" s="60"/>
      <c r="G6" s="69">
        <f>IF(G8="",1,0)</f>
        <v>0</v>
      </c>
      <c r="H6" s="69">
        <f>IF(H8="",1,0)</f>
        <v>0</v>
      </c>
    </row>
    <row r="7" spans="1:8" ht="21" customHeight="1" x14ac:dyDescent="0.25">
      <c r="A7" s="38" t="s">
        <v>590</v>
      </c>
      <c r="B7" s="220"/>
      <c r="C7" s="61"/>
      <c r="D7" s="61"/>
      <c r="E7" s="61"/>
      <c r="F7" s="62"/>
      <c r="G7" s="47" t="s">
        <v>576</v>
      </c>
      <c r="H7" s="47" t="s">
        <v>576</v>
      </c>
    </row>
    <row r="8" spans="1:8" ht="15" customHeight="1" x14ac:dyDescent="0.25">
      <c r="A8" s="38" t="s">
        <v>590</v>
      </c>
      <c r="B8" s="221"/>
      <c r="C8" s="63"/>
      <c r="D8" s="63"/>
      <c r="E8" s="63"/>
      <c r="F8" s="64"/>
      <c r="G8" s="145">
        <f t="array" ref="G8">IFERROR(INDEX($D$3:$D$5, MATCH(0,IF(ISBLANK($D$3:$D$5),1,COUNTIF($F$8:F8, $D$3:$D$5)), 0)),"")</f>
        <v>43415</v>
      </c>
      <c r="H8" s="145">
        <f t="array" ref="H8">IFERROR(INDEX($D$3:$D$5, MATCH(0,IF(ISBLANK($D$3:$D$5),1,COUNTIF($F$8:G8, $D$3:$D$5)), 0)),"")</f>
        <v>43446</v>
      </c>
    </row>
    <row r="9" spans="1:8" ht="27.75" customHeight="1" x14ac:dyDescent="0.25">
      <c r="A9" s="38" t="s">
        <v>590</v>
      </c>
      <c r="B9" s="222"/>
      <c r="C9" s="65"/>
      <c r="D9" s="65"/>
      <c r="E9" s="65"/>
      <c r="F9" s="66"/>
      <c r="G9" s="71" t="s">
        <v>582</v>
      </c>
      <c r="H9" s="71" t="s">
        <v>582</v>
      </c>
    </row>
    <row r="10" spans="1:8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Delhi</v>
      </c>
      <c r="C10" s="49"/>
      <c r="D10" s="49"/>
      <c r="E10" s="49"/>
      <c r="F10" s="58"/>
      <c r="G10" s="93">
        <f t="array" ref="G10">IFERROR(PERCENTILE(IF($B$3:$B$5=$B10,IF($D$3:$D$5=G$8,IF($F$3:$F$5&lt;&gt;"",$F$3:$F$5))),0.95),"")</f>
        <v>50.11</v>
      </c>
      <c r="H10" s="93" t="str">
        <f t="array" ref="H10">IFERROR(PERCENTILE(IF($B$3:$B$5=$B10,IF($D$3:$D$5=H$8,IF($F$3:$F$5&lt;&gt;"",$F$3:$F$5))),0.95),"")</f>
        <v/>
      </c>
    </row>
    <row r="11" spans="1:8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Gurugram</v>
      </c>
      <c r="C11" s="49"/>
      <c r="D11" s="49"/>
      <c r="E11" s="49"/>
      <c r="F11" s="58"/>
      <c r="G11" s="93" t="str">
        <f t="array" ref="G11">IFERROR(PERCENTILE(IF($B$3:$B$5=$B11,IF($D$3:$D$5=G$8,IF($F$3:$F$5&lt;&gt;"",$F$3:$F$5))),0.95),"")</f>
        <v/>
      </c>
      <c r="H11" s="93">
        <f t="array" ref="H11">IFERROR(PERCENTILE(IF($B$3:$B$5=$B11,IF($D$3:$D$5=H$8,IF($F$3:$F$5&lt;&gt;"",$F$3:$F$5))),0.95),"")</f>
        <v>100.11</v>
      </c>
    </row>
    <row r="12" spans="1:8" ht="9" customHeight="1" x14ac:dyDescent="0.25">
      <c r="G12" s="94"/>
      <c r="H12" s="94"/>
    </row>
    <row r="13" spans="1:8" ht="9" customHeight="1" x14ac:dyDescent="0.25">
      <c r="A13" s="38" t="s">
        <v>545</v>
      </c>
      <c r="G13" s="94"/>
      <c r="H13" s="94"/>
    </row>
    <row r="14" spans="1:8" ht="15" hidden="1" customHeight="1" x14ac:dyDescent="0.25">
      <c r="G14" s="72">
        <f>G8</f>
        <v>43415</v>
      </c>
      <c r="H14" s="72">
        <f>H8</f>
        <v>43446</v>
      </c>
    </row>
    <row r="15" spans="1:8" ht="20.25" customHeight="1" x14ac:dyDescent="0.25">
      <c r="B15" s="55" t="s">
        <v>579</v>
      </c>
      <c r="C15" s="56"/>
      <c r="D15" s="56"/>
      <c r="E15" s="56"/>
      <c r="F15" s="57"/>
      <c r="G15" s="95">
        <f>IFERROR(AVERAGE(G10:G13),0)</f>
        <v>50.11</v>
      </c>
      <c r="H15" s="95">
        <f>IFERROR(AVERAGE(H10:H13),0)</f>
        <v>100.11</v>
      </c>
    </row>
    <row r="16" spans="1:8" ht="24.75" customHeight="1" x14ac:dyDescent="0.25"/>
    <row r="17" spans="1:5" ht="28.5" hidden="1" customHeight="1" x14ac:dyDescent="0.25">
      <c r="A17" s="38">
        <v>10</v>
      </c>
      <c r="B17" s="50" t="s">
        <v>580</v>
      </c>
      <c r="C17" s="50"/>
      <c r="D17" s="50"/>
      <c r="E17" s="67"/>
    </row>
    <row r="18" spans="1:5" ht="15" hidden="1" customHeight="1" x14ac:dyDescent="0.25">
      <c r="A18" s="37">
        <f>IFERROR(IF(D18="",1,0),1)</f>
        <v>0</v>
      </c>
      <c r="B18" s="52">
        <f>INDEX(Dates,1,E18)</f>
        <v>43415</v>
      </c>
      <c r="C18" s="52">
        <f t="shared" ref="C18" si="1">B18</f>
        <v>43415</v>
      </c>
      <c r="D18" s="53">
        <f>HLOOKUP(B18,ReadingTable,2,FALSE)</f>
        <v>50.11</v>
      </c>
      <c r="E18" s="68">
        <f>IF(E17="",7,E17+1)</f>
        <v>7</v>
      </c>
    </row>
    <row r="19" spans="1:5" hidden="1" x14ac:dyDescent="0.25"/>
    <row r="20" spans="1:5" hidden="1" x14ac:dyDescent="0.25">
      <c r="B20" s="51" t="s">
        <v>578</v>
      </c>
      <c r="C20" s="51"/>
    </row>
    <row r="21" spans="1:5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5" hidden="1" x14ac:dyDescent="0.25"/>
    <row r="23" spans="1:5" ht="25.5" hidden="1" x14ac:dyDescent="0.25">
      <c r="B23" s="50" t="s">
        <v>584</v>
      </c>
    </row>
    <row r="24" spans="1:5" ht="15" hidden="1" x14ac:dyDescent="0.25">
      <c r="A24" s="4"/>
      <c r="B24" s="35"/>
      <c r="C24" s="35"/>
      <c r="D24" s="70"/>
      <c r="E24" s="1"/>
    </row>
  </sheetData>
  <sheetProtection algorithmName="SHA-512" hashValue="fk9EkIYiRP09nQZHSVbtJoFBdOEoyFNKCJFV5eUPL9Gs8UAYAGdC7WFvEY1dnIWnuME9pDcUe/rV3FY1U1sP2A==" saltValue="yZdnv8s2AUxN3uCl4vc2tw==" spinCount="100000" sheet="1" objects="1" scenarios="1"/>
  <autoFilter ref="B2:F4" xr:uid="{00000000-0009-0000-0000-000006000000}"/>
  <mergeCells count="1">
    <mergeCell ref="B7:B9"/>
  </mergeCells>
  <dataValidations count="4">
    <dataValidation type="decimal" allowBlank="1" showInputMessage="1" showErrorMessage="1" error="Please enter a valid reading." sqref="D24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24:C24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7" name="Button 31">
              <controlPr defaultSize="0" print="0" autoFill="0" autoPict="0" macro="[0]!Button31_Click">
                <anchor moveWithCells="1" sizeWithCells="1">
                  <from>
                    <xdr:col>3</xdr:col>
                    <xdr:colOff>676275</xdr:colOff>
                    <xdr:row>4</xdr:row>
                    <xdr:rowOff>152400</xdr:rowOff>
                  </from>
                  <to>
                    <xdr:col>4</xdr:col>
                    <xdr:colOff>962025</xdr:colOff>
                    <xdr:row>4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11"/>
  <sheetViews>
    <sheetView zoomScaleNormal="100" workbookViewId="0">
      <selection activeCell="D15" sqref="D15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590</v>
      </c>
      <c r="B1" s="1"/>
      <c r="C1" s="1"/>
      <c r="D1" s="1"/>
      <c r="E1" s="1"/>
    </row>
    <row r="2" spans="1:5" x14ac:dyDescent="0.25">
      <c r="A2" s="4" t="s">
        <v>590</v>
      </c>
      <c r="B2" s="218" t="s">
        <v>563</v>
      </c>
      <c r="C2" s="219"/>
      <c r="D2" s="31" t="s">
        <v>609</v>
      </c>
      <c r="E2" s="1"/>
    </row>
    <row r="3" spans="1:5" x14ac:dyDescent="0.25">
      <c r="A3" s="4" t="s">
        <v>590</v>
      </c>
      <c r="B3" s="216" t="s">
        <v>679</v>
      </c>
      <c r="C3" s="217"/>
      <c r="D3" s="31" t="s">
        <v>610</v>
      </c>
      <c r="E3" s="1"/>
    </row>
    <row r="4" spans="1:5" x14ac:dyDescent="0.25">
      <c r="A4" s="4" t="s">
        <v>590</v>
      </c>
      <c r="B4" s="17" t="s">
        <v>564</v>
      </c>
      <c r="C4" s="19"/>
      <c r="D4" s="31" t="s">
        <v>591</v>
      </c>
      <c r="E4" s="1"/>
    </row>
    <row r="5" spans="1:5" ht="20.45" customHeight="1" x14ac:dyDescent="0.25">
      <c r="A5" s="4"/>
      <c r="B5" s="138" t="s">
        <v>615</v>
      </c>
      <c r="C5" s="99"/>
      <c r="D5" s="137"/>
      <c r="E5" s="1"/>
    </row>
    <row r="6" spans="1:5" ht="33.75" customHeight="1" x14ac:dyDescent="0.25">
      <c r="A6" s="4">
        <v>11</v>
      </c>
      <c r="B6" s="3" t="s">
        <v>543</v>
      </c>
      <c r="C6" s="3" t="s">
        <v>544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37">
        <f>IFERROR(IF(D7="",1,0),1)</f>
        <v>0</v>
      </c>
      <c r="B7" s="52">
        <f>INDEX(DatesVOC,1,E7)</f>
        <v>43405</v>
      </c>
      <c r="C7" s="52">
        <f t="shared" ref="C7" si="0">B7</f>
        <v>43405</v>
      </c>
      <c r="D7" s="53">
        <f t="array" ref="D7">HLOOKUP(B7,ReadingTableVOC,2,FALSE)</f>
        <v>100.11</v>
      </c>
      <c r="E7" s="68">
        <f>IF(E6="",8,E6+1)</f>
        <v>8</v>
      </c>
    </row>
    <row r="8" spans="1:5" ht="15" customHeight="1" x14ac:dyDescent="0.25">
      <c r="A8" s="37">
        <f t="shared" ref="A8" si="1">IFERROR(IF(D8="",1,0),1)</f>
        <v>0</v>
      </c>
      <c r="B8" s="52">
        <f>INDEX(DatesVOC,1,E8)</f>
        <v>43435</v>
      </c>
      <c r="C8" s="52">
        <f t="shared" ref="C8" si="2">B8</f>
        <v>43435</v>
      </c>
      <c r="D8" s="53">
        <f t="array" ref="D8">HLOOKUP(B8,ReadingTableVOC,2,FALSE)</f>
        <v>80.11</v>
      </c>
      <c r="E8" s="68">
        <f t="shared" ref="E8" si="3">IF(E7="",8,E7+1)</f>
        <v>9</v>
      </c>
    </row>
    <row r="9" spans="1:5" ht="15" customHeight="1" x14ac:dyDescent="0.25">
      <c r="A9" s="4" t="s">
        <v>545</v>
      </c>
      <c r="B9" s="34"/>
      <c r="C9" s="34"/>
      <c r="D9" s="34"/>
      <c r="E9" s="1"/>
    </row>
    <row r="10" spans="1:5" ht="15" hidden="1" customHeight="1" x14ac:dyDescent="0.25">
      <c r="A10" s="4"/>
      <c r="B10" s="34"/>
      <c r="C10" s="34"/>
      <c r="D10" s="34"/>
      <c r="E10" s="1"/>
    </row>
    <row r="11" spans="1:5" ht="33.6" customHeight="1" x14ac:dyDescent="0.25">
      <c r="A11" s="4" t="s">
        <v>545</v>
      </c>
      <c r="B11" s="34"/>
      <c r="C11" s="34"/>
      <c r="D11" s="34"/>
      <c r="E11" s="1"/>
    </row>
  </sheetData>
  <sheetProtection algorithmName="SHA-512" hashValue="WXQsG+5tN84R/TPsAEtVLSsxZn9k8DhARnDucD7EeAoT7yDtc9HKhyvLmjKRidwRcpcUCDkXCt8LwqavkUd2bA==" saltValue="e30vgqBpmq6t0rG7rzQrGQ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9:D11" xr:uid="{00000000-0002-0000-0700-000000000000}"/>
    <dataValidation type="decimal" allowBlank="1" showInputMessage="1" showErrorMessage="1" error="Please enter a valid reading." sqref="D7:D8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8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10</xdr:row>
                    <xdr:rowOff>28575</xdr:rowOff>
                  </from>
                  <to>
                    <xdr:col>2</xdr:col>
                    <xdr:colOff>466725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10</xdr:row>
                    <xdr:rowOff>352425</xdr:rowOff>
                  </from>
                  <to>
                    <xdr:col>3</xdr:col>
                    <xdr:colOff>990600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22"/>
  <sheetViews>
    <sheetView showGridLines="0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9" ht="36" customHeight="1" x14ac:dyDescent="0.25">
      <c r="A1" s="38" t="s">
        <v>590</v>
      </c>
      <c r="B1" s="40" t="s">
        <v>613</v>
      </c>
    </row>
    <row r="2" spans="1:9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585</v>
      </c>
      <c r="F2" s="73" t="s">
        <v>586</v>
      </c>
      <c r="G2" s="45" t="s">
        <v>589</v>
      </c>
    </row>
    <row r="3" spans="1:9" x14ac:dyDescent="0.25">
      <c r="B3" s="75" t="s">
        <v>742</v>
      </c>
      <c r="C3" s="76">
        <v>1</v>
      </c>
      <c r="D3" s="91">
        <v>43405</v>
      </c>
      <c r="E3" s="97">
        <v>0.375</v>
      </c>
      <c r="F3" s="98">
        <v>0.5</v>
      </c>
      <c r="G3" s="92">
        <v>100.11</v>
      </c>
    </row>
    <row r="4" spans="1:9" x14ac:dyDescent="0.25">
      <c r="B4" s="75" t="s">
        <v>743</v>
      </c>
      <c r="C4" s="76">
        <v>2</v>
      </c>
      <c r="D4" s="91">
        <v>43435</v>
      </c>
      <c r="E4" s="97">
        <v>0.41666666666666669</v>
      </c>
      <c r="F4" s="98">
        <v>0.5</v>
      </c>
      <c r="G4" s="92">
        <v>80.11</v>
      </c>
      <c r="H4" s="46"/>
    </row>
    <row r="5" spans="1:9" ht="39" customHeight="1" x14ac:dyDescent="0.25"/>
    <row r="6" spans="1:9" s="59" customFormat="1" ht="51" customHeight="1" x14ac:dyDescent="0.2">
      <c r="A6" s="38" t="s">
        <v>581</v>
      </c>
      <c r="B6" s="40"/>
      <c r="G6" s="60"/>
      <c r="H6" s="69">
        <f>IF(H8="",1,0)</f>
        <v>0</v>
      </c>
      <c r="I6" s="69">
        <f>IF(I8="",1,0)</f>
        <v>0</v>
      </c>
    </row>
    <row r="7" spans="1:9" ht="21" customHeight="1" x14ac:dyDescent="0.25">
      <c r="A7" s="38" t="s">
        <v>590</v>
      </c>
      <c r="B7" s="220"/>
      <c r="C7" s="61"/>
      <c r="D7" s="61"/>
      <c r="E7" s="61"/>
      <c r="F7" s="61"/>
      <c r="G7" s="62"/>
      <c r="H7" s="47" t="s">
        <v>576</v>
      </c>
      <c r="I7" s="47" t="s">
        <v>576</v>
      </c>
    </row>
    <row r="8" spans="1:9" ht="15" customHeight="1" x14ac:dyDescent="0.25">
      <c r="A8" s="38" t="s">
        <v>590</v>
      </c>
      <c r="B8" s="221"/>
      <c r="C8" s="63"/>
      <c r="D8" s="63"/>
      <c r="E8" s="63"/>
      <c r="F8" s="63"/>
      <c r="G8" s="64"/>
      <c r="H8" s="145">
        <f t="array" ref="H8">IFERROR(INDEX($D$3:$D$5, MATCH(0,IF(ISBLANK($D$3:$D$5),1,COUNTIF($G$8:G8, $D$3:$D$5)), 0)),"")</f>
        <v>43405</v>
      </c>
      <c r="I8" s="145">
        <f t="array" ref="I8">IFERROR(INDEX($D$3:$D$5, MATCH(0,IF(ISBLANK($D$3:$D$5),1,COUNTIF($G$8:H8, $D$3:$D$5)), 0)),"")</f>
        <v>43435</v>
      </c>
    </row>
    <row r="9" spans="1:9" ht="27.75" customHeight="1" x14ac:dyDescent="0.25">
      <c r="A9" s="38" t="s">
        <v>590</v>
      </c>
      <c r="B9" s="222"/>
      <c r="C9" s="65"/>
      <c r="D9" s="65"/>
      <c r="E9" s="65"/>
      <c r="F9" s="65"/>
      <c r="G9" s="66"/>
      <c r="H9" s="74" t="s">
        <v>587</v>
      </c>
      <c r="I9" s="74" t="s">
        <v>587</v>
      </c>
    </row>
    <row r="10" spans="1:9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Delhi</v>
      </c>
      <c r="C10" s="49"/>
      <c r="D10" s="49"/>
      <c r="E10" s="49"/>
      <c r="F10" s="49"/>
      <c r="G10" s="58"/>
      <c r="H10" s="93">
        <f t="array" ref="H10">IFERROR(AVERAGE(IF($B$3:$B$5=$B10,IF($D$3:$D$5=H$8,IF($G$3:$G$5&lt;&gt;"",$G$3:$G$5)))),"")</f>
        <v>100.11</v>
      </c>
      <c r="I10" s="93" t="str">
        <f t="array" ref="I10">IFERROR(AVERAGE(IF($B$3:$B$5=$B10,IF($D$3:$D$5=I$8,IF($G$3:$G$5&lt;&gt;"",$G$3:$G$5)))),"")</f>
        <v/>
      </c>
    </row>
    <row r="11" spans="1:9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Noida</v>
      </c>
      <c r="C11" s="49"/>
      <c r="D11" s="49"/>
      <c r="E11" s="49"/>
      <c r="F11" s="49"/>
      <c r="G11" s="58"/>
      <c r="H11" s="93" t="str">
        <f t="array" ref="H11">IFERROR(AVERAGE(IF($B$3:$B$5=$B11,IF($D$3:$D$5=H$8,IF($G$3:$G$5&lt;&gt;"",$G$3:$G$5)))),"")</f>
        <v/>
      </c>
      <c r="I11" s="93">
        <f t="array" ref="I11">IFERROR(AVERAGE(IF($B$3:$B$5=$B11,IF($D$3:$D$5=I$8,IF($G$3:$G$5&lt;&gt;"",$G$3:$G$5)))),"")</f>
        <v>80.11</v>
      </c>
    </row>
    <row r="12" spans="1:9" ht="9" customHeight="1" x14ac:dyDescent="0.25">
      <c r="H12" s="94"/>
      <c r="I12" s="94"/>
    </row>
    <row r="13" spans="1:9" ht="9" customHeight="1" x14ac:dyDescent="0.25">
      <c r="A13" s="38" t="s">
        <v>545</v>
      </c>
      <c r="H13" s="94"/>
      <c r="I13" s="94"/>
    </row>
    <row r="14" spans="1:9" ht="15" hidden="1" customHeight="1" x14ac:dyDescent="0.25">
      <c r="H14" s="96">
        <f>H8</f>
        <v>43405</v>
      </c>
      <c r="I14" s="96">
        <f>I8</f>
        <v>43435</v>
      </c>
    </row>
    <row r="15" spans="1:9" ht="20.25" customHeight="1" x14ac:dyDescent="0.25">
      <c r="B15" s="55" t="s">
        <v>588</v>
      </c>
      <c r="C15" s="56"/>
      <c r="D15" s="56"/>
      <c r="E15" s="56"/>
      <c r="F15" s="56"/>
      <c r="G15" s="57"/>
      <c r="H15" s="95">
        <f>IFERROR(MAX(H10:H13),0)</f>
        <v>100.11</v>
      </c>
      <c r="I15" s="95">
        <f>IFERROR(MAX(I10:I13),0)</f>
        <v>80.11</v>
      </c>
    </row>
    <row r="16" spans="1:9" ht="24.75" customHeight="1" x14ac:dyDescent="0.25"/>
    <row r="17" spans="1:6" ht="28.5" hidden="1" customHeight="1" x14ac:dyDescent="0.25">
      <c r="A17" s="38">
        <v>10</v>
      </c>
      <c r="B17" s="50" t="s">
        <v>580</v>
      </c>
      <c r="C17" s="50"/>
      <c r="D17" s="50"/>
      <c r="E17" s="67"/>
      <c r="F17" s="67"/>
    </row>
    <row r="18" spans="1:6" ht="15" hidden="1" customHeight="1" x14ac:dyDescent="0.25">
      <c r="A18" s="37">
        <f>IFERROR(IF(D18="",1,0),1)</f>
        <v>0</v>
      </c>
      <c r="B18" s="52">
        <f>INDEX(DatesVOC,1,E18)</f>
        <v>43405</v>
      </c>
      <c r="C18" s="52">
        <f t="shared" ref="C18" si="1">B18</f>
        <v>43405</v>
      </c>
      <c r="D18" s="53">
        <f t="array" ref="D18">HLOOKUP(B18,ReadingTableVOC,2,FALSE)</f>
        <v>100.11</v>
      </c>
      <c r="E18" s="68">
        <f>IF(E17="",8,E17+1)</f>
        <v>8</v>
      </c>
      <c r="F18" s="68"/>
    </row>
    <row r="19" spans="1:6" hidden="1" x14ac:dyDescent="0.25"/>
    <row r="20" spans="1:6" hidden="1" x14ac:dyDescent="0.25">
      <c r="B20" s="51" t="s">
        <v>578</v>
      </c>
      <c r="C20" s="51"/>
    </row>
    <row r="21" spans="1:6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6" hidden="1" x14ac:dyDescent="0.25"/>
  </sheetData>
  <sheetProtection algorithmName="SHA-512" hashValue="wei0ElDrORWodkYRERebUeNIQ0gap7bFkRONI6TIrO5HqU5r9yifn9E7a2P4u46lPYOvo9vwyEfaRpzDR5D16Q==" saltValue="yfs8Tvbhzz+1VPLS7FbVkw==" spinCount="100000" sheet="1" objects="1" scenarios="1"/>
  <autoFilter ref="B2:G4" xr:uid="{00000000-0009-0000-0000-000008000000}"/>
  <mergeCells count="1">
    <mergeCell ref="B7:B9"/>
  </mergeCells>
  <dataValidations count="3">
    <dataValidation type="date" allowBlank="1" showInputMessage="1" showErrorMessage="1" error="Please enter a valid date in mm/dd/yyyy format." sqref="D3:D4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695325</xdr:colOff>
                    <xdr:row>4</xdr:row>
                    <xdr:rowOff>133350</xdr:rowOff>
                  </from>
                  <to>
                    <xdr:col>4</xdr:col>
                    <xdr:colOff>885825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4"/>
  <sheetViews>
    <sheetView zoomScaleNormal="100"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9" sqref="D19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9" x14ac:dyDescent="0.25">
      <c r="A1" s="4" t="s">
        <v>590</v>
      </c>
      <c r="B1" s="1"/>
      <c r="C1" s="1"/>
      <c r="D1" s="1"/>
      <c r="E1" s="1"/>
      <c r="F1" s="1"/>
    </row>
    <row r="2" spans="1:9" x14ac:dyDescent="0.25">
      <c r="A2" s="4" t="s">
        <v>590</v>
      </c>
      <c r="B2" s="218" t="s">
        <v>563</v>
      </c>
      <c r="C2" s="223"/>
      <c r="D2" s="219"/>
      <c r="E2" s="33" t="s">
        <v>569</v>
      </c>
      <c r="F2" s="1"/>
    </row>
    <row r="3" spans="1:9" ht="15" customHeight="1" x14ac:dyDescent="0.25">
      <c r="A3" s="4" t="s">
        <v>590</v>
      </c>
      <c r="B3" s="216" t="s">
        <v>679</v>
      </c>
      <c r="C3" s="224"/>
      <c r="D3" s="217"/>
      <c r="E3" s="33" t="s">
        <v>555</v>
      </c>
      <c r="F3" s="1"/>
    </row>
    <row r="4" spans="1:9" ht="14.25" customHeight="1" x14ac:dyDescent="0.25">
      <c r="A4" s="4" t="s">
        <v>590</v>
      </c>
      <c r="B4" s="17" t="s">
        <v>564</v>
      </c>
      <c r="C4" s="18"/>
      <c r="D4" s="19"/>
      <c r="E4" s="20" t="s">
        <v>559</v>
      </c>
      <c r="F4" s="1"/>
    </row>
    <row r="5" spans="1:9" x14ac:dyDescent="0.25">
      <c r="A5" s="4" t="s">
        <v>590</v>
      </c>
      <c r="B5" s="1"/>
      <c r="C5" s="1"/>
      <c r="D5" s="1"/>
      <c r="E5" s="1"/>
      <c r="F5" s="1"/>
    </row>
    <row r="6" spans="1:9" ht="25.5" x14ac:dyDescent="0.25">
      <c r="A6" s="4">
        <v>10</v>
      </c>
      <c r="B6" s="3" t="s">
        <v>543</v>
      </c>
      <c r="C6" s="3" t="s">
        <v>544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9" x14ac:dyDescent="0.25">
      <c r="A7" s="4"/>
      <c r="B7" s="35">
        <v>43435</v>
      </c>
      <c r="C7" s="35">
        <v>43496</v>
      </c>
      <c r="D7" s="21">
        <v>111</v>
      </c>
      <c r="E7" s="21">
        <v>99</v>
      </c>
      <c r="F7" s="1"/>
    </row>
    <row r="8" spans="1:9" x14ac:dyDescent="0.25">
      <c r="A8" s="4"/>
      <c r="B8" s="23"/>
      <c r="C8" s="23"/>
      <c r="D8" s="26"/>
      <c r="E8" s="27"/>
      <c r="F8" s="1"/>
    </row>
    <row r="9" spans="1:9" hidden="1" x14ac:dyDescent="0.25">
      <c r="A9" s="5">
        <v>0</v>
      </c>
      <c r="B9" s="25"/>
      <c r="C9" s="25"/>
      <c r="D9" s="28"/>
      <c r="E9" s="29"/>
      <c r="F9" s="1"/>
    </row>
    <row r="10" spans="1:9" ht="25.5" customHeight="1" x14ac:dyDescent="0.25">
      <c r="A10" s="4" t="s">
        <v>545</v>
      </c>
      <c r="B10" s="24"/>
      <c r="C10" s="24"/>
      <c r="D10" s="24"/>
      <c r="E10" s="30"/>
      <c r="F10" s="1"/>
    </row>
    <row r="12" spans="1:9" x14ac:dyDescent="0.25">
      <c r="I12" s="2" t="s">
        <v>559</v>
      </c>
    </row>
    <row r="13" spans="1:9" x14ac:dyDescent="0.25">
      <c r="I13" s="2" t="s">
        <v>554</v>
      </c>
    </row>
    <row r="14" spans="1:9" x14ac:dyDescent="0.25">
      <c r="I14" s="2" t="s">
        <v>539</v>
      </c>
    </row>
  </sheetData>
  <sheetProtection algorithmName="SHA-512" hashValue="ihIXyB+LuofHYQTFJC0Z0Sdn7xnVLoNpcJ/KldWVfcDD9xVA5zxilSKBpaYMe/zeKa4Ooa5QO44Ql9Dt/Uvswg==" saltValue="aUHn4b9IorVLjJEkk3HZuw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8:D10" xr:uid="{00000000-0002-0000-0900-000001000000}"/>
    <dataValidation type="date" allowBlank="1" showInputMessage="1" showErrorMessage="1" error="Please enter a valid date in mm/dd/yyyy format." sqref="B7:C7" xr:uid="{00000000-0002-0000-0900-000002000000}">
      <formula1>1</formula1>
      <formula2>54789</formula2>
    </dataValidation>
    <dataValidation type="decimal" allowBlank="1" showInputMessage="1" showErrorMessage="1" error="Please enter a valid reading." sqref="D7:E7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76200</xdr:colOff>
                    <xdr:row>9</xdr:row>
                    <xdr:rowOff>9525</xdr:rowOff>
                  </from>
                  <to>
                    <xdr:col>3</xdr:col>
                    <xdr:colOff>1200150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B2D53-D65B-46A4-89AD-1D182628B547}">
  <sheetPr codeName="Sheet25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C17" sqref="C17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Solar</v>
      </c>
      <c r="C1" s="1"/>
      <c r="D1" s="4" t="str">
        <f ca="1">B1</f>
        <v>Solar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745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681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43435</v>
      </c>
      <c r="C7" s="35">
        <v>43496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+IyJCqLf1FL4cO43pigTMOmhfPNxjbP5XHbgwQYC+p2NYvL5lU+DpDi2kVp9lr44YCatIPnlr3h2yqH50J2wbw==" saltValue="N6t7/xuZ+BSKlhdtlA8zsw==" spinCount="100000" sheet="1" objects="1" scenarios="1"/>
  <dataValidations count="6">
    <dataValidation type="textLength" allowBlank="1" showInputMessage="1" showErrorMessage="1" errorTitle="Data Source" error="It can only accept 40 characters." sqref="D5" xr:uid="{8542D54F-6D9F-4D98-9EDF-793DC0FED63D}">
      <formula1>0</formula1>
      <formula2>40</formula2>
    </dataValidation>
    <dataValidation type="decimal" allowBlank="1" showInputMessage="1" showErrorMessage="1" error="Please enter a valid reading." sqref="D7" xr:uid="{F28A5FF0-F30C-4849-828A-30718A287FFD}">
      <formula1>0</formula1>
      <formula2>9999999999</formula2>
    </dataValidation>
    <dataValidation type="date" allowBlank="1" showInputMessage="1" showErrorMessage="1" error="Please enter a valid date in mm/dd/yyyy format." sqref="B7:C7" xr:uid="{D07C9FE9-4F91-41E3-80D8-4E152867B00E}">
      <formula1>1</formula1>
      <formula2>73415</formula2>
    </dataValidation>
    <dataValidation allowBlank="1" showInputMessage="1" showErrorMessage="1" error="Please enter a valid date in mm/dd/yyyy format." sqref="B8:D10" xr:uid="{D180334B-8EA2-457E-A8B8-8AFDDF7FD164}"/>
    <dataValidation type="list" allowBlank="1" showInputMessage="1" showErrorMessage="1" sqref="D3" xr:uid="{C1BA2A03-78FF-4D8C-838E-2F8DCA85F1CB}">
      <formula1>ElectricityDrp</formula1>
    </dataValidation>
    <dataValidation type="list" allowBlank="1" showInputMessage="1" showErrorMessage="1" error="Units cannot edit." sqref="D4" xr:uid="{48CCCFB9-0932-4A3A-99E5-8808FE5EBE89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6" sqref="D6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688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CarbonMonoxide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1133475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3" sqref="D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1.7109375" style="2" hidden="1" customWidth="1"/>
    <col min="9" max="9" width="7.5703125" style="2" hidden="1" customWidth="1"/>
    <col min="10" max="10" width="11" style="2" hidden="1" customWidth="1"/>
    <col min="11" max="11" width="10" style="2" hidden="1" customWidth="1"/>
    <col min="12" max="12" width="12.28515625" style="2" hidden="1" customWidth="1"/>
    <col min="13" max="13" width="5.140625" style="2" hidden="1" customWidth="1"/>
    <col min="14" max="14" width="12.5703125" style="2" hidden="1" customWidth="1"/>
    <col min="15" max="15" width="9.42578125" style="2" hidden="1" customWidth="1"/>
    <col min="16" max="16" width="10" style="2" hidden="1" customWidth="1"/>
    <col min="17" max="17" width="10.5703125" style="2" hidden="1" customWidth="1"/>
    <col min="18" max="18" width="9.42578125" style="2" hidden="1" customWidth="1"/>
    <col min="19" max="19" width="6" style="2" hidden="1" customWidth="1"/>
    <col min="20" max="20" width="12.7109375" style="2" hidden="1" customWidth="1"/>
    <col min="21" max="21" width="22.85546875" style="2" hidden="1" customWidth="1"/>
    <col min="22" max="22" width="25.1406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2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7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  <dataValidation type="list" showInputMessage="1" showErrorMessage="1" error="Units cannot edit." sqref="D3" xr:uid="{CC7B21AF-F5F5-4B04-A008-E4072C1A9E8B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Ozone_Button5_Click">
                <anchor moveWithCells="1" sizeWithCells="1">
                  <from>
                    <xdr:col>2</xdr:col>
                    <xdr:colOff>1362075</xdr:colOff>
                    <xdr:row>9</xdr:row>
                    <xdr:rowOff>0</xdr:rowOff>
                  </from>
                  <to>
                    <xdr:col>3</xdr:col>
                    <xdr:colOff>1247775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3" sqref="D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4.140625" style="2" hidden="1" customWidth="1"/>
    <col min="9" max="9" width="12.42578125" style="2" hidden="1" customWidth="1"/>
    <col min="10" max="11" width="12.28515625" style="2" hidden="1" customWidth="1"/>
    <col min="12" max="12" width="11.85546875" style="2" hidden="1" customWidth="1"/>
    <col min="13" max="13" width="16" style="2" hidden="1" customWidth="1"/>
    <col min="14" max="14" width="14.140625" style="2" hidden="1" customWidth="1"/>
    <col min="15" max="15" width="11.42578125" style="2" hidden="1" customWidth="1"/>
    <col min="16" max="16" width="10.28515625" style="2" hidden="1" customWidth="1"/>
    <col min="17" max="17" width="11.85546875" style="2" hidden="1" customWidth="1"/>
    <col min="18" max="18" width="11.140625" style="2" hidden="1" customWidth="1"/>
    <col min="19" max="19" width="13.5703125" style="2" hidden="1" customWidth="1"/>
    <col min="20" max="20" width="12" style="2" hidden="1" customWidth="1"/>
    <col min="21" max="21" width="18.42578125" style="2" hidden="1" customWidth="1"/>
    <col min="22" max="22" width="16.710937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691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7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  <dataValidation type="list" showInputMessage="1" showErrorMessage="1" error="Units cannot edit." sqref="D3" xr:uid="{4C151C77-D5D7-4C0E-B780-E25E37EDCE23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5" name="Button 4">
              <controlPr defaultSize="0" print="0" autoFill="0" autoPict="0" macro="[0]!AtmosphericParticulateMatter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1019175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692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Button 4">
              <controlPr defaultSize="0" print="0" autoFill="0" autoPict="0" macro="[0]!Acetaldehyde_Button4_Click">
                <anchor moveWithCells="1" sizeWithCells="1">
                  <from>
                    <xdr:col>2</xdr:col>
                    <xdr:colOff>1362075</xdr:colOff>
                    <xdr:row>9</xdr:row>
                    <xdr:rowOff>9525</xdr:rowOff>
                  </from>
                  <to>
                    <xdr:col>3</xdr:col>
                    <xdr:colOff>1181100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2" sqref="D12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693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Benzene_Button4_Click">
                <anchor moveWithCells="1" sizeWithCells="1">
                  <from>
                    <xdr:col>3</xdr:col>
                    <xdr:colOff>0</xdr:colOff>
                    <xdr:row>9</xdr:row>
                    <xdr:rowOff>9525</xdr:rowOff>
                  </from>
                  <to>
                    <xdr:col>3</xdr:col>
                    <xdr:colOff>1076325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5" sqref="D15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694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5" name="Button 4">
              <controlPr defaultSize="0" print="0" autoFill="0" autoPict="0" macro="[0]!Styr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1104900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0" sqref="D1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696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5" name="Button 4">
              <controlPr defaultSize="0" print="0" autoFill="0" autoPict="0" macro="[0]!Tolu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1066800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20" sqref="D2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5" name="Button 4">
              <controlPr defaultSize="0" print="0" autoFill="0" autoPict="0" macro="[0]!Naphthalene_Button4_Click">
                <anchor moveWithCells="1" siz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3</xdr:col>
                    <xdr:colOff>1152525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0" sqref="D1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698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5" name="Button 4">
              <controlPr defaultSize="0" print="0" autoFill="0" autoPict="0" macro="[0]!Dichlorobenzene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1085850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6" sqref="D16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5" name="Button 4">
              <controlPr defaultSize="0" print="0" autoFill="0" autoPict="0" macro="[0]!Xylenestotal_Button4_Click">
                <anchor moveWithCells="1" sizeWithCells="1">
                  <from>
                    <xdr:col>2</xdr:col>
                    <xdr:colOff>1352550</xdr:colOff>
                    <xdr:row>9</xdr:row>
                    <xdr:rowOff>28575</xdr:rowOff>
                  </from>
                  <to>
                    <xdr:col>3</xdr:col>
                    <xdr:colOff>1047750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1" sqref="D11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700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701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5"/>
      <c r="C7" s="35"/>
      <c r="D7" s="22"/>
      <c r="E7" s="1"/>
      <c r="H7" s="2" t="s">
        <v>690</v>
      </c>
    </row>
    <row r="8" spans="1:24" x14ac:dyDescent="0.25">
      <c r="A8" s="4"/>
      <c r="B8" s="23"/>
      <c r="C8" s="161"/>
      <c r="D8" s="26"/>
      <c r="E8" s="1"/>
      <c r="H8" s="2" t="s">
        <v>702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aldehyde_Button4_Click">
                <anchor moveWithCells="1" sizeWithCells="1">
                  <from>
                    <xdr:col>2</xdr:col>
                    <xdr:colOff>1362075</xdr:colOff>
                    <xdr:row>9</xdr:row>
                    <xdr:rowOff>28575</xdr:rowOff>
                  </from>
                  <to>
                    <xdr:col>3</xdr:col>
                    <xdr:colOff>1162050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workbookViewId="0">
      <selection activeCell="F24" sqref="F24"/>
    </sheetView>
  </sheetViews>
  <sheetFormatPr defaultRowHeight="15" x14ac:dyDescent="0.25"/>
  <sheetData/>
  <sheetProtection algorithmName="SHA-512" hashValue="McZ0tgqKgH5LXwtBUt6htCvt12RocTEsnYSauavEUnZjtlZI7cPfLCJMf021NRXeOqoBbqT6cyqpev8pYcra9g==" saltValue="RB4xOIpcf4eswJbLPdXOO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360</vt:i4>
      </vt:variant>
    </vt:vector>
  </HeadingPairs>
  <TitlesOfParts>
    <vt:vector size="385" baseType="lpstr">
      <vt:lpstr>Instructions</vt:lpstr>
      <vt:lpstr>Building Settings</vt:lpstr>
      <vt:lpstr>base_w</vt:lpstr>
      <vt:lpstr>base_e</vt:lpstr>
      <vt:lpstr>AnalyticsEnergyMeter</vt:lpstr>
      <vt:lpstr>AnalyticWaterMeter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Solar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AnalyticsEnergyMeter!elecName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'Naphthalene '!elecName</vt:lpstr>
      <vt:lpstr>Ozone!elecName</vt:lpstr>
      <vt:lpstr>Solar!elecName</vt:lpstr>
      <vt:lpstr>Styrene!elecName</vt:lpstr>
      <vt:lpstr>Toluene!elecName</vt:lpstr>
      <vt:lpstr>'Xylenes-total'!elecName</vt:lpstr>
      <vt:lpstr>elecName</vt:lpstr>
      <vt:lpstr>Acetaldehyde!ElectricityDrp</vt:lpstr>
      <vt:lpstr>AnalyticsEnergyMeter!ElectricityDrp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'Naphthalene '!ElectricityDrp</vt:lpstr>
      <vt:lpstr>Ozone!ElectricityDrp</vt:lpstr>
      <vt:lpstr>Solar!ElectricityDrp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AnalyticWaterMeter!water_meter_type</vt:lpstr>
      <vt:lpstr>water_meter_type</vt:lpstr>
      <vt:lpstr>AnalyticWaterMeter!water_type</vt:lpstr>
      <vt:lpstr>water_type</vt:lpstr>
      <vt:lpstr>AnalyticWaterMeter!water_units</vt:lpstr>
      <vt:lpstr>water_units</vt:lpstr>
      <vt:lpstr>Acetaldehyde!WaterDrp</vt:lpstr>
      <vt:lpstr>AnalyticWaterMeter!WaterDrp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AnalyticWaterMeter!waterType</vt:lpstr>
      <vt:lpstr>waterType</vt:lpstr>
      <vt:lpstr>AnalyticWaterMeter!waterUnits</vt:lpstr>
      <vt:lpstr>waterUnits</vt:lpstr>
      <vt:lpstr>AnalyticWaterMeter!watUn</vt:lpstr>
      <vt:lpstr>watUn</vt:lpstr>
      <vt:lpstr>Acetaldehyde!watUni</vt:lpstr>
      <vt:lpstr>AnalyticWaterMeter!watUni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AnalyticWaterMeter!zep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Abhishek Kumar</cp:lastModifiedBy>
  <cp:lastPrinted>2017-09-22T06:24:12Z</cp:lastPrinted>
  <dcterms:created xsi:type="dcterms:W3CDTF">2014-11-12T06:32:08Z</dcterms:created>
  <dcterms:modified xsi:type="dcterms:W3CDTF">2019-07-11T05:19:05Z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