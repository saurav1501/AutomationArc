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D:\Automation\AutomationArc\AutomationArc\ARCDataTemplete\"/>
    </mc:Choice>
  </mc:AlternateContent>
  <xr:revisionPtr revIDLastSave="0" documentId="13_ncr:1_{589F0E54-A74C-4137-B258-568D4ADB1ED5}" xr6:coauthVersionLast="36" xr6:coauthVersionMax="43" xr10:uidLastSave="{00000000-0000-0000-0000-000000000000}"/>
  <bookViews>
    <workbookView xWindow="0" yWindow="0" windowWidth="20385" windowHeight="7515" firstSheet="1" activeTab="1"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30" l="1"/>
  <c r="B1" i="30"/>
  <c r="D1" i="30" s="1"/>
  <c r="E7" i="12"/>
  <c r="B7" i="12" s="1"/>
  <c r="H8" i="14" a="1"/>
  <c r="H8" i="14" s="1"/>
  <c r="E7" i="13"/>
  <c r="B7" i="13" s="1"/>
  <c r="I8" i="15" a="1"/>
  <c r="I8" i="15" s="1"/>
  <c r="E8" i="12" l="1"/>
  <c r="B8" i="12" s="1"/>
  <c r="C8" i="12" s="1"/>
  <c r="D7" i="12"/>
  <c r="A7" i="12" s="1"/>
  <c r="C7" i="12"/>
  <c r="H6" i="14"/>
  <c r="H14" i="14"/>
  <c r="H10" i="14" a="1"/>
  <c r="H10" i="14" s="1"/>
  <c r="H11" i="14" a="1"/>
  <c r="H11" i="14" s="1"/>
  <c r="E8" i="13"/>
  <c r="B8" i="13" s="1"/>
  <c r="D8" i="13" s="1" a="1"/>
  <c r="D8" i="13" s="1"/>
  <c r="A8" i="13" s="1"/>
  <c r="C7" i="13"/>
  <c r="D7" i="13" a="1"/>
  <c r="D7" i="13" s="1"/>
  <c r="A7" i="13" s="1"/>
  <c r="I6" i="15"/>
  <c r="I11" i="15" a="1"/>
  <c r="I11" i="15" s="1"/>
  <c r="I14" i="15"/>
  <c r="I10" i="15" a="1"/>
  <c r="I10" i="15" s="1"/>
  <c r="I15" i="15" s="1"/>
  <c r="D6" i="29"/>
  <c r="B1" i="29"/>
  <c r="D1" i="29" s="1"/>
  <c r="D6" i="28"/>
  <c r="B1" i="28"/>
  <c r="D1" i="28" s="1"/>
  <c r="C8" i="13" l="1"/>
  <c r="D8" i="12"/>
  <c r="A8" i="12" s="1"/>
  <c r="H15" i="14"/>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E19" i="16" l="1"/>
  <c r="L17" i="16" l="1"/>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D28" i="16" l="1"/>
  <c r="D27" i="16"/>
  <c r="B18" i="15"/>
  <c r="C18" i="15" s="1"/>
  <c r="G11" i="14" a="1"/>
  <c r="G11" i="14" s="1"/>
  <c r="A11" i="14"/>
  <c r="A11" i="15"/>
  <c r="H11" i="15" a="1"/>
  <c r="H11" i="15" s="1"/>
  <c r="B18" i="14"/>
  <c r="C18" i="14" s="1"/>
  <c r="G15" i="14" l="1"/>
  <c r="H15" i="15"/>
  <c r="D18" i="15" s="1" a="1"/>
  <c r="D18" i="15" s="1"/>
  <c r="A18" i="15" s="1"/>
  <c r="D18" i="14" l="1"/>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<sst xmlns="http://schemas.openxmlformats.org/spreadsheetml/2006/main" count="3914" uniqueCount="757">
  <si>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</si>
  <si>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</si>
  <si>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</si>
  <si>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</si>
  <si>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</si>
  <si>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</si>
  <si>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</si>
  <si>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</si>
  <si>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</si>
  <si>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</si>
  <si>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</si>
  <si>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</si>
  <si>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</si>
  <si>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</si>
  <si>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</si>
  <si>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</si>
  <si>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</si>
  <si>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</si>
  <si>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</si>
  <si>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</si>
  <si>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</si>
  <si>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</si>
  <si>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</si>
  <si>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</si>
  <si>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</si>
  <si>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</si>
  <si>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</si>
  <si>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</si>
  <si>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</si>
  <si>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</si>
  <si>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</si>
  <si>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</si>
  <si>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</si>
  <si>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</si>
  <si>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</si>
  <si>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</si>
  <si>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</si>
  <si>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</si>
  <si>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</si>
  <si>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</si>
  <si>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</si>
  <si>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</si>
  <si>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</si>
  <si>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</si>
  <si>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</si>
  <si>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</si>
  <si>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</si>
  <si>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</si>
  <si>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</si>
  <si>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</si>
  <si>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</si>
  <si>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</si>
  <si>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</si>
  <si>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</si>
  <si>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</si>
  <si>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</si>
  <si>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</si>
  <si>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</si>
  <si>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</si>
  <si>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</si>
  <si>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</si>
  <si>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</si>
  <si>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</si>
  <si>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</si>
  <si>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</si>
  <si>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</si>
  <si>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</si>
  <si>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</si>
  <si>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</si>
  <si>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</si>
  <si>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</si>
  <si>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</si>
  <si>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</si>
  <si>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</si>
  <si>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</si>
  <si>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</si>
  <si>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</si>
  <si>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</si>
  <si>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</si>
  <si>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</si>
  <si>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</si>
  <si>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</si>
  <si>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</si>
  <si>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</si>
  <si>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</si>
  <si>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</si>
  <si>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</si>
  <si>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</si>
  <si>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</si>
  <si>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</si>
  <si>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</si>
  <si>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</si>
  <si>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</si>
  <si>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</si>
  <si>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</si>
  <si>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</si>
  <si>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</si>
  <si>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</si>
  <si>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</si>
  <si>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</si>
  <si>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</si>
  <si>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</si>
  <si>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</si>
  <si>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</si>
  <si>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</si>
  <si>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</si>
  <si>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</si>
  <si>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</si>
  <si>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</si>
  <si>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</si>
  <si>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</si>
  <si>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</si>
  <si>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</si>
  <si>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</si>
  <si>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</si>
  <si>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</si>
  <si>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</si>
  <si>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</si>
  <si>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</si>
  <si>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</si>
  <si>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</si>
  <si>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</si>
  <si>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</si>
  <si>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</si>
  <si>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</si>
  <si>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</si>
  <si>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</si>
  <si>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</si>
  <si>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</si>
  <si>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</si>
  <si>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</si>
  <si>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</si>
  <si>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</si>
  <si>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</si>
  <si>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</si>
  <si>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</si>
  <si>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</si>
  <si>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</si>
  <si>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</si>
  <si>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</si>
  <si>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</si>
  <si>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</si>
  <si>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</si>
  <si>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</si>
  <si>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</si>
  <si>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</si>
  <si>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</si>
  <si>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</si>
  <si>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</si>
  <si>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</si>
  <si>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</si>
  <si>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</si>
  <si>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</si>
  <si>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</si>
  <si>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</si>
  <si>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</si>
  <si>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</si>
  <si>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</si>
  <si>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</si>
  <si>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</si>
  <si>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</si>
  <si>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</si>
  <si>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</si>
  <si>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</si>
  <si>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</si>
  <si>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</si>
  <si>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</si>
  <si>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</si>
  <si>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</si>
  <si>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</si>
  <si>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</si>
  <si>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</si>
  <si>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</si>
  <si>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</si>
  <si>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</si>
  <si>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</si>
  <si>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</si>
  <si>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</si>
  <si>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</si>
  <si>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</si>
  <si>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</si>
  <si>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</si>
  <si>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</si>
  <si>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</si>
  <si>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</si>
  <si>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</si>
  <si>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</si>
  <si>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</si>
  <si>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</si>
  <si>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</si>
  <si>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</si>
  <si>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</si>
  <si>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</si>
  <si>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</si>
  <si>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</si>
  <si>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</si>
  <si>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</si>
  <si>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</si>
  <si>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</si>
  <si>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</si>
  <si>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</si>
  <si>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</si>
  <si>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</si>
  <si>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</si>
  <si>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</si>
  <si>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</si>
  <si>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</si>
  <si>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</si>
  <si>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</si>
  <si>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</si>
  <si>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</si>
  <si>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</si>
  <si>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</si>
  <si>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</si>
  <si>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</si>
  <si>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</si>
  <si>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</si>
  <si>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</si>
  <si>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</si>
  <si>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</si>
  <si>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</si>
  <si>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</si>
  <si>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</si>
  <si>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</si>
  <si>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</si>
  <si>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</si>
  <si>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</si>
  <si>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</si>
  <si>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</si>
  <si>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</si>
  <si>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</si>
  <si>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</si>
  <si>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</si>
  <si>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</si>
  <si>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</si>
  <si>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</si>
  <si>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</si>
  <si>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</si>
  <si>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</si>
  <si>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</si>
  <si>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</si>
  <si>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</si>
  <si>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</si>
  <si>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</si>
  <si>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</si>
  <si>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</si>
  <si>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</si>
  <si>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</si>
  <si>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</si>
  <si>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</si>
  <si>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</si>
  <si>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</si>
  <si>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</si>
  <si>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</si>
  <si>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</si>
  <si>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</si>
  <si>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</si>
  <si>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</si>
  <si>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</si>
  <si>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</si>
  <si>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</si>
  <si>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</si>
  <si>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</si>
  <si>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</si>
  <si>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</si>
  <si>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</si>
  <si>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</si>
  <si>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</si>
  <si>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</si>
  <si>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</si>
  <si>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</si>
  <si>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</si>
  <si>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</si>
  <si>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</si>
  <si>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</si>
  <si>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</si>
  <si>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</si>
  <si>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</si>
  <si>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</si>
  <si>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</si>
  <si>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</si>
  <si>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</si>
  <si>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</si>
  <si>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</si>
  <si>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</si>
  <si>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</si>
  <si>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</si>
  <si>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</si>
  <si>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</si>
  <si>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</si>
  <si>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</si>
  <si>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</si>
  <si>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</si>
  <si>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</si>
  <si>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</si>
  <si>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</si>
  <si>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</si>
  <si>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</si>
  <si>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</si>
  <si>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</si>
  <si>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</si>
  <si>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</si>
  <si>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</si>
  <si>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</si>
  <si>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</si>
  <si>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</si>
  <si>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</si>
  <si>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</si>
  <si>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</si>
  <si>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</si>
  <si>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</si>
  <si>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</si>
  <si>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</si>
  <si>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</si>
  <si>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</si>
  <si>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</si>
  <si>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</si>
  <si>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</si>
  <si>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</si>
  <si>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</si>
  <si>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</si>
  <si>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</si>
  <si>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</si>
  <si>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</si>
  <si>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</si>
  <si>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</si>
  <si>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</si>
  <si>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</si>
  <si>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</si>
  <si>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</si>
  <si>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</si>
  <si>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</si>
  <si>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</si>
  <si>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</si>
  <si>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</si>
  <si>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</si>
  <si>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</si>
  <si>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</si>
  <si>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</si>
  <si>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</si>
  <si>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</si>
  <si>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</si>
  <si>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</si>
  <si>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</si>
  <si>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</si>
  <si>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</si>
  <si>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</si>
  <si>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</si>
  <si>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</si>
  <si>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</si>
  <si>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</si>
  <si>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</si>
  <si>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</si>
  <si>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</si>
  <si>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</si>
  <si>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</si>
  <si>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</si>
  <si>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</si>
  <si>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</si>
  <si>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</si>
  <si>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</si>
  <si>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</si>
  <si>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</si>
  <si>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</si>
  <si>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</si>
  <si>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</si>
  <si>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</si>
  <si>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</si>
  <si>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</si>
  <si>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</si>
  <si>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</si>
  <si>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</si>
  <si>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</si>
  <si>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</si>
  <si>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</si>
  <si>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</si>
  <si>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</si>
  <si>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</si>
  <si>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</si>
  <si>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</si>
  <si>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</si>
  <si>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</si>
  <si>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</si>
  <si>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</si>
  <si>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</si>
  <si>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</si>
  <si>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</si>
  <si>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</si>
  <si>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</si>
  <si>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</si>
  <si>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</si>
  <si>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</si>
  <si>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</si>
  <si>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</si>
  <si>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</si>
  <si>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</si>
  <si>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</si>
  <si>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</si>
  <si>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</si>
  <si>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</si>
  <si>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</si>
  <si>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</si>
  <si>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</si>
  <si>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</si>
  <si>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</si>
  <si>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</si>
  <si>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</si>
  <si>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</si>
  <si>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</si>
  <si>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</si>
  <si>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</si>
  <si>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</si>
  <si>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</si>
  <si>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</si>
  <si>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</si>
  <si>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</si>
  <si>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</si>
  <si>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</si>
  <si>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</si>
  <si>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</si>
  <si>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</si>
  <si>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</si>
  <si>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</si>
  <si>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</si>
  <si>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</si>
  <si>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</si>
  <si>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</si>
  <si>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</si>
  <si>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</si>
  <si>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</si>
  <si>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</si>
  <si>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</si>
  <si>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</si>
  <si>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</si>
  <si>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</si>
  <si>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</si>
  <si>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</si>
  <si>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</si>
  <si>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</si>
  <si>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</si>
  <si>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</si>
  <si>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</si>
  <si>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</si>
  <si>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</si>
  <si>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</si>
  <si>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</si>
  <si>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</si>
  <si>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</si>
  <si>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</si>
  <si>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</si>
  <si>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</si>
  <si>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</si>
  <si>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</si>
  <si>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</si>
  <si>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</si>
  <si>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</si>
  <si>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</si>
  <si>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</si>
  <si>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</si>
  <si>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</si>
  <si>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</si>
  <si>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</si>
  <si>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</si>
  <si>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</si>
  <si>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</si>
  <si>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</si>
  <si>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</si>
  <si>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</si>
  <si>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</si>
  <si>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</si>
  <si>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</si>
  <si>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</si>
  <si>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</si>
  <si>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</si>
  <si>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</si>
  <si>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</si>
  <si>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</si>
  <si>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</si>
  <si>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</si>
  <si>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</si>
  <si>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</si>
  <si>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</si>
  <si>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</si>
  <si>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</si>
  <si>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</si>
  <si>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</si>
  <si>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</si>
  <si>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</si>
  <si>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</si>
  <si>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</si>
  <si>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</si>
  <si>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</si>
  <si>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</si>
  <si>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</si>
  <si>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</si>
  <si>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</si>
  <si>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</si>
  <si>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</si>
  <si>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</si>
  <si>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</si>
  <si>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</si>
  <si>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</si>
  <si>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</si>
  <si>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</si>
  <si>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</si>
  <si>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</si>
  <si>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</si>
  <si>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</si>
  <si>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</si>
  <si>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</si>
  <si>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</si>
  <si>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</si>
  <si>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</si>
  <si>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</si>
  <si>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</si>
  <si>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</si>
  <si>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</si>
  <si>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</si>
  <si>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</si>
  <si>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</si>
  <si>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</si>
  <si>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</si>
  <si>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</si>
  <si>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</si>
  <si>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</si>
  <si>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</si>
  <si>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</si>
  <si>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</si>
  <si>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</si>
  <si>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</si>
  <si>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</si>
  <si>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</si>
  <si>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</si>
  <si>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</si>
  <si>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</si>
  <si>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</si>
  <si>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</si>
  <si>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</si>
  <si>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</si>
  <si>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</si>
  <si>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</si>
  <si>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</si>
  <si>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</si>
  <si>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</si>
  <si>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</si>
  <si>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</si>
  <si>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</si>
  <si>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</si>
  <si>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</si>
  <si>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</si>
  <si>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</si>
  <si>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</si>
  <si>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</si>
  <si>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</si>
  <si>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</si>
  <si>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</si>
  <si>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</si>
  <si>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</si>
  <si>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</si>
  <si>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</si>
  <si>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</si>
  <si>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</si>
  <si>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</si>
  <si>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</si>
  <si>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</si>
  <si>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</si>
  <si>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</si>
  <si>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</si>
  <si>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</si>
  <si>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</si>
  <si>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</si>
  <si>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</si>
  <si>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</si>
  <si>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</si>
  <si>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</si>
  <si>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</si>
  <si>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</si>
  <si>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</si>
  <si>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</si>
  <si>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</si>
  <si>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</si>
  <si>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</si>
  <si>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</si>
  <si>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</si>
  <si>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</si>
  <si>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</si>
  <si>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</si>
  <si>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</si>
  <si>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</si>
  <si>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</si>
  <si>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</si>
  <si>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</si>
  <si>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</si>
  <si>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</si>
  <si>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</si>
  <si>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</si>
  <si>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</si>
  <si>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</si>
  <si>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</si>
  <si>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</si>
  <si>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</si>
  <si>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</si>
  <si>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</si>
  <si>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</si>
  <si>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</si>
  <si>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</si>
  <si>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</si>
  <si>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</si>
  <si>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</si>
  <si>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</si>
  <si>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</si>
  <si>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</si>
  <si>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</si>
  <si>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</si>
  <si>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</si>
  <si>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</si>
  <si>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</si>
  <si>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</si>
  <si>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</si>
  <si>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</si>
  <si>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</si>
  <si>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</si>
  <si>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</si>
  <si>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</si>
  <si>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</si>
  <si>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</si>
  <si>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</si>
  <si>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</si>
  <si>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</si>
  <si>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</si>
  <si>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</si>
  <si>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</si>
  <si>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</si>
  <si>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</si>
  <si>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</si>
  <si>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</si>
  <si>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</si>
  <si>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</si>
  <si>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</si>
  <si>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</si>
  <si>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</si>
  <si>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</si>
  <si>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</si>
  <si>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</si>
  <si>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</si>
  <si>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</si>
  <si>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</si>
  <si>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</si>
  <si>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</si>
  <si>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</si>
  <si>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</si>
  <si>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</si>
  <si>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</si>
  <si>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</si>
  <si>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</si>
  <si>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</si>
  <si>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</si>
  <si>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</si>
  <si>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</si>
  <si>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</si>
  <si>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</si>
  <si>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</si>
  <si>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</si>
  <si>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</si>
  <si>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</si>
  <si>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</si>
  <si>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</si>
  <si>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</si>
  <si>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</si>
  <si>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</si>
  <si>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</si>
  <si>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</si>
  <si>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</si>
  <si>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</si>
  <si>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</si>
  <si>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</si>
  <si>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</si>
  <si>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</si>
  <si>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</si>
  <si>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</si>
  <si>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</si>
  <si>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</si>
  <si>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</si>
  <si>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</si>
  <si>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</si>
  <si>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</si>
  <si>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</si>
  <si>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</si>
  <si>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</si>
  <si>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</si>
  <si>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</si>
  <si>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</si>
  <si>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</si>
  <si>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</si>
  <si>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</si>
  <si>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</si>
  <si>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</si>
  <si>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</si>
  <si>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</si>
  <si>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</si>
  <si>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</si>
  <si>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</si>
  <si>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</si>
  <si>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</si>
  <si>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</si>
  <si>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</si>
  <si>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</si>
  <si>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</si>
  <si>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</si>
  <si>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</si>
  <si>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</si>
  <si>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</si>
  <si>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</si>
  <si>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</si>
  <si>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</si>
  <si>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</si>
  <si>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</si>
  <si>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</si>
  <si>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</si>
  <si>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</si>
  <si>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</si>
  <si>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</si>
  <si>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</si>
  <si>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</si>
  <si>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</si>
  <si>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</si>
  <si>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</si>
  <si>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</si>
  <si>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</si>
  <si>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</si>
  <si>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</si>
  <si>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</si>
  <si>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</si>
  <si>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</si>
  <si>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</si>
  <si>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</si>
  <si>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</si>
  <si>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</si>
  <si>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</si>
  <si>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</si>
  <si>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</si>
  <si>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</si>
  <si>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</si>
  <si>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</si>
  <si>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</si>
  <si>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</si>
  <si>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</si>
  <si>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</si>
  <si>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</si>
  <si>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Space Name or Description 1</t>
  </si>
  <si>
    <t>Exclude</t>
  </si>
  <si>
    <t>AnalyticsEnergyMeter</t>
  </si>
  <si>
    <t>AnalyticsWaterMeter</t>
  </si>
  <si>
    <t>Delhi</t>
  </si>
  <si>
    <t>Noida</t>
  </si>
  <si>
    <t>GeneratedOnsite-solar</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</si>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</sst>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zoomScale="90" zoomScaleNormal="90" workbookViewId="0">
      <pane xSplit="4" topLeftCell="E1" activePane="topRight" state="frozen"/>
      <selection pane="topRight" activeCell="E14" sqref="E14"/>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756</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749</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c r="C8" s="118"/>
      <c r="D8" s="117"/>
      <c r="E8" s="116"/>
      <c r="F8" s="116"/>
      <c r="G8" s="116"/>
      <c r="H8" s="116"/>
      <c r="I8" s="189"/>
      <c r="J8" s="187" t="str">
        <f t="shared" ref="J8:J18" si="1">IFERROR((K8/E8)*(I8*24)," ")</f>
        <v xml:space="preserve"> </v>
      </c>
      <c r="K8" s="168">
        <f t="shared" ref="K8:K18" si="2">G8*H8</f>
        <v>0</v>
      </c>
      <c r="L8" s="104">
        <f t="shared" ref="L8:L16" si="3">E8*D8</f>
        <v>0</v>
      </c>
      <c r="M8" s="183"/>
      <c r="N8" s="210" t="s">
        <v>750</v>
      </c>
      <c r="O8" s="210" t="s">
        <v>750</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750</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1000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1000</v>
      </c>
      <c r="F24" s="231"/>
      <c r="G24" s="231"/>
      <c r="H24" s="231"/>
      <c r="I24" s="231"/>
      <c r="L24" s="144"/>
    </row>
    <row r="25" spans="1:18" x14ac:dyDescent="0.2">
      <c r="A25" s="143"/>
      <c r="B25" s="232" t="s">
        <v>746</v>
      </c>
      <c r="C25" s="224"/>
      <c r="D25" s="157">
        <f>IFERROR(ROUND(SUM(L7:L18)/D19, 0)," ")</f>
        <v>100</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43101</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1000</v>
      </c>
    </row>
    <row r="39" spans="2:4" hidden="1" x14ac:dyDescent="0.2">
      <c r="B39" s="224" t="s">
        <v>597</v>
      </c>
      <c r="C39" s="224"/>
      <c r="D39" s="157">
        <v>100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2000</v>
      </c>
    </row>
    <row r="45" spans="2:4" hidden="1" x14ac:dyDescent="0.2">
      <c r="B45" s="224" t="s">
        <v>597</v>
      </c>
      <c r="C45" s="224"/>
      <c r="D45" s="157">
        <v>50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3000</v>
      </c>
    </row>
    <row r="51" spans="2:4" hidden="1" x14ac:dyDescent="0.2">
      <c r="B51" s="224" t="s">
        <v>597</v>
      </c>
      <c r="C51" s="224"/>
      <c r="D51" s="157">
        <v>33</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5</v>
      </c>
    </row>
    <row r="57" spans="2:4" hidden="1" x14ac:dyDescent="0.2">
      <c r="B57" s="180" t="s">
        <v>711</v>
      </c>
      <c r="C57" s="164"/>
      <c r="D57" s="120">
        <v>4</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5</v>
      </c>
    </row>
    <row r="63" spans="2:4" hidden="1" x14ac:dyDescent="0.2">
      <c r="B63" s="180" t="s">
        <v>711</v>
      </c>
      <c r="C63" s="164"/>
      <c r="D63" s="120">
        <v>4</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751</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752</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43415</v>
      </c>
      <c r="C7" s="52">
        <f t="shared" ref="C7" si="0">B7</f>
        <v>43415</v>
      </c>
      <c r="D7" s="53">
        <f>HLOOKUP(B7,ReadingTable,2,FALSE)</f>
        <v>50.11</v>
      </c>
      <c r="E7" s="68">
        <f>IF(E6="",7,E6+1)</f>
        <v>7</v>
      </c>
    </row>
    <row r="8" spans="1:6" x14ac:dyDescent="0.25">
      <c r="A8" s="37">
        <f t="shared" ref="A8" si="1">IFERROR(IF(D8="",1,0),1)</f>
        <v>0</v>
      </c>
      <c r="B8" s="52">
        <f>INDEX(Dates,1,E8)</f>
        <v>43811</v>
      </c>
      <c r="C8" s="52">
        <f t="shared" ref="C8" si="2">B8</f>
        <v>43811</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753</v>
      </c>
      <c r="C3" s="76">
        <v>1</v>
      </c>
      <c r="D3" s="91">
        <v>43415</v>
      </c>
      <c r="E3" s="97">
        <v>0.5</v>
      </c>
      <c r="F3" s="92">
        <v>50.11</v>
      </c>
    </row>
    <row r="4" spans="1:8" x14ac:dyDescent="0.25">
      <c r="B4" s="75" t="s">
        <v>754</v>
      </c>
      <c r="C4" s="76">
        <v>2</v>
      </c>
      <c r="D4" s="91">
        <v>43811</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43415</v>
      </c>
      <c r="H8" s="145">
        <f t="array" ref="H8">IFERROR(INDEX($D$3:$D$5, MATCH(0,IF(ISBLANK($D$3:$D$5),1,COUNTIF($F$8:G8, $D$3:$D$5)), 0)),"")</f>
        <v>43811</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43415</v>
      </c>
      <c r="H14" s="72">
        <f>H8</f>
        <v>43811</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43415</v>
      </c>
      <c r="C18" s="52">
        <f t="shared" ref="C18" si="1">B18</f>
        <v>43415</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FB5hKh1gYPQyWl7EV4ffmS4DTfxTv17UMxcOWuIXTTcBtnpQ8TnQJQ3pXp0/+STXXvAUExcHXgupnToMmdipWQ==" saltValue="f+MJCDp/6oW9z7xQQ/qpxg=="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43415</v>
      </c>
      <c r="C7" s="52">
        <f t="shared" ref="C7" si="0">B7</f>
        <v>43415</v>
      </c>
      <c r="D7" s="53">
        <f t="array" ref="D7">HLOOKUP(B7,ReadingTableVOC,2,FALSE)</f>
        <v>100.11</v>
      </c>
      <c r="E7" s="68">
        <f>IF(E6="",8,E6+1)</f>
        <v>8</v>
      </c>
    </row>
    <row r="8" spans="1:5" ht="15" customHeight="1" x14ac:dyDescent="0.25">
      <c r="A8" s="37">
        <f t="shared" ref="A8" si="1">IFERROR(IF(D8="",1,0),1)</f>
        <v>0</v>
      </c>
      <c r="B8" s="52">
        <f>INDEX(DatesVOC,1,E8)</f>
        <v>43446</v>
      </c>
      <c r="C8" s="52">
        <f t="shared" ref="C8" si="2">B8</f>
        <v>43446</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activeCell="K11" sqref="K11"/>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753</v>
      </c>
      <c r="C3" s="76">
        <v>1</v>
      </c>
      <c r="D3" s="91">
        <v>43415</v>
      </c>
      <c r="E3" s="97">
        <v>0.5</v>
      </c>
      <c r="F3" s="98">
        <v>0.125</v>
      </c>
      <c r="G3" s="92">
        <v>100.11</v>
      </c>
    </row>
    <row r="4" spans="1:9" x14ac:dyDescent="0.25">
      <c r="B4" s="75" t="s">
        <v>754</v>
      </c>
      <c r="C4" s="76">
        <v>2</v>
      </c>
      <c r="D4" s="91">
        <v>43446</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43415</v>
      </c>
      <c r="I8" s="145">
        <f t="array" ref="I8">IFERROR(INDEX($D$3:$D$5, MATCH(0,IF(ISBLANK($D$3:$D$5),1,COUNTIF($G$8:H8, $D$3:$D$5)), 0)),"")</f>
        <v>43446</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43415</v>
      </c>
      <c r="I14" s="96">
        <f>I8</f>
        <v>43446</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43415</v>
      </c>
      <c r="C18" s="52">
        <f t="shared" ref="C18" si="1">B18</f>
        <v>43415</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1F+j0qyytkl4FAAD4c7znwodrwU6j14P/nAW8mLAj0b4Cl7WwJ8L2vPGNS7jlvFOVBvIP/AlFMAEiVk8zlU/AA==" saltValue="BplBp/5JXcekveWm8zY1lA=="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17" sqref="B1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755</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2019-07-17T04:01:18Z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