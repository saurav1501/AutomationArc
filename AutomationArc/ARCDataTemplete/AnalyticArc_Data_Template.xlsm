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0.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6.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7.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18.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9.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0.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1.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2.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D:\Automation\AutomationArc\AutomationArc\ARCDataTemplete\"/>
    </mc:Choice>
  </mc:AlternateContent>
  <xr:revisionPtr revIDLastSave="0" documentId="13_ncr:1_{391149D4-D2BF-434E-850C-B65BFE11A59F}" xr6:coauthVersionLast="36" xr6:coauthVersionMax="43" xr10:uidLastSave="{00000000-0000-0000-0000-000000000000}"/>
  <bookViews>
    <workbookView xWindow="0" yWindow="0" windowWidth="20385" windowHeight="7515" activeTab="1" xr2:uid="{00000000-000D-0000-FFFF-FFFF00000000}"/>
  </bookViews>
  <sheets>
    <sheet name="Instructions" sheetId="1" r:id="rId1"/>
    <sheet name="Building Settings" sheetId="16" r:id="rId2"/>
    <sheet name="base_w" sheetId="4" state="hidden" r:id="rId3"/>
    <sheet name="base_e" sheetId="6" state="hidden" r:id="rId4"/>
    <sheet name="AnalyticsEnergyMeter" sheetId="28" r:id="rId5"/>
    <sheet name="AnalyticsWaterMeter" sheetId="29" r:id="rId6"/>
    <sheet name="base_f" sheetId="8" state="hidden" r:id="rId7"/>
    <sheet name="CO2 Reading for Upload" sheetId="12" r:id="rId8"/>
    <sheet name="CO2 Readings" sheetId="14" r:id="rId9"/>
    <sheet name="TVOC Reading for Upload" sheetId="13" r:id="rId10"/>
    <sheet name="TVOC Readings" sheetId="15" r:id="rId11"/>
    <sheet name="Waste Stream" sheetId="11" r:id="rId12"/>
    <sheet name="GeneratedOnsite-solar" sheetId="30" r:id="rId13"/>
    <sheet name="Carbon Monoxide" sheetId="17" state="hidden" r:id="rId14"/>
    <sheet name="Ozone" sheetId="18" state="hidden" r:id="rId15"/>
    <sheet name="Atmospheric Particulate Matter" sheetId="19" state="hidden" r:id="rId16"/>
    <sheet name="Acetaldehyde" sheetId="20" state="hidden" r:id="rId17"/>
    <sheet name="Benzene" sheetId="21" state="hidden" r:id="rId18"/>
    <sheet name="Styrene" sheetId="22" state="hidden" r:id="rId19"/>
    <sheet name="Toluene" sheetId="23" state="hidden" r:id="rId20"/>
    <sheet name="Naphthalene " sheetId="24" state="hidden" r:id="rId21"/>
    <sheet name="Dichlorobenzene" sheetId="25" state="hidden" r:id="rId22"/>
    <sheet name="Xylenes-total" sheetId="26" state="hidden" r:id="rId23"/>
    <sheet name="Formaldehyde" sheetId="27" state="hidden" r:id="rId24"/>
    <sheet name="base_summary" sheetId="3" state="hidden" r:id="rId25"/>
  </sheets>
  <definedNames>
    <definedName name="_xlnm._FilterDatabase" localSheetId="8" hidden="1">'CO2 Readings'!$B$2:$F$4</definedName>
    <definedName name="_xlnm._FilterDatabase" localSheetId="10" hidden="1">'TVOC Readings'!$B$2:$G$4</definedName>
    <definedName name="columnDelete">'CO2 Readings'!$6:$6</definedName>
    <definedName name="columnDeleteVOC">'TVOC Readings'!$6:$6</definedName>
    <definedName name="Countries">Instructions!$L$36:$M$291</definedName>
    <definedName name="CountriesDetails">Instructions!$L$36:$L$291</definedName>
    <definedName name="countryName">Instructions!$L$34:$L$291</definedName>
    <definedName name="DataCopy">'CO2 Readings'!$A$18:$E$18</definedName>
    <definedName name="DataCopyVOC">'TVOC Readings'!$A$18:$E$18</definedName>
    <definedName name="Dates" localSheetId="16">'CO2 Readings'!$14:$14</definedName>
    <definedName name="Dates" localSheetId="15">'CO2 Readings'!$14:$14</definedName>
    <definedName name="Dates" localSheetId="17">'CO2 Readings'!$14:$14</definedName>
    <definedName name="Dates" localSheetId="13">'CO2 Readings'!$14:$14</definedName>
    <definedName name="Dates" localSheetId="21">'CO2 Readings'!$14:$14</definedName>
    <definedName name="Dates" localSheetId="23">'CO2 Readings'!$14:$14</definedName>
    <definedName name="Dates" localSheetId="20">'CO2 Readings'!$14:$14</definedName>
    <definedName name="Dates" localSheetId="14">'CO2 Readings'!$14:$14</definedName>
    <definedName name="Dates" localSheetId="18">'CO2 Readings'!$14:$14</definedName>
    <definedName name="Dates" localSheetId="19">'CO2 Readings'!$14:$14</definedName>
    <definedName name="Dates" localSheetId="22">'CO2 Readings'!$14:$14</definedName>
    <definedName name="Dates">'CO2 Readings'!$14:$14</definedName>
    <definedName name="DatesVOC" localSheetId="16">'TVOC Readings'!$14:$14</definedName>
    <definedName name="DatesVOC" localSheetId="15">'TVOC Readings'!$14:$14</definedName>
    <definedName name="DatesVOC" localSheetId="17">'TVOC Readings'!$14:$14</definedName>
    <definedName name="DatesVOC" localSheetId="13">'TVOC Readings'!$14:$14</definedName>
    <definedName name="DatesVOC" localSheetId="21">'TVOC Readings'!$14:$14</definedName>
    <definedName name="DatesVOC" localSheetId="23">'TVOC Readings'!$14:$14</definedName>
    <definedName name="DatesVOC" localSheetId="20">'TVOC Readings'!$14:$14</definedName>
    <definedName name="DatesVOC" localSheetId="14">'TVOC Readings'!$14:$14</definedName>
    <definedName name="DatesVOC" localSheetId="18">'TVOC Readings'!$14:$14</definedName>
    <definedName name="DatesVOC" localSheetId="19">'TVOC Readings'!$14:$14</definedName>
    <definedName name="DatesVOC" localSheetId="22">'TVOC Readings'!$14:$14</definedName>
    <definedName name="DatesVOC">'TVOC Readings'!$14:$14</definedName>
    <definedName name="DelRwNmEnd">'CO2 Reading for Upload'!$A$11:$E$11</definedName>
    <definedName name="DelRwNmEndVOC">'TVOC Reading for Upload'!$A$11:$E$11</definedName>
    <definedName name="DelRwNmStart">'CO2 Reading for Upload'!$A$6:$E$6</definedName>
    <definedName name="DelRwNmStartVOC">'TVOC Reading for Upload'!$A$6:$E$6</definedName>
    <definedName name="elecName" localSheetId="16">base_e!$G$15:$G$19</definedName>
    <definedName name="elecName" localSheetId="4">AnalyticsEnergyMeter!$G$15:$G$19</definedName>
    <definedName name="elecName" localSheetId="15">base_e!$G$15:$G$19</definedName>
    <definedName name="elecName" localSheetId="17">base_e!$G$15:$G$19</definedName>
    <definedName name="elecName" localSheetId="13">base_e!$G$15:$G$19</definedName>
    <definedName name="elecName" localSheetId="21">base_e!$G$15:$G$19</definedName>
    <definedName name="elecName" localSheetId="23">base_e!$G$15:$G$19</definedName>
    <definedName name="elecName" localSheetId="12">'GeneratedOnsite-solar'!$G$15:$G$19</definedName>
    <definedName name="elecName" localSheetId="20">base_e!$G$15:$G$19</definedName>
    <definedName name="elecName" localSheetId="14">base_e!$G$15:$G$19</definedName>
    <definedName name="elecName" localSheetId="18">base_e!$G$15:$G$19</definedName>
    <definedName name="elecName" localSheetId="19">base_e!$G$15:$G$19</definedName>
    <definedName name="elecName" localSheetId="22">base_e!$G$15:$G$19</definedName>
    <definedName name="elecName">base_e!$G$15:$G$19</definedName>
    <definedName name="ElectricityDrp" localSheetId="16">base_e!$J$9:$J$10</definedName>
    <definedName name="ElectricityDrp" localSheetId="4">AnalyticsEnergyMeter!$J$9:$J$10</definedName>
    <definedName name="ElectricityDrp" localSheetId="15">base_e!$J$9:$J$10</definedName>
    <definedName name="ElectricityDrp" localSheetId="17">base_e!$J$9:$J$10</definedName>
    <definedName name="ElectricityDrp" localSheetId="13">base_e!$J$9:$J$10</definedName>
    <definedName name="ElectricityDrp" localSheetId="21">base_e!$J$9:$J$10</definedName>
    <definedName name="ElectricityDrp" localSheetId="23">base_e!$J$9:$J$10</definedName>
    <definedName name="ElectricityDrp" localSheetId="12">'GeneratedOnsite-solar'!$J$9:$J$10</definedName>
    <definedName name="ElectricityDrp" localSheetId="20">base_e!$J$9:$J$10</definedName>
    <definedName name="ElectricityDrp" localSheetId="14">base_e!$J$9:$J$10</definedName>
    <definedName name="ElectricityDrp" localSheetId="18">base_e!$J$9:$J$10</definedName>
    <definedName name="ElectricityDrp" localSheetId="19">base_e!$J$9:$J$10</definedName>
    <definedName name="ElectricityDrp" localSheetId="22">base_e!$J$9:$J$10</definedName>
    <definedName name="ElectricityDrp">base_e!$J$9:$J$10</definedName>
    <definedName name="fdet" localSheetId="16">Acetaldehyde!$H$1:$H$13</definedName>
    <definedName name="fdet" localSheetId="15">'Atmospheric Particulate Matter'!$H$1:$H$13</definedName>
    <definedName name="fdet" localSheetId="17">Benzene!$H$1:$H$13</definedName>
    <definedName name="fdet" localSheetId="13">'Carbon Monoxide'!$H$1:$H$13</definedName>
    <definedName name="fdet" localSheetId="21">Dichlorobenzene!$H$1:$H$13</definedName>
    <definedName name="fdet" localSheetId="23">Formaldehyde!$H$1:$H$13</definedName>
    <definedName name="fdet" localSheetId="20">'Naphthalene '!$H$1:$H$13</definedName>
    <definedName name="fdet" localSheetId="14">Ozone!$H$1:$H$13</definedName>
    <definedName name="fdet" localSheetId="18">Styrene!$H$1:$H$13</definedName>
    <definedName name="fdet" localSheetId="19">Toluene!$H$1:$H$13</definedName>
    <definedName name="fdet" localSheetId="22">'Xylenes-total'!$H$1:$H$13</definedName>
    <definedName name="fdet">base_f!$H$1:$H$13</definedName>
    <definedName name="fude" localSheetId="16">Acetaldehyde!$D$14:$D$31</definedName>
    <definedName name="fude" localSheetId="15">'Atmospheric Particulate Matter'!$D$14:$D$31</definedName>
    <definedName name="fude" localSheetId="17">Benzene!$D$14:$D$31</definedName>
    <definedName name="fude" localSheetId="13">'Carbon Monoxide'!$D$14:$D$31</definedName>
    <definedName name="fude" localSheetId="21">Dichlorobenzene!$D$14:$D$31</definedName>
    <definedName name="fude" localSheetId="23">Formaldehyde!$D$14:$D$31</definedName>
    <definedName name="fude" localSheetId="20">'Naphthalene '!$D$14:$D$31</definedName>
    <definedName name="fude" localSheetId="14">Ozone!$D$14:$D$31</definedName>
    <definedName name="fude" localSheetId="18">Styrene!$D$14:$D$31</definedName>
    <definedName name="fude" localSheetId="19">Toluene!$D$14:$D$31</definedName>
    <definedName name="fude" localSheetId="22">'Xylenes-total'!$D$14:$D$31</definedName>
    <definedName name="fude">base_f!$D$14:$D$31</definedName>
    <definedName name="fuel1" localSheetId="16">Acetaldehyde!$L$16:$L$23</definedName>
    <definedName name="fuel1" localSheetId="15">'Atmospheric Particulate Matter'!$L$16:$L$23</definedName>
    <definedName name="fuel1" localSheetId="17">Benzene!$L$16:$L$23</definedName>
    <definedName name="fuel1" localSheetId="13">'Carbon Monoxide'!$L$16:$L$23</definedName>
    <definedName name="fuel1" localSheetId="21">Dichlorobenzene!$L$16:$L$23</definedName>
    <definedName name="fuel1" localSheetId="23">Formaldehyde!$L$16:$L$23</definedName>
    <definedName name="fuel1" localSheetId="20">'Naphthalene '!$L$16:$L$23</definedName>
    <definedName name="fuel1" localSheetId="14">Ozone!$L$16:$L$23</definedName>
    <definedName name="fuel1" localSheetId="18">Styrene!$L$16:$L$23</definedName>
    <definedName name="fuel1" localSheetId="19">Toluene!$L$16:$L$23</definedName>
    <definedName name="fuel1" localSheetId="22">'Xylenes-total'!$L$16:$L$23</definedName>
    <definedName name="fuel1">base_f!$L$16:$L$23</definedName>
    <definedName name="fuel2" localSheetId="16">Acetaldehyde!$M$16:$M$23</definedName>
    <definedName name="fuel2" localSheetId="15">'Atmospheric Particulate Matter'!$M$16:$M$23</definedName>
    <definedName name="fuel2" localSheetId="17">Benzene!$M$16:$M$23</definedName>
    <definedName name="fuel2" localSheetId="13">'Carbon Monoxide'!$M$16:$M$23</definedName>
    <definedName name="fuel2" localSheetId="21">Dichlorobenzene!$M$16:$M$23</definedName>
    <definedName name="fuel2" localSheetId="23">Formaldehyde!$M$16:$M$23</definedName>
    <definedName name="fuel2" localSheetId="20">'Naphthalene '!$M$16:$M$23</definedName>
    <definedName name="fuel2" localSheetId="14">Ozone!$M$16:$M$23</definedName>
    <definedName name="fuel2" localSheetId="18">Styrene!$M$16:$M$23</definedName>
    <definedName name="fuel2" localSheetId="19">Toluene!$M$16:$M$23</definedName>
    <definedName name="fuel2" localSheetId="22">'Xylenes-total'!$M$16:$M$23</definedName>
    <definedName name="fuel2">base_f!$M$16:$M$23</definedName>
    <definedName name="fuelname" localSheetId="16">Acetaldehyde!#REF!</definedName>
    <definedName name="fuelname" localSheetId="4">base_f!#REF!</definedName>
    <definedName name="fuelname" localSheetId="5">base_f!#REF!</definedName>
    <definedName name="fuelname" localSheetId="15">'Atmospheric Particulate Matter'!#REF!</definedName>
    <definedName name="fuelname" localSheetId="17">Benzene!#REF!</definedName>
    <definedName name="fuelname" localSheetId="13">'Carbon Monoxide'!#REF!</definedName>
    <definedName name="fuelname" localSheetId="21">Dichlorobenzene!#REF!</definedName>
    <definedName name="fuelname" localSheetId="23">Formaldehyde!#REF!</definedName>
    <definedName name="fuelname" localSheetId="12">base_f!#REF!</definedName>
    <definedName name="fuelname" localSheetId="20">'Naphthalene '!#REF!</definedName>
    <definedName name="fuelname" localSheetId="14">Ozone!#REF!</definedName>
    <definedName name="fuelname" localSheetId="18">Styrene!#REF!</definedName>
    <definedName name="fuelname" localSheetId="19">Toluene!#REF!</definedName>
    <definedName name="fuelname" localSheetId="22">'Xylenes-total'!#REF!</definedName>
    <definedName name="fuelname">base_f!#REF!</definedName>
    <definedName name="kerosene" localSheetId="16">Acetaldehyde!$K$16:$K$23</definedName>
    <definedName name="kerosene" localSheetId="15">'Atmospheric Particulate Matter'!$K$16:$K$23</definedName>
    <definedName name="kerosene" localSheetId="17">Benzene!$K$16:$K$23</definedName>
    <definedName name="kerosene" localSheetId="13">'Carbon Monoxide'!$K$16:$K$23</definedName>
    <definedName name="kerosene" localSheetId="21">Dichlorobenzene!$K$16:$K$23</definedName>
    <definedName name="kerosene" localSheetId="23">Formaldehyde!$K$16:$K$23</definedName>
    <definedName name="kerosene" localSheetId="20">'Naphthalene '!$K$16:$K$23</definedName>
    <definedName name="kerosene" localSheetId="14">Ozone!$K$16:$K$23</definedName>
    <definedName name="kerosene" localSheetId="18">Styrene!$K$16:$K$23</definedName>
    <definedName name="kerosene" localSheetId="19">Toluene!$K$16:$K$23</definedName>
    <definedName name="kerosene" localSheetId="22">'Xylenes-total'!$K$16:$K$23</definedName>
    <definedName name="kerosene">base_f!$K$16:$K$23</definedName>
    <definedName name="liquid" localSheetId="16">Acetaldehyde!$J$16:$J$25</definedName>
    <definedName name="liquid" localSheetId="15">'Atmospheric Particulate Matter'!$J$16:$J$25</definedName>
    <definedName name="liquid" localSheetId="17">Benzene!$J$16:$J$25</definedName>
    <definedName name="liquid" localSheetId="13">'Carbon Monoxide'!$J$16:$J$25</definedName>
    <definedName name="liquid" localSheetId="21">Dichlorobenzene!$J$16:$J$25</definedName>
    <definedName name="liquid" localSheetId="23">Formaldehyde!$J$16:$J$25</definedName>
    <definedName name="liquid" localSheetId="20">'Naphthalene '!$J$16:$J$25</definedName>
    <definedName name="liquid" localSheetId="14">Ozone!$J$16:$J$25</definedName>
    <definedName name="liquid" localSheetId="18">Styrene!$J$16:$J$25</definedName>
    <definedName name="liquid" localSheetId="19">Toluene!$J$16:$J$25</definedName>
    <definedName name="liquid" localSheetId="22">'Xylenes-total'!$J$16:$J$25</definedName>
    <definedName name="liquid">base_f!$J$16:$J$25</definedName>
    <definedName name="Meter" localSheetId="4">Instructions!#REF!</definedName>
    <definedName name="Meter" localSheetId="5">Instructions!#REF!</definedName>
    <definedName name="Meter" localSheetId="12">Instructions!#REF!</definedName>
    <definedName name="Meter">Instructions!#REF!</definedName>
    <definedName name="meterName">Instructions!$O$36:$O$53</definedName>
    <definedName name="MeterTypes">Instructions!$L$294:$L$320</definedName>
    <definedName name="myCategoryH" localSheetId="16">Acetaldehyde!$G$19:$G$36</definedName>
    <definedName name="myCategoryH" localSheetId="15">'Atmospheric Particulate Matter'!$G$19:$G$36</definedName>
    <definedName name="myCategoryH" localSheetId="17">Benzene!$G$19:$G$36</definedName>
    <definedName name="myCategoryH" localSheetId="13">'Carbon Monoxide'!$G$19:$G$36</definedName>
    <definedName name="myCategoryH" localSheetId="21">Dichlorobenzene!$G$19:$G$36</definedName>
    <definedName name="myCategoryH" localSheetId="23">Formaldehyde!$G$19:$G$36</definedName>
    <definedName name="myCategoryH" localSheetId="20">'Naphthalene '!$G$19:$G$36</definedName>
    <definedName name="myCategoryH" localSheetId="14">Ozone!$G$19:$G$36</definedName>
    <definedName name="myCategoryH" localSheetId="18">Styrene!$G$19:$G$36</definedName>
    <definedName name="myCategoryH" localSheetId="19">Toluene!$G$19:$G$36</definedName>
    <definedName name="myCategoryH" localSheetId="22">'Xylenes-total'!$G$19:$G$36</definedName>
    <definedName name="myCategoryH">base_f!$G$19:$G$36</definedName>
    <definedName name="myitem" localSheetId="16">OFFSET(myItemList,0,0,1,COUNTA(myItemList))</definedName>
    <definedName name="myitem" localSheetId="4">OFFSET(myItemList,0,0,1,COUNTA(myItemList))</definedName>
    <definedName name="myitem" localSheetId="5">OFFSET(myItemList,0,0,1,COUNTA(myItemList))</definedName>
    <definedName name="myitem" localSheetId="15">OFFSET(myItemList,0,0,1,COUNTA(myItemList))</definedName>
    <definedName name="myitem" localSheetId="17">OFFSET(myItemList,0,0,1,COUNTA(myItemList))</definedName>
    <definedName name="myitem" localSheetId="13">OFFSET(myItemList,0,0,1,COUNTA(myItemList))</definedName>
    <definedName name="myitem" localSheetId="21">OFFSET(myItemList,0,0,1,COUNTA(myItemList))</definedName>
    <definedName name="myitem" localSheetId="23">OFFSET(myItemList,0,0,1,COUNTA(myItemList))</definedName>
    <definedName name="myitem" localSheetId="12">OFFSET(myItemList,0,0,1,COUNTA(myItemList))</definedName>
    <definedName name="myitem" localSheetId="20">OFFSET(myItemList,0,0,1,COUNTA(myItemList))</definedName>
    <definedName name="myitem" localSheetId="14">OFFSET(myItemList,0,0,1,COUNTA(myItemList))</definedName>
    <definedName name="myitem" localSheetId="18">OFFSET(myItemList,0,0,1,COUNTA(myItemList))</definedName>
    <definedName name="myitem" localSheetId="19">OFFSET(myItemList,0,0,1,COUNTA(myItemList))</definedName>
    <definedName name="myitem" localSheetId="22">OFFSET(myItemList,0,0,1,COUNTA(myItemList))</definedName>
    <definedName name="myitem">OFFSET(myItemList,0,0,1,COUNTA(myItemList))</definedName>
    <definedName name="myItemListH" localSheetId="16">INDEX(Acetaldehyde!myTableH,MATCH(Acetaldehyde!A1048576,Acetaldehyde!myCategoryH,0),0)</definedName>
    <definedName name="myItemListH" localSheetId="15">INDEX('Atmospheric Particulate Matter'!myTableH,MATCH('Atmospheric Particulate Matter'!A1048576,'Atmospheric Particulate Matter'!myCategoryH,0),0)</definedName>
    <definedName name="myItemListH" localSheetId="17">INDEX(Benzene!myTableH,MATCH(Benzene!A1048576,Benzene!myCategoryH,0),0)</definedName>
    <definedName name="myItemListH" localSheetId="13">INDEX('Carbon Monoxide'!myTableH,MATCH('Carbon Monoxide'!A1048576,'Carbon Monoxide'!myCategoryH,0),0)</definedName>
    <definedName name="myItemListH" localSheetId="21">INDEX(Dichlorobenzene!myTableH,MATCH(Dichlorobenzene!A1048576,Dichlorobenzene!myCategoryH,0),0)</definedName>
    <definedName name="myItemListH" localSheetId="23">INDEX(Formaldehyde!myTableH,MATCH(Formaldehyde!A1048576,Formaldehyde!myCategoryH,0),0)</definedName>
    <definedName name="myItemListH" localSheetId="20">INDEX('Naphthalene '!myTableH,MATCH('Naphthalene '!A1048576,'Naphthalene '!myCategoryH,0),0)</definedName>
    <definedName name="myItemListH" localSheetId="14">INDEX(Ozone!myTableH,MATCH(Ozone!A1048576,Ozone!myCategoryH,0),0)</definedName>
    <definedName name="myItemListH" localSheetId="18">INDEX(Styrene!myTableH,MATCH(Styrene!A1048576,Styrene!myCategoryH,0),0)</definedName>
    <definedName name="myItemListH" localSheetId="19">INDEX(Toluene!myTableH,MATCH(Toluene!A1048576,Toluene!myCategoryH,0),0)</definedName>
    <definedName name="myItemListH" localSheetId="22">INDEX('Xylenes-total'!myTableH,MATCH('Xylenes-total'!A1048576,'Xylenes-total'!myCategoryH,0),0)</definedName>
    <definedName name="myItemListH">INDEX(myTableH,MATCH(base_f!A1048576,myCategoryH,0),0)</definedName>
    <definedName name="myTableH" localSheetId="16">Acetaldehyde!$H$19:$V$36</definedName>
    <definedName name="myTableH" localSheetId="15">'Atmospheric Particulate Matter'!$H$19:$V$36</definedName>
    <definedName name="myTableH" localSheetId="17">Benzene!$H$19:$V$36</definedName>
    <definedName name="myTableH" localSheetId="13">'Carbon Monoxide'!$H$19:$V$36</definedName>
    <definedName name="myTableH" localSheetId="21">Dichlorobenzene!$H$19:$V$36</definedName>
    <definedName name="myTableH" localSheetId="23">Formaldehyde!$H$19:$V$36</definedName>
    <definedName name="myTableH" localSheetId="20">'Naphthalene '!$H$19:$V$36</definedName>
    <definedName name="myTableH" localSheetId="14">Ozone!$H$19:$V$36</definedName>
    <definedName name="myTableH" localSheetId="18">Styrene!$H$19:$V$36</definedName>
    <definedName name="myTableH" localSheetId="19">Toluene!$H$19:$V$36</definedName>
    <definedName name="myTableH" localSheetId="22">'Xylenes-total'!$H$19:$V$36</definedName>
    <definedName name="myTableH">base_f!$H$19:$V$36</definedName>
    <definedName name="newMet" localSheetId="16">Instructions!$Q$36:$Q$37</definedName>
    <definedName name="newMet" localSheetId="15">Instructions!$Q$36:$Q$37</definedName>
    <definedName name="newMet" localSheetId="17">Instructions!$Q$36:$Q$37</definedName>
    <definedName name="newMet" localSheetId="13">Instructions!$Q$36:$Q$37</definedName>
    <definedName name="newMet" localSheetId="21">Instructions!$Q$36:$Q$37</definedName>
    <definedName name="newMet" localSheetId="23">Instructions!$Q$36:$Q$37</definedName>
    <definedName name="newMet" localSheetId="20">Instructions!$Q$36:$Q$37</definedName>
    <definedName name="newMet" localSheetId="14">Instructions!$Q$36:$Q$37</definedName>
    <definedName name="newMet" localSheetId="18">Instructions!$Q$36:$Q$37</definedName>
    <definedName name="newMet" localSheetId="19">Instructions!$Q$36:$Q$37</definedName>
    <definedName name="newMet" localSheetId="22">Instructions!$Q$36:$Q$37</definedName>
    <definedName name="newMet">Instructions!$Q$36:$Q$37</definedName>
    <definedName name="newWaUnit" localSheetId="16">'Waste Stream'!$I$12:$I$14</definedName>
    <definedName name="newWaUnit" localSheetId="15">'Waste Stream'!$I$12:$I$14</definedName>
    <definedName name="newWaUnit" localSheetId="17">'Waste Stream'!$I$12:$I$14</definedName>
    <definedName name="newWaUnit" localSheetId="13">'Waste Stream'!$I$12:$I$14</definedName>
    <definedName name="newWaUnit" localSheetId="21">'Waste Stream'!$I$12:$I$14</definedName>
    <definedName name="newWaUnit" localSheetId="23">'Waste Stream'!$I$12:$I$14</definedName>
    <definedName name="newWaUnit" localSheetId="20">'Waste Stream'!$I$12:$I$14</definedName>
    <definedName name="newWaUnit" localSheetId="14">'Waste Stream'!$I$12:$I$14</definedName>
    <definedName name="newWaUnit" localSheetId="18">'Waste Stream'!$I$12:$I$14</definedName>
    <definedName name="newWaUnit" localSheetId="19">'Waste Stream'!$I$12:$I$14</definedName>
    <definedName name="newWaUnit" localSheetId="22">'Waste Stream'!$I$12:$I$14</definedName>
    <definedName name="newWaUnit">'Waste Stream'!$I$12:$I$14</definedName>
    <definedName name="Other_Fuels_Drp" localSheetId="16">Acetaldehyde!$V$10</definedName>
    <definedName name="Other_Fuels_Drp" localSheetId="15">'Atmospheric Particulate Matter'!$V$10</definedName>
    <definedName name="Other_Fuels_Drp" localSheetId="17">Benzene!$V$10</definedName>
    <definedName name="Other_Fuels_Drp" localSheetId="13">'Carbon Monoxide'!$V$10</definedName>
    <definedName name="Other_Fuels_Drp" localSheetId="21">Dichlorobenzene!$V$10</definedName>
    <definedName name="Other_Fuels_Drp" localSheetId="23">Formaldehyde!$V$10</definedName>
    <definedName name="Other_Fuels_Drp" localSheetId="20">'Naphthalene '!$V$10</definedName>
    <definedName name="Other_Fuels_Drp" localSheetId="14">Ozone!$V$10</definedName>
    <definedName name="Other_Fuels_Drp" localSheetId="18">Styrene!$V$10</definedName>
    <definedName name="Other_Fuels_Drp" localSheetId="19">Toluene!$V$10</definedName>
    <definedName name="Other_Fuels_Drp" localSheetId="22">'Xylenes-total'!$V$10</definedName>
    <definedName name="Other_Fuels_Drp">base_f!$V$10</definedName>
    <definedName name="Period__Start_Date" localSheetId="16">COUNTIF(base_w!$B:$B,base_w!A1)=1</definedName>
    <definedName name="Period__Start_Date" localSheetId="5">COUNTIF(AnalyticsWaterMeter!$B:$B,AnalyticsWaterMeter!A1)=1</definedName>
    <definedName name="Period__Start_Date" localSheetId="15">COUNTIF(base_w!$B:$B,base_w!A1)=1</definedName>
    <definedName name="Period__Start_Date" localSheetId="17">COUNTIF(base_w!$B:$B,base_w!A1)=1</definedName>
    <definedName name="Period__Start_Date" localSheetId="13">COUNTIF(base_w!$B:$B,base_w!A1)=1</definedName>
    <definedName name="Period__Start_Date" localSheetId="21">COUNTIF(base_w!$B:$B,base_w!A1)=1</definedName>
    <definedName name="Period__Start_Date" localSheetId="23">COUNTIF(base_w!$B:$B,base_w!A1)=1</definedName>
    <definedName name="Period__Start_Date" localSheetId="20">COUNTIF(base_w!$B:$B,base_w!A1)=1</definedName>
    <definedName name="Period__Start_Date" localSheetId="14">COUNTIF(base_w!$B:$B,base_w!A1)=1</definedName>
    <definedName name="Period__Start_Date" localSheetId="18">COUNTIF(base_w!$B:$B,base_w!A1)=1</definedName>
    <definedName name="Period__Start_Date" localSheetId="19">COUNTIF(base_w!$B:$B,base_w!A1)=1</definedName>
    <definedName name="Period__Start_Date" localSheetId="22">COUNTIF(base_w!$B:$B,base_w!A1)=1</definedName>
    <definedName name="Period__Start_Date">COUNTIF(base_w!$B:$B,base_w!A1)=1</definedName>
    <definedName name="Propane" localSheetId="16">Acetaldehyde!$I$16:$I$27</definedName>
    <definedName name="Propane" localSheetId="15">'Atmospheric Particulate Matter'!$I$16:$I$27</definedName>
    <definedName name="Propane" localSheetId="17">Benzene!$I$16:$I$27</definedName>
    <definedName name="Propane" localSheetId="13">'Carbon Monoxide'!$I$16:$I$27</definedName>
    <definedName name="Propane" localSheetId="21">Dichlorobenzene!$I$16:$I$27</definedName>
    <definedName name="Propane" localSheetId="23">Formaldehyde!$I$16:$I$27</definedName>
    <definedName name="Propane" localSheetId="20">'Naphthalene '!$I$16:$I$27</definedName>
    <definedName name="Propane" localSheetId="14">Ozone!$I$16:$I$27</definedName>
    <definedName name="Propane" localSheetId="18">Styrene!$I$16:$I$27</definedName>
    <definedName name="Propane" localSheetId="19">Toluene!$I$16:$I$27</definedName>
    <definedName name="Propane" localSheetId="22">'Xylenes-total'!$I$16:$I$27</definedName>
    <definedName name="Propane">base_f!$I$16:$I$27</definedName>
    <definedName name="propanes" localSheetId="16">Acetaldehyde!$I$16:$I$25</definedName>
    <definedName name="propanes" localSheetId="15">'Atmospheric Particulate Matter'!$I$16:$I$25</definedName>
    <definedName name="propanes" localSheetId="17">Benzene!$I$16:$I$25</definedName>
    <definedName name="propanes" localSheetId="13">'Carbon Monoxide'!$I$16:$I$25</definedName>
    <definedName name="propanes" localSheetId="21">Dichlorobenzene!$I$16:$I$25</definedName>
    <definedName name="propanes" localSheetId="23">Formaldehyde!$I$16:$I$25</definedName>
    <definedName name="propanes" localSheetId="20">'Naphthalene '!$I$16:$I$25</definedName>
    <definedName name="propanes" localSheetId="14">Ozone!$I$16:$I$25</definedName>
    <definedName name="propanes" localSheetId="18">Styrene!$I$16:$I$25</definedName>
    <definedName name="propanes" localSheetId="19">Toluene!$I$16:$I$25</definedName>
    <definedName name="propanes" localSheetId="22">'Xylenes-total'!$I$16:$I$25</definedName>
    <definedName name="propanes">base_f!$I$16:$I$25</definedName>
    <definedName name="prounit" localSheetId="16">Acetaldehyde!$I$16:$I$25</definedName>
    <definedName name="prounit" localSheetId="15">'Atmospheric Particulate Matter'!$I$16:$I$25</definedName>
    <definedName name="prounit" localSheetId="17">Benzene!$I$16:$I$25</definedName>
    <definedName name="prounit" localSheetId="13">'Carbon Monoxide'!$I$16:$I$25</definedName>
    <definedName name="prounit" localSheetId="21">Dichlorobenzene!$I$16:$I$25</definedName>
    <definedName name="prounit" localSheetId="23">Formaldehyde!$I$16:$I$25</definedName>
    <definedName name="prounit" localSheetId="20">'Naphthalene '!$I$16:$I$25</definedName>
    <definedName name="prounit" localSheetId="14">Ozone!$I$16:$I$25</definedName>
    <definedName name="prounit" localSheetId="18">Styrene!$I$16:$I$25</definedName>
    <definedName name="prounit" localSheetId="19">Toluene!$I$16:$I$25</definedName>
    <definedName name="prounit" localSheetId="22">'Xylenes-total'!$I$16:$I$25</definedName>
    <definedName name="prounit">base_f!$I$16:$I$25</definedName>
    <definedName name="RangeCount">'CO2 Reading for Upload'!$B$6:$B$11</definedName>
    <definedName name="RangeCountVOC">'TVOC Reading for Upload'!$B$6:$B$11</definedName>
    <definedName name="ReadingTable" localSheetId="16">'CO2 Readings'!$14:$15</definedName>
    <definedName name="ReadingTable" localSheetId="15">'CO2 Readings'!$14:$15</definedName>
    <definedName name="ReadingTable" localSheetId="17">'CO2 Readings'!$14:$15</definedName>
    <definedName name="ReadingTable" localSheetId="13">'CO2 Readings'!$14:$15</definedName>
    <definedName name="ReadingTable" localSheetId="21">'CO2 Readings'!$14:$15</definedName>
    <definedName name="ReadingTable" localSheetId="23">'CO2 Readings'!$14:$15</definedName>
    <definedName name="ReadingTable" localSheetId="20">'CO2 Readings'!$14:$15</definedName>
    <definedName name="ReadingTable" localSheetId="14">'CO2 Readings'!$14:$15</definedName>
    <definedName name="ReadingTable" localSheetId="18">'CO2 Readings'!$14:$15</definedName>
    <definedName name="ReadingTable" localSheetId="19">'CO2 Readings'!$14:$15</definedName>
    <definedName name="ReadingTable" localSheetId="22">'CO2 Readings'!$14:$15</definedName>
    <definedName name="ReadingTable">'CO2 Readings'!$14:$15</definedName>
    <definedName name="ReadingTableVOC" localSheetId="16">'TVOC Readings'!$14:$15</definedName>
    <definedName name="ReadingTableVOC" localSheetId="15">'TVOC Readings'!$14:$15</definedName>
    <definedName name="ReadingTableVOC" localSheetId="17">'TVOC Readings'!$14:$15</definedName>
    <definedName name="ReadingTableVOC" localSheetId="13">'TVOC Readings'!$14:$15</definedName>
    <definedName name="ReadingTableVOC" localSheetId="21">'TVOC Readings'!$14:$15</definedName>
    <definedName name="ReadingTableVOC" localSheetId="23">'TVOC Readings'!$14:$15</definedName>
    <definedName name="ReadingTableVOC" localSheetId="20">'TVOC Readings'!$14:$15</definedName>
    <definedName name="ReadingTableVOC" localSheetId="14">'TVOC Readings'!$14:$15</definedName>
    <definedName name="ReadingTableVOC" localSheetId="18">'TVOC Readings'!$14:$15</definedName>
    <definedName name="ReadingTableVOC" localSheetId="19">'TVOC Readings'!$14:$15</definedName>
    <definedName name="ReadingTableVOC" localSheetId="22">'TVOC Readings'!$14:$15</definedName>
    <definedName name="ReadingTableVOC">'TVOC Readings'!$14:$15</definedName>
    <definedName name="Sheets">TRANSPOSE(GET.WORKBOOK(1))&amp;T(NOW())</definedName>
    <definedName name="spacetype" localSheetId="16">Instructions!$S$45:$S$107</definedName>
    <definedName name="spacetype" localSheetId="15">Instructions!$S$45:$S$107</definedName>
    <definedName name="spacetype" localSheetId="17">Instructions!$S$45:$S$107</definedName>
    <definedName name="spacetype" localSheetId="13">Instructions!$S$45:$S$107</definedName>
    <definedName name="spacetype" localSheetId="21">Instructions!$S$45:$S$107</definedName>
    <definedName name="spacetype" localSheetId="23">Instructions!$S$45:$S$107</definedName>
    <definedName name="spacetype" localSheetId="20">Instructions!$S$45:$S$107</definedName>
    <definedName name="spacetype" localSheetId="14">Instructions!$S$45:$S$107</definedName>
    <definedName name="spacetype" localSheetId="18">Instructions!$S$45:$S$107</definedName>
    <definedName name="spacetype" localSheetId="19">Instructions!$S$45:$S$107</definedName>
    <definedName name="spacetype" localSheetId="22">Instructions!$S$45:$S$107</definedName>
    <definedName name="spacetype">Instructions!$S$36:$S$91</definedName>
    <definedName name="sumAnchor">'CO2 Readings'!$F$6:$F$15</definedName>
    <definedName name="sumAnchorVOC">'TVOC Readings'!$G$6:$G$15</definedName>
    <definedName name="sumDate">'CO2 Readings'!$G$6:$G$15</definedName>
    <definedName name="sumDateVOC">'TVOC Readings'!$H$6:$H$15</definedName>
    <definedName name="UniqueDate">'CO2 Readings'!$B$21</definedName>
    <definedName name="UniqueDateVOC">'TVOC Readings'!$B$21</definedName>
    <definedName name="UniqueLoc">'CO2 Readings'!$C$21</definedName>
    <definedName name="UniqueLocVOC">'TVOC Readings'!$C$21</definedName>
    <definedName name="Units">Instructions!$M$6:$M$7</definedName>
    <definedName name="UserFormat">'CO2 Readings'!$A$24:$E$24</definedName>
    <definedName name="validUnits">Instructions!$L$323:$L$341</definedName>
    <definedName name="water_meter_type" localSheetId="5">AnalyticsWaterMeter!$H$27:$I$39</definedName>
    <definedName name="water_meter_type">base_w!$H$27:$I$39</definedName>
    <definedName name="water_type" localSheetId="5">AnalyticsWaterMeter!$H$27:$I$39</definedName>
    <definedName name="water_type">base_w!$H$27:$I$39</definedName>
    <definedName name="water_units" localSheetId="5">AnalyticsWaterMeter!$H$15:$H$23</definedName>
    <definedName name="water_units">base_w!$H$15:$H$23</definedName>
    <definedName name="WaterDrp" localSheetId="16">base_w!$I$9:$I$11</definedName>
    <definedName name="WaterDrp" localSheetId="5">AnalyticsWaterMeter!$I$9:$I$11</definedName>
    <definedName name="WaterDrp" localSheetId="15">base_w!$I$9:$I$11</definedName>
    <definedName name="WaterDrp" localSheetId="17">base_w!$I$9:$I$11</definedName>
    <definedName name="WaterDrp" localSheetId="13">base_w!$I$9:$I$11</definedName>
    <definedName name="WaterDrp" localSheetId="21">base_w!$I$9:$I$11</definedName>
    <definedName name="WaterDrp" localSheetId="23">base_w!$I$9:$I$11</definedName>
    <definedName name="WaterDrp" localSheetId="20">base_w!$I$9:$I$11</definedName>
    <definedName name="WaterDrp" localSheetId="14">base_w!$I$9:$I$11</definedName>
    <definedName name="WaterDrp" localSheetId="18">base_w!$I$9:$I$11</definedName>
    <definedName name="WaterDrp" localSheetId="19">base_w!$I$9:$I$11</definedName>
    <definedName name="WaterDrp" localSheetId="22">base_w!$I$9:$I$11</definedName>
    <definedName name="WaterDrp">base_w!$I$9:$I$11</definedName>
    <definedName name="waterType" localSheetId="5">AnalyticsWaterMeter!$H$27:$H$39</definedName>
    <definedName name="waterType">base_w!$H$27:$H$39</definedName>
    <definedName name="waterUnits" localSheetId="5">AnalyticsWaterMeter!$J$10:$J$14</definedName>
    <definedName name="waterUnits">base_w!$J$10:$J$14</definedName>
    <definedName name="watUn" localSheetId="5">AnalyticsWaterMeter!$H$15:$H$23</definedName>
    <definedName name="watUn">base_w!$H$15:$H$23</definedName>
    <definedName name="watUni" localSheetId="16">base_w!$H$15:$H$29</definedName>
    <definedName name="watUni" localSheetId="5">AnalyticsWaterMeter!$H$15:$H$29</definedName>
    <definedName name="watUni" localSheetId="15">base_w!$H$15:$H$29</definedName>
    <definedName name="watUni" localSheetId="17">base_w!$H$15:$H$29</definedName>
    <definedName name="watUni" localSheetId="13">base_w!$H$15:$H$29</definedName>
    <definedName name="watUni" localSheetId="21">base_w!$H$15:$H$29</definedName>
    <definedName name="watUni" localSheetId="23">base_w!$H$15:$H$29</definedName>
    <definedName name="watUni" localSheetId="20">base_w!$H$15:$H$29</definedName>
    <definedName name="watUni" localSheetId="14">base_w!$H$15:$H$29</definedName>
    <definedName name="watUni" localSheetId="18">base_w!$H$15:$H$29</definedName>
    <definedName name="watUni" localSheetId="19">base_w!$H$15:$H$29</definedName>
    <definedName name="watUni" localSheetId="22">base_w!$H$15:$H$29</definedName>
    <definedName name="watUni">base_w!$H$15:$H$29</definedName>
    <definedName name="waUn">'Waste Stream'!$I$12:$I$18</definedName>
    <definedName name="waunit">'Waste Stream'!$J$9:$J$11</definedName>
    <definedName name="Wood" localSheetId="16">Acetaldehyde!$H$16:$H$27</definedName>
    <definedName name="Wood" localSheetId="15">'Atmospheric Particulate Matter'!$H$16:$H$27</definedName>
    <definedName name="Wood" localSheetId="17">Benzene!$H$16:$H$27</definedName>
    <definedName name="Wood" localSheetId="13">'Carbon Monoxide'!$H$16:$H$27</definedName>
    <definedName name="Wood" localSheetId="21">Dichlorobenzene!$H$16:$H$27</definedName>
    <definedName name="Wood" localSheetId="23">Formaldehyde!$H$16:$H$27</definedName>
    <definedName name="Wood" localSheetId="20">'Naphthalene '!$H$16:$H$27</definedName>
    <definedName name="Wood" localSheetId="14">Ozone!$H$16:$H$27</definedName>
    <definedName name="Wood" localSheetId="18">Styrene!$H$16:$H$27</definedName>
    <definedName name="Wood" localSheetId="19">Toluene!$H$16:$H$27</definedName>
    <definedName name="Wood" localSheetId="22">'Xylenes-total'!$H$16:$H$27</definedName>
    <definedName name="Wood">base_f!$H$16:$H$27</definedName>
    <definedName name="woods" localSheetId="16">Acetaldehyde!$H$16:$H$22</definedName>
    <definedName name="woods" localSheetId="15">'Atmospheric Particulate Matter'!$H$16:$H$22</definedName>
    <definedName name="woods" localSheetId="17">Benzene!$H$16:$H$22</definedName>
    <definedName name="woods" localSheetId="13">'Carbon Monoxide'!$H$16:$H$22</definedName>
    <definedName name="woods" localSheetId="21">Dichlorobenzene!$H$16:$H$22</definedName>
    <definedName name="woods" localSheetId="23">Formaldehyde!$H$16:$H$22</definedName>
    <definedName name="woods" localSheetId="20">'Naphthalene '!$H$16:$H$22</definedName>
    <definedName name="woods" localSheetId="14">Ozone!$H$16:$H$22</definedName>
    <definedName name="woods" localSheetId="18">Styrene!$H$16:$H$22</definedName>
    <definedName name="woods" localSheetId="19">Toluene!$H$16:$H$22</definedName>
    <definedName name="woods" localSheetId="22">'Xylenes-total'!$H$16:$H$22</definedName>
    <definedName name="woods">base_f!$H$16:$H$22</definedName>
    <definedName name="woodunit" localSheetId="16">Acetaldehyde!$H$16:$H$22</definedName>
    <definedName name="woodunit" localSheetId="15">'Atmospheric Particulate Matter'!$H$16:$H$22</definedName>
    <definedName name="woodunit" localSheetId="17">Benzene!$H$16:$H$22</definedName>
    <definedName name="woodunit" localSheetId="13">'Carbon Monoxide'!$H$16:$H$22</definedName>
    <definedName name="woodunit" localSheetId="21">Dichlorobenzene!$H$16:$H$22</definedName>
    <definedName name="woodunit" localSheetId="23">Formaldehyde!$H$16:$H$22</definedName>
    <definedName name="woodunit" localSheetId="20">'Naphthalene '!$H$16:$H$22</definedName>
    <definedName name="woodunit" localSheetId="14">Ozone!$H$16:$H$22</definedName>
    <definedName name="woodunit" localSheetId="18">Styrene!$H$16:$H$22</definedName>
    <definedName name="woodunit" localSheetId="19">Toluene!$H$16:$H$22</definedName>
    <definedName name="woodunit" localSheetId="22">'Xylenes-total'!$H$16:$H$22</definedName>
    <definedName name="woodunit">base_f!$H$16:$H$22</definedName>
    <definedName name="zep" localSheetId="5">AnalyticsWaterMeter!$J$8</definedName>
    <definedName name="zep">base_w!$J$8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6" i="30" l="1"/>
  <c r="B1" i="30"/>
  <c r="D1" i="30" s="1"/>
  <c r="E7" i="12"/>
  <c r="B7" i="12" s="1"/>
  <c r="H8" i="14" a="1"/>
  <c r="H8" i="14" s="1"/>
  <c r="E7" i="13"/>
  <c r="B7" i="13" s="1"/>
  <c r="I8" i="15" a="1"/>
  <c r="I8" i="15" s="1"/>
  <c r="E8" i="12" l="1"/>
  <c r="B8" i="12" s="1"/>
  <c r="C8" i="12" s="1"/>
  <c r="D7" i="12"/>
  <c r="A7" i="12" s="1"/>
  <c r="C7" i="12"/>
  <c r="H6" i="14"/>
  <c r="H14" i="14"/>
  <c r="H10" i="14" a="1"/>
  <c r="H10" i="14" s="1"/>
  <c r="H11" i="14" a="1"/>
  <c r="H11" i="14" s="1"/>
  <c r="E8" i="13"/>
  <c r="B8" i="13" s="1"/>
  <c r="D8" i="13" s="1" a="1"/>
  <c r="D8" i="13" s="1"/>
  <c r="A8" i="13" s="1"/>
  <c r="C7" i="13"/>
  <c r="D7" i="13" a="1"/>
  <c r="D7" i="13" s="1"/>
  <c r="A7" i="13" s="1"/>
  <c r="I6" i="15"/>
  <c r="I11" i="15" a="1"/>
  <c r="I11" i="15" s="1"/>
  <c r="I14" i="15"/>
  <c r="I10" i="15" a="1"/>
  <c r="I10" i="15" s="1"/>
  <c r="I15" i="15" s="1"/>
  <c r="D6" i="29"/>
  <c r="B1" i="29"/>
  <c r="D1" i="29" s="1"/>
  <c r="D6" i="28"/>
  <c r="B1" i="28"/>
  <c r="D1" i="28" s="1"/>
  <c r="C8" i="13" l="1"/>
  <c r="D8" i="12"/>
  <c r="A8" i="12" s="1"/>
  <c r="H15" i="14"/>
  <c r="I19" i="16" l="1"/>
  <c r="F19" i="16" l="1"/>
  <c r="K8" i="16" l="1"/>
  <c r="J8" i="16" s="1"/>
  <c r="K9" i="16"/>
  <c r="J9" i="16" s="1"/>
  <c r="K10" i="16"/>
  <c r="J10" i="16" s="1"/>
  <c r="K11" i="16"/>
  <c r="J11" i="16" s="1"/>
  <c r="K12" i="16"/>
  <c r="J12" i="16" s="1"/>
  <c r="K13" i="16"/>
  <c r="J13" i="16" s="1"/>
  <c r="K14" i="16"/>
  <c r="J14" i="16" s="1"/>
  <c r="K15" i="16"/>
  <c r="J15" i="16" s="1"/>
  <c r="K16" i="16"/>
  <c r="J16" i="16" s="1"/>
  <c r="K17" i="16"/>
  <c r="J17" i="16" s="1"/>
  <c r="K18" i="16"/>
  <c r="J18" i="16" s="1"/>
  <c r="K7" i="16"/>
  <c r="J7" i="16" s="1"/>
  <c r="G19" i="16" l="1"/>
  <c r="B50" i="16" l="1"/>
  <c r="B44" i="16"/>
  <c r="B38" i="16"/>
  <c r="D6" i="27" l="1"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a="1"/>
  <c r="D6" i="21" s="1"/>
  <c r="B1" i="21"/>
  <c r="D1" i="21" s="1"/>
  <c r="D6" i="20" a="1"/>
  <c r="D6" i="20" s="1"/>
  <c r="B1" i="20"/>
  <c r="D1" i="20" s="1"/>
  <c r="D6" i="19" a="1"/>
  <c r="D6" i="19" s="1"/>
  <c r="B1" i="19"/>
  <c r="D1" i="19" s="1"/>
  <c r="D6" i="18" a="1"/>
  <c r="D6" i="18" s="1"/>
  <c r="B1" i="18"/>
  <c r="D1" i="18" s="1"/>
  <c r="D6" i="17" a="1"/>
  <c r="D6" i="17" s="1"/>
  <c r="B1" i="17"/>
  <c r="D1" i="17" s="1"/>
  <c r="D19" i="16" l="1"/>
  <c r="L8" i="16" l="1"/>
  <c r="L9" i="16"/>
  <c r="L10" i="16"/>
  <c r="L11" i="16"/>
  <c r="L12" i="16"/>
  <c r="L13" i="16"/>
  <c r="L14" i="16"/>
  <c r="L15" i="16"/>
  <c r="L16" i="16"/>
  <c r="L7" i="16" l="1"/>
  <c r="H19" i="16" l="1"/>
  <c r="H8" i="15" l="1" a="1"/>
  <c r="H8" i="15" s="1"/>
  <c r="G8" i="14" a="1"/>
  <c r="G8" i="14" s="1"/>
  <c r="E19" i="16" l="1"/>
  <c r="L17" i="16" l="1"/>
  <c r="L18" i="16"/>
  <c r="D25" i="16" l="1"/>
  <c r="B10" i="15" a="1"/>
  <c r="B10" i="15" s="1"/>
  <c r="B10" i="14" a="1"/>
  <c r="B10" i="14" s="1"/>
  <c r="D24" i="16"/>
  <c r="B24" i="16"/>
  <c r="D6" i="16"/>
  <c r="D6" i="13"/>
  <c r="D6" i="12"/>
  <c r="E18" i="15"/>
  <c r="C21" i="15" a="1"/>
  <c r="C21" i="15" s="1"/>
  <c r="B21" i="15" a="1"/>
  <c r="B21" i="15" s="1"/>
  <c r="C21" i="14" a="1"/>
  <c r="C21" i="14" s="1"/>
  <c r="B21" i="14" a="1"/>
  <c r="B21" i="14" s="1"/>
  <c r="E18" i="14"/>
  <c r="B1" i="6"/>
  <c r="B1" i="8"/>
  <c r="B1" i="4"/>
  <c r="D6" i="8"/>
  <c r="D6" i="6"/>
  <c r="D6" i="4"/>
  <c r="E6" i="11"/>
  <c r="D6" i="11"/>
  <c r="D26" i="16" l="1"/>
  <c r="B11" i="14" a="1"/>
  <c r="B11" i="14" s="1"/>
  <c r="A10" i="15"/>
  <c r="B11" i="15" a="1"/>
  <c r="B11" i="15" s="1"/>
  <c r="H10" i="15" a="1"/>
  <c r="H10" i="15" s="1"/>
  <c r="H6" i="15"/>
  <c r="H14" i="15"/>
  <c r="D1" i="8"/>
  <c r="D1" i="6"/>
  <c r="D1" i="4"/>
  <c r="J19" i="16"/>
  <c r="G6" i="14"/>
  <c r="G14" i="14"/>
  <c r="A10" i="14"/>
  <c r="G10" i="14" a="1"/>
  <c r="G10" i="14" s="1"/>
  <c r="D28" i="16" l="1"/>
  <c r="D27" i="16"/>
  <c r="B18" i="15"/>
  <c r="C18" i="15" s="1"/>
  <c r="G11" i="14" a="1"/>
  <c r="G11" i="14" s="1"/>
  <c r="A11" i="14"/>
  <c r="A11" i="15"/>
  <c r="H11" i="15" a="1"/>
  <c r="H11" i="15" s="1"/>
  <c r="B18" i="14"/>
  <c r="C18" i="14" s="1"/>
  <c r="G15" i="14" l="1"/>
  <c r="H15" i="15"/>
  <c r="D18" i="15" s="1" a="1"/>
  <c r="D18" i="15" s="1"/>
  <c r="A18" i="15" s="1"/>
  <c r="D18" i="14" l="1"/>
  <c r="A18"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<sst xmlns="http://schemas.openxmlformats.org/spreadsheetml/2006/main" count="3918" uniqueCount="759">
  <si>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</si>
  <si>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</si>
  <si>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</si>
  <si>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</si>
  <si>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</si>
  <si>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</si>
  <si>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</si>
  <si>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</si>
  <si>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</si>
  <si>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</si>
  <si>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</si>
  <si>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</si>
  <si>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</si>
  <si>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</si>
  <si>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</si>
  <si>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</si>
  <si>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</si>
  <si>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</si>
  <si>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</si>
  <si>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</si>
  <si>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</si>
  <si>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</si>
  <si>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</si>
  <si>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</si>
  <si>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</si>
  <si>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</si>
  <si>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</si>
  <si>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</si>
  <si>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</si>
  <si>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</si>
  <si>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</si>
  <si>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</si>
  <si>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</si>
  <si>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</si>
  <si>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</si>
  <si>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</si>
  <si>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</si>
  <si>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</si>
  <si>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</si>
  <si>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</si>
  <si>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</si>
  <si>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</si>
  <si>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</si>
  <si>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</si>
  <si>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</si>
  <si>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</si>
  <si>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</si>
  <si>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</si>
  <si>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</si>
  <si>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</si>
  <si>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</si>
  <si>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</si>
  <si>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</si>
  <si>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</si>
  <si>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</si>
  <si>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</si>
  <si>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</si>
  <si>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</si>
  <si>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</si>
  <si>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</si>
  <si>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</si>
  <si>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</si>
  <si>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</si>
  <si>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</si>
  <si>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</si>
  <si>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</si>
  <si>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</si>
  <si>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</si>
  <si>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</si>
  <si>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</si>
  <si>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</si>
  <si>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</si>
  <si>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</si>
  <si>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</si>
  <si>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</si>
  <si>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</si>
  <si>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</si>
  <si>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</si>
  <si>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</si>
  <si>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</si>
  <si>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</si>
  <si>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</si>
  <si>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</si>
  <si>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</si>
  <si>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</si>
  <si>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</si>
  <si>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</si>
  <si>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</si>
  <si>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</si>
  <si>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</si>
  <si>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</si>
  <si>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</si>
  <si>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</si>
  <si>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</si>
  <si>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</si>
  <si>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</si>
  <si>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</si>
  <si>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</si>
  <si>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</si>
  <si>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</si>
  <si>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</si>
  <si>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</si>
  <si>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</si>
  <si>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</si>
  <si>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</si>
  <si>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</si>
  <si>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</si>
  <si>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</si>
  <si>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</si>
  <si>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</si>
  <si>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</si>
  <si>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</si>
  <si>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</si>
  <si>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</si>
  <si>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</si>
  <si>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</si>
  <si>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</si>
  <si>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</si>
  <si>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</si>
  <si>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</si>
  <si>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</si>
  <si>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</si>
  <si>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</si>
  <si>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</si>
  <si>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</si>
  <si>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</si>
  <si>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</si>
  <si>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</si>
  <si>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</si>
  <si>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</si>
  <si>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</si>
  <si>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</si>
  <si>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</si>
  <si>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</si>
  <si>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</si>
  <si>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</si>
  <si>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</si>
  <si>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</si>
  <si>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</si>
  <si>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</si>
  <si>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</si>
  <si>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</si>
  <si>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</si>
  <si>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</si>
  <si>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</si>
  <si>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</si>
  <si>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</si>
  <si>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</si>
  <si>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</si>
  <si>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</si>
  <si>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</si>
  <si>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</si>
  <si>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</si>
  <si>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</si>
  <si>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</si>
  <si>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</si>
  <si>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</si>
  <si>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</si>
  <si>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</si>
  <si>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</si>
  <si>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</si>
  <si>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</si>
  <si>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</si>
  <si>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</si>
  <si>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</si>
  <si>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</si>
  <si>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</si>
  <si>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</si>
  <si>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</si>
  <si>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</si>
  <si>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</si>
  <si>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</si>
  <si>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</si>
  <si>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</si>
  <si>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</si>
  <si>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</si>
  <si>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</si>
  <si>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</si>
  <si>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</si>
  <si>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</si>
  <si>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</si>
  <si>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</si>
  <si>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</si>
  <si>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</si>
  <si>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</si>
  <si>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</si>
  <si>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</si>
  <si>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</si>
  <si>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</si>
  <si>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</si>
  <si>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</si>
  <si>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</si>
  <si>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</si>
  <si>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</si>
  <si>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</si>
  <si>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</si>
  <si>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</si>
  <si>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</si>
  <si>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</si>
  <si>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</si>
  <si>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</si>
  <si>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</si>
  <si>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</si>
  <si>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</si>
  <si>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</si>
  <si>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</si>
  <si>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</si>
  <si>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</si>
  <si>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</si>
  <si>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</si>
  <si>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</si>
  <si>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</si>
  <si>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</si>
  <si>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</si>
  <si>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</si>
  <si>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</si>
  <si>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</si>
  <si>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</si>
  <si>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</si>
  <si>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</si>
  <si>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</si>
  <si>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</si>
  <si>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</si>
  <si>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</si>
  <si>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</si>
  <si>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</si>
  <si>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</si>
  <si>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</si>
  <si>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</si>
  <si>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</si>
  <si>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</si>
  <si>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</si>
  <si>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</si>
  <si>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</si>
  <si>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</si>
  <si>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</si>
  <si>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</si>
  <si>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</si>
  <si>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</si>
  <si>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</si>
  <si>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</si>
  <si>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</si>
  <si>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</si>
  <si>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</si>
  <si>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</si>
  <si>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</si>
  <si>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</si>
  <si>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</si>
  <si>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</si>
  <si>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</si>
  <si>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</si>
  <si>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</si>
  <si>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</si>
  <si>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</si>
  <si>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</si>
  <si>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</si>
  <si>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</si>
  <si>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</si>
  <si>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</si>
  <si>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</si>
  <si>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</si>
  <si>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</si>
  <si>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</si>
  <si>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</si>
  <si>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</si>
  <si>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</si>
  <si>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</si>
  <si>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</si>
  <si>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</si>
  <si>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</si>
  <si>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</si>
  <si>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</si>
  <si>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</si>
  <si>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</si>
  <si>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</si>
  <si>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</si>
  <si>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</si>
  <si>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</si>
  <si>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</si>
  <si>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</si>
  <si>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</si>
  <si>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</si>
  <si>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</si>
  <si>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</si>
  <si>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</si>
  <si>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</si>
  <si>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</si>
  <si>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</si>
  <si>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</si>
  <si>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</si>
  <si>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</si>
  <si>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</si>
  <si>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</si>
  <si>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</si>
  <si>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</si>
  <si>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</si>
  <si>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</si>
  <si>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</si>
  <si>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</si>
  <si>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</si>
  <si>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</si>
  <si>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</si>
  <si>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</si>
  <si>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</si>
  <si>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</si>
  <si>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</si>
  <si>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</si>
  <si>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</si>
  <si>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</si>
  <si>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</si>
  <si>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</si>
  <si>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</si>
  <si>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</si>
  <si>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</si>
  <si>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</si>
  <si>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</si>
  <si>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</si>
  <si>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</si>
  <si>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</si>
  <si>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</si>
  <si>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</si>
  <si>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</si>
  <si>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</si>
  <si>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</si>
  <si>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</si>
  <si>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</si>
  <si>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</si>
  <si>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</si>
  <si>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</si>
  <si>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</si>
  <si>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</si>
  <si>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</si>
  <si>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</si>
  <si>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</si>
  <si>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</si>
  <si>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</si>
  <si>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</si>
  <si>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</si>
  <si>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</si>
  <si>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</si>
  <si>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</si>
  <si>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</si>
  <si>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</si>
  <si>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</si>
  <si>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</si>
  <si>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</si>
  <si>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</si>
  <si>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</si>
  <si>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</si>
  <si>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</si>
  <si>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</si>
  <si>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</si>
  <si>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</si>
  <si>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</si>
  <si>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</si>
  <si>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</si>
  <si>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</si>
  <si>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</si>
  <si>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</si>
  <si>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</si>
  <si>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</si>
  <si>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</si>
  <si>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</si>
  <si>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</si>
  <si>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</si>
  <si>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</si>
  <si>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</si>
  <si>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</si>
  <si>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</si>
  <si>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</si>
  <si>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</si>
  <si>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</si>
  <si>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</si>
  <si>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</si>
  <si>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</si>
  <si>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</si>
  <si>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</si>
  <si>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</si>
  <si>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</si>
  <si>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</si>
  <si>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</si>
  <si>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</si>
  <si>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</si>
  <si>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</si>
  <si>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</si>
  <si>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</si>
  <si>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</si>
  <si>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</si>
  <si>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</si>
  <si>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</si>
  <si>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</si>
  <si>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</si>
  <si>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</si>
  <si>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</si>
  <si>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</si>
  <si>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</si>
  <si>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</si>
  <si>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</si>
  <si>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</si>
  <si>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</si>
  <si>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</si>
  <si>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</si>
  <si>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</si>
  <si>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</si>
  <si>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</si>
  <si>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</si>
  <si>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</si>
  <si>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</si>
  <si>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</si>
  <si>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</si>
  <si>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</si>
  <si>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</si>
  <si>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</si>
  <si>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</si>
  <si>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</si>
  <si>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</si>
  <si>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</si>
  <si>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</si>
  <si>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</si>
  <si>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</si>
  <si>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</si>
  <si>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</si>
  <si>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</si>
  <si>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</si>
  <si>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</si>
  <si>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</si>
  <si>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</si>
  <si>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</si>
  <si>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</si>
  <si>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</si>
  <si>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</si>
  <si>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</si>
  <si>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</si>
  <si>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</si>
  <si>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</si>
  <si>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</si>
  <si>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</si>
  <si>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</si>
  <si>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</si>
  <si>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</si>
  <si>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</si>
  <si>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</si>
  <si>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</si>
  <si>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</si>
  <si>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</si>
  <si>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</si>
  <si>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</si>
  <si>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</si>
  <si>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</si>
  <si>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</si>
  <si>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</si>
  <si>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</si>
  <si>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</si>
  <si>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</si>
  <si>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</si>
  <si>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</si>
  <si>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</si>
  <si>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</si>
  <si>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</si>
  <si>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</si>
  <si>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</si>
  <si>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</si>
  <si>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</si>
  <si>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</si>
  <si>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</si>
  <si>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</si>
  <si>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</si>
  <si>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</si>
  <si>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</si>
  <si>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</si>
  <si>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</si>
  <si>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</si>
  <si>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</si>
  <si>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</si>
  <si>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</si>
  <si>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</si>
  <si>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</si>
  <si>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</si>
  <si>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</si>
  <si>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</si>
  <si>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</si>
  <si>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</si>
  <si>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</si>
  <si>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</si>
  <si>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</si>
  <si>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</si>
  <si>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</si>
  <si>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</si>
  <si>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</si>
  <si>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</si>
  <si>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</si>
  <si>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</si>
  <si>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</si>
  <si>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</si>
  <si>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</si>
  <si>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</si>
  <si>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</si>
  <si>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</si>
  <si>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</si>
  <si>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</si>
  <si>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</si>
  <si>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</si>
  <si>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</si>
  <si>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</si>
  <si>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</si>
  <si>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</si>
  <si>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</si>
  <si>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</si>
  <si>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</si>
  <si>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</si>
  <si>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</si>
  <si>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</si>
  <si>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</si>
  <si>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</si>
  <si>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</si>
  <si>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</si>
  <si>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</si>
  <si>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</si>
  <si>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</si>
  <si>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</si>
  <si>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</si>
  <si>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</si>
  <si>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</si>
  <si>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</si>
  <si>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</si>
  <si>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</si>
  <si>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</si>
  <si>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</si>
  <si>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</si>
  <si>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</si>
  <si>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</si>
  <si>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</si>
  <si>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</si>
  <si>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</si>
  <si>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</si>
  <si>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</si>
  <si>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</si>
  <si>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</si>
  <si>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</si>
  <si>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</si>
  <si>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</si>
  <si>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</si>
  <si>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</si>
  <si>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</si>
  <si>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</si>
  <si>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</si>
  <si>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</si>
  <si>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</si>
  <si>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</si>
  <si>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</si>
  <si>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</si>
  <si>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</si>
  <si>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</si>
  <si>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</si>
  <si>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</si>
  <si>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</si>
  <si>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</si>
  <si>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</si>
  <si>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</si>
  <si>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</si>
  <si>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</si>
  <si>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</si>
  <si>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</si>
  <si>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</si>
  <si>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</si>
  <si>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</si>
  <si>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</si>
  <si>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</si>
  <si>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</si>
  <si>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</si>
  <si>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</si>
  <si>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</si>
  <si>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</si>
  <si>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</si>
  <si>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</si>
  <si>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</si>
  <si>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</si>
  <si>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</si>
  <si>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</si>
  <si>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</si>
  <si>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</si>
  <si>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</si>
  <si>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</si>
  <si>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</si>
  <si>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</si>
  <si>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</si>
  <si>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</si>
  <si>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</si>
  <si>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</si>
  <si>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</si>
  <si>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</si>
  <si>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</si>
  <si>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</si>
  <si>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</si>
  <si>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</si>
  <si>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</si>
  <si>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</si>
  <si>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</si>
  <si>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</si>
  <si>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</si>
  <si>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</si>
  <si>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</si>
  <si>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</si>
  <si>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</si>
  <si>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</si>
  <si>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</si>
  <si>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</si>
  <si>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</si>
  <si>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</si>
  <si>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</si>
  <si>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</si>
  <si>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</si>
  <si>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</si>
  <si>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</si>
  <si>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</si>
  <si>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</si>
  <si>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</si>
  <si>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</si>
  <si>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</si>
  <si>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</si>
  <si>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</si>
  <si>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</si>
  <si>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</si>
  <si>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</si>
  <si>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</si>
  <si>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</si>
  <si>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</si>
  <si>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</si>
  <si>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</si>
  <si>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</si>
  <si>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</si>
  <si>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</si>
  <si>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</si>
  <si>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</si>
  <si>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</si>
  <si>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</si>
  <si>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</si>
  <si>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</si>
  <si>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</si>
  <si>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</si>
  <si>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</si>
  <si>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</si>
  <si>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</si>
  <si>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</si>
  <si>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</si>
  <si>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</si>
  <si>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</si>
  <si>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</si>
  <si>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</si>
  <si>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</si>
  <si>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</si>
  <si>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</si>
  <si>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</si>
  <si>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</si>
  <si>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</si>
  <si>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</si>
  <si>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</si>
  <si>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</si>
  <si>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</si>
  <si>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</si>
  <si>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</si>
  <si>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</si>
  <si>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</si>
  <si>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</si>
  <si>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</si>
  <si>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</si>
  <si>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</si>
  <si>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</si>
  <si>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</si>
  <si>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</si>
  <si>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</si>
  <si>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</si>
  <si>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</si>
  <si>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</si>
  <si>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</si>
  <si>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</si>
  <si>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</si>
  <si>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</si>
  <si>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</si>
  <si>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</si>
  <si>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</si>
  <si>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</si>
  <si>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</si>
  <si>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</si>
  <si>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</si>
  <si>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</si>
  <si>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</si>
  <si>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</si>
  <si>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</si>
  <si>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</si>
  <si>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</si>
  <si>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</si>
  <si>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</si>
  <si>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</si>
  <si>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</si>
  <si>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</si>
  <si>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</si>
  <si>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</si>
  <si>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</si>
  <si>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</si>
  <si>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</si>
  <si>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</si>
  <si>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</si>
  <si>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</si>
  <si>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</si>
  <si>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</si>
  <si>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</si>
  <si>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</si>
  <si>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</si>
  <si>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</si>
  <si>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</si>
  <si>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</si>
  <si>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</si>
  <si>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</si>
  <si>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</si>
  <si>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</si>
  <si>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</si>
  <si>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</si>
  <si>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</si>
  <si>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</si>
  <si>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</si>
  <si>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</si>
  <si>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</si>
  <si>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</si>
  <si>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</si>
  <si>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</si>
  <si>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</si>
  <si>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</si>
  <si>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</si>
  <si>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</si>
  <si>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</si>
  <si>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</si>
  <si>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</si>
  <si>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</si>
  <si>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</si>
  <si>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</si>
  <si>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</si>
  <si>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</si>
  <si>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</si>
  <si>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</si>
  <si>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</si>
  <si>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</si>
  <si>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</si>
  <si>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</si>
  <si>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</si>
  <si>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</si>
  <si>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</si>
  <si>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</si>
  <si>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</si>
  <si>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Space Name or Description 1</t>
  </si>
  <si>
    <t>Exclude</t>
  </si>
  <si>
    <t>Space Name or Description 2</t>
  </si>
  <si>
    <t>Space Name or Description 3</t>
  </si>
  <si>
    <t>AnalyticsEnergyMeter</t>
  </si>
  <si>
    <t>AnalyticsWaterMeter</t>
  </si>
  <si>
    <t>Delhi</t>
  </si>
  <si>
    <t>Noida</t>
  </si>
  <si>
    <t>GeneratedOnsite-solar</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</si>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</sst>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 fillId="0" borderId="0" xfId="1" applyFont="1" applyFill="1" applyBorder="1" applyAlignment="1">
      <alignment horizontal="center" vertical="center"/>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6" borderId="57" xfId="0" applyFont="1" applyFill="1" applyBorder="1" applyAlignment="1">
      <alignment horizontal="left" vertical="center"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Summaries</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4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4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4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500-000001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0500-000002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0500-000003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6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10</xdr:row>
          <xdr:rowOff>9525</xdr:rowOff>
        </xdr:from>
        <xdr:to>
          <xdr:col>2</xdr:col>
          <xdr:colOff>447675</xdr:colOff>
          <xdr:row>10</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7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400050</xdr:rowOff>
        </xdr:from>
        <xdr:to>
          <xdr:col>3</xdr:col>
          <xdr:colOff>981075</xdr:colOff>
          <xdr:row>12</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7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8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8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8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4</xdr:row>
          <xdr:rowOff>152400</xdr:rowOff>
        </xdr:from>
        <xdr:to>
          <xdr:col>4</xdr:col>
          <xdr:colOff>962025</xdr:colOff>
          <xdr:row>4</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8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10</xdr:row>
          <xdr:rowOff>28575</xdr:rowOff>
        </xdr:from>
        <xdr:to>
          <xdr:col>2</xdr:col>
          <xdr:colOff>466725</xdr:colOff>
          <xdr:row>10</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9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10</xdr:row>
          <xdr:rowOff>352425</xdr:rowOff>
        </xdr:from>
        <xdr:to>
          <xdr:col>3</xdr:col>
          <xdr:colOff>990600</xdr:colOff>
          <xdr:row>12</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9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A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A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4</xdr:row>
          <xdr:rowOff>133350</xdr:rowOff>
        </xdr:from>
        <xdr:to>
          <xdr:col>4</xdr:col>
          <xdr:colOff>885825</xdr:colOff>
          <xdr:row>4</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A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8</xdr:row>
          <xdr:rowOff>0</xdr:rowOff>
        </xdr:from>
        <xdr:to>
          <xdr:col>2</xdr:col>
          <xdr:colOff>9525</xdr:colOff>
          <xdr:row>9</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8</xdr:row>
          <xdr:rowOff>0</xdr:rowOff>
        </xdr:from>
        <xdr:to>
          <xdr:col>3</xdr:col>
          <xdr:colOff>9525</xdr:colOff>
          <xdr:row>9</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9</xdr:row>
          <xdr:rowOff>9525</xdr:rowOff>
        </xdr:from>
        <xdr:to>
          <xdr:col>3</xdr:col>
          <xdr:colOff>1200150</xdr:colOff>
          <xdr:row>9</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B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C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C00-000003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C00-000004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D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D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E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E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F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F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10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10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1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1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1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2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2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2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3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3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3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4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4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4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5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5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5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6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6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6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7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7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7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6.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8.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4.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1.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7.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6.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9.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24.vml"/><Relationship Id="rId1" Type="http://schemas.openxmlformats.org/officeDocument/2006/relationships/drawing" Target="../drawings/drawing24.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opLeftCell="A6" zoomScale="90" zoomScaleNormal="90" workbookViewId="0">
      <selection activeCell="F12" sqref="F1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9" t="s">
        <v>723</v>
      </c>
      <c r="D3" s="220"/>
      <c r="E3" s="220"/>
      <c r="F3" s="220"/>
      <c r="G3" s="1"/>
      <c r="H3" s="1"/>
      <c r="I3" s="9"/>
      <c r="J3" s="1"/>
      <c r="K3" s="89"/>
      <c r="L3" s="77"/>
      <c r="M3" s="77"/>
      <c r="N3" s="77"/>
    </row>
    <row r="4" spans="2:14" ht="36" customHeight="1" x14ac:dyDescent="0.25">
      <c r="B4" s="88"/>
      <c r="C4" s="222" t="s">
        <v>724</v>
      </c>
      <c r="D4" s="222"/>
      <c r="E4" s="222"/>
      <c r="F4" s="222"/>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6" t="s">
        <v>725</v>
      </c>
      <c r="D12" s="217"/>
      <c r="E12" s="218"/>
      <c r="F12" s="127">
        <v>2018</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3" t="s">
        <v>726</v>
      </c>
      <c r="D15" s="223"/>
      <c r="E15" s="223"/>
      <c r="F15" s="223"/>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21" t="s">
        <v>700</v>
      </c>
      <c r="E26" s="221"/>
      <c r="F26" s="221"/>
      <c r="G26" s="7"/>
      <c r="H26" s="7"/>
      <c r="I26" s="8"/>
      <c r="J26" s="7"/>
      <c r="K26" s="89"/>
      <c r="L26" s="77"/>
      <c r="M26" s="77"/>
      <c r="N26" s="77"/>
    </row>
    <row r="27" spans="2:14" ht="30" customHeight="1" x14ac:dyDescent="0.25">
      <c r="B27" s="88"/>
      <c r="C27" s="15"/>
      <c r="D27" s="221" t="s">
        <v>701</v>
      </c>
      <c r="E27" s="221"/>
      <c r="F27" s="221"/>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15" t="s">
        <v>730</v>
      </c>
      <c r="D35" s="215"/>
      <c r="E35" s="215"/>
      <c r="F35" s="215"/>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14" t="s">
        <v>733</v>
      </c>
      <c r="D43" s="214"/>
      <c r="E43" s="214"/>
      <c r="F43" s="214"/>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13" t="s">
        <v>735</v>
      </c>
      <c r="D45" s="213"/>
      <c r="E45" s="213"/>
      <c r="F45" s="213"/>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13" t="s">
        <v>736</v>
      </c>
      <c r="D47" s="213"/>
      <c r="E47" s="213"/>
      <c r="F47" s="213"/>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14" t="s">
        <v>737</v>
      </c>
      <c r="D49" s="214"/>
      <c r="E49" s="214"/>
      <c r="F49" s="214"/>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mergeCells count="11">
    <mergeCell ref="C12:E12"/>
    <mergeCell ref="C3:F3"/>
    <mergeCell ref="D26:F26"/>
    <mergeCell ref="D27:F27"/>
    <mergeCell ref="C4:F4"/>
    <mergeCell ref="C15:F15"/>
    <mergeCell ref="C45:F45"/>
    <mergeCell ref="C47:F47"/>
    <mergeCell ref="C49:F49"/>
    <mergeCell ref="C43:F43"/>
    <mergeCell ref="C35:F3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tabSelected="1" zoomScale="90" zoomScaleNormal="90" workbookViewId="0">
      <pane xSplit="4" topLeftCell="E1" activePane="topRight" state="frozen"/>
      <selection pane="topRight" activeCell="D7" sqref="D7"/>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hidden="1" customWidth="1"/>
    <col min="15" max="17" width="16.140625" style="104" hidden="1" customWidth="1"/>
    <col min="18" max="18" width="33.140625" style="104" hidden="1"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24" t="s">
        <v>740</v>
      </c>
      <c r="C4" s="224"/>
      <c r="D4" s="224"/>
      <c r="E4" s="208"/>
      <c r="F4" s="208"/>
      <c r="G4" s="208"/>
      <c r="H4" s="208"/>
      <c r="I4" s="208"/>
      <c r="J4" s="208"/>
      <c r="K4" s="167"/>
    </row>
    <row r="5" spans="1:19" ht="30" customHeight="1" x14ac:dyDescent="0.2">
      <c r="A5" s="142" t="s">
        <v>758</v>
      </c>
      <c r="B5" s="105"/>
      <c r="C5" s="106"/>
      <c r="D5" s="106"/>
      <c r="E5" s="106"/>
      <c r="F5" s="107"/>
      <c r="G5" s="166"/>
      <c r="H5" s="182" t="s">
        <v>592</v>
      </c>
      <c r="I5" s="165"/>
      <c r="J5" s="181"/>
      <c r="K5" s="172"/>
      <c r="L5" s="171"/>
      <c r="M5" s="185"/>
      <c r="N5" s="225" t="s">
        <v>720</v>
      </c>
      <c r="O5" s="226"/>
      <c r="P5" s="226"/>
      <c r="Q5" s="226"/>
      <c r="R5" s="227"/>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749</v>
      </c>
      <c r="C7" s="118" t="s">
        <v>610</v>
      </c>
      <c r="D7" s="117">
        <v>1000</v>
      </c>
      <c r="E7" s="116">
        <v>100</v>
      </c>
      <c r="F7" s="116">
        <v>5</v>
      </c>
      <c r="G7" s="116">
        <v>2</v>
      </c>
      <c r="H7" s="116">
        <v>17</v>
      </c>
      <c r="I7" s="189">
        <v>0.5</v>
      </c>
      <c r="J7" s="187">
        <f>IFERROR((K7/E7)*(I7*24)," ")</f>
        <v>4.08</v>
      </c>
      <c r="K7" s="168">
        <f>G7*H7</f>
        <v>34</v>
      </c>
      <c r="L7" s="104">
        <f t="shared" ref="L7" si="0">E7*D7</f>
        <v>100000</v>
      </c>
      <c r="M7" s="183"/>
      <c r="N7" s="209" t="s">
        <v>709</v>
      </c>
      <c r="O7" s="210" t="s">
        <v>709</v>
      </c>
      <c r="P7" s="210" t="s">
        <v>709</v>
      </c>
      <c r="Q7" s="210" t="s">
        <v>709</v>
      </c>
      <c r="R7" s="210" t="s">
        <v>709</v>
      </c>
    </row>
    <row r="8" spans="1:19" ht="15" customHeight="1" x14ac:dyDescent="0.2">
      <c r="A8" s="114">
        <v>0</v>
      </c>
      <c r="B8" s="115" t="s">
        <v>751</v>
      </c>
      <c r="C8" s="118" t="s">
        <v>612</v>
      </c>
      <c r="D8" s="117">
        <v>1000</v>
      </c>
      <c r="E8" s="116"/>
      <c r="F8" s="116"/>
      <c r="G8" s="116"/>
      <c r="H8" s="116"/>
      <c r="I8" s="189"/>
      <c r="J8" s="187" t="str">
        <f t="shared" ref="J8:J18" si="1">IFERROR((K8/E8)*(I8*24)," ")</f>
        <v xml:space="preserve"> </v>
      </c>
      <c r="K8" s="168">
        <f t="shared" ref="K8:K18" si="2">G8*H8</f>
        <v>0</v>
      </c>
      <c r="L8" s="104">
        <f t="shared" ref="L8:L16" si="3">E8*D8</f>
        <v>0</v>
      </c>
      <c r="M8" s="183"/>
      <c r="N8" s="210" t="s">
        <v>750</v>
      </c>
      <c r="O8" s="210" t="s">
        <v>750</v>
      </c>
      <c r="P8" s="210" t="s">
        <v>709</v>
      </c>
      <c r="Q8" s="210" t="s">
        <v>709</v>
      </c>
      <c r="R8" s="210" t="s">
        <v>709</v>
      </c>
    </row>
    <row r="9" spans="1:19" ht="15" customHeight="1" x14ac:dyDescent="0.2">
      <c r="A9" s="114">
        <v>0</v>
      </c>
      <c r="B9" s="115" t="s">
        <v>752</v>
      </c>
      <c r="C9" s="118" t="s">
        <v>612</v>
      </c>
      <c r="D9" s="117">
        <v>1000</v>
      </c>
      <c r="E9" s="116"/>
      <c r="F9" s="116"/>
      <c r="G9" s="116"/>
      <c r="H9" s="116"/>
      <c r="I9" s="189"/>
      <c r="J9" s="187" t="str">
        <f t="shared" si="1"/>
        <v xml:space="preserve"> </v>
      </c>
      <c r="K9" s="168">
        <f t="shared" si="2"/>
        <v>0</v>
      </c>
      <c r="L9" s="104">
        <f t="shared" si="3"/>
        <v>0</v>
      </c>
      <c r="N9" s="210" t="s">
        <v>750</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36" t="s">
        <v>722</v>
      </c>
      <c r="C19" s="237"/>
      <c r="D19" s="158">
        <f>IFERROR(SUM(D7:D18)," ")</f>
        <v>3000</v>
      </c>
      <c r="E19" s="119">
        <f t="shared" ref="E19:J19" si="5">SUM(E7:E18)</f>
        <v>100</v>
      </c>
      <c r="F19" s="119">
        <f t="shared" si="5"/>
        <v>5</v>
      </c>
      <c r="G19" s="119">
        <f t="shared" si="5"/>
        <v>2</v>
      </c>
      <c r="H19" s="119">
        <f t="shared" si="5"/>
        <v>17</v>
      </c>
      <c r="I19" s="190">
        <f>SUM(I7:I18)</f>
        <v>0.5</v>
      </c>
      <c r="J19" s="188">
        <f t="shared" si="5"/>
        <v>4.08</v>
      </c>
      <c r="K19" s="169"/>
    </row>
    <row r="20" spans="1:18" ht="33.75" customHeight="1" x14ac:dyDescent="0.2"/>
    <row r="21" spans="1:18" ht="12" customHeight="1" x14ac:dyDescent="0.2"/>
    <row r="22" spans="1:18" ht="12" customHeight="1" x14ac:dyDescent="0.2">
      <c r="B22" s="175" t="s">
        <v>745</v>
      </c>
    </row>
    <row r="24" spans="1:18" x14ac:dyDescent="0.2">
      <c r="A24" s="143"/>
      <c r="B24" s="231" t="str">
        <f>CONCATENATE("Gross 
Floor Area 
",IF(Instructions!$F$10="SI Units","(sq m)","(sq ft)"))</f>
        <v>Gross 
Floor Area 
(sq ft)</v>
      </c>
      <c r="C24" s="232"/>
      <c r="D24" s="156">
        <f>IFERROR(D19," ")</f>
        <v>3000</v>
      </c>
      <c r="F24" s="228"/>
      <c r="G24" s="228"/>
      <c r="H24" s="228"/>
      <c r="I24" s="228"/>
      <c r="L24" s="144"/>
    </row>
    <row r="25" spans="1:18" x14ac:dyDescent="0.2">
      <c r="A25" s="143"/>
      <c r="B25" s="238" t="s">
        <v>746</v>
      </c>
      <c r="C25" s="233"/>
      <c r="D25" s="157">
        <f>IFERROR(ROUND(SUM(L7:L18)/D19, 0)," ")</f>
        <v>33</v>
      </c>
      <c r="F25" s="176"/>
      <c r="G25" s="176"/>
      <c r="H25" s="176"/>
      <c r="I25" s="176"/>
    </row>
    <row r="26" spans="1:18" x14ac:dyDescent="0.2">
      <c r="A26" s="143"/>
      <c r="B26" s="173" t="s">
        <v>595</v>
      </c>
      <c r="C26" s="164"/>
      <c r="D26" s="120">
        <f>F19</f>
        <v>5</v>
      </c>
      <c r="F26" s="176"/>
      <c r="G26" s="176"/>
      <c r="H26" s="176"/>
      <c r="I26" s="176"/>
    </row>
    <row r="27" spans="1:18" x14ac:dyDescent="0.2">
      <c r="A27" s="143"/>
      <c r="B27" s="173" t="s">
        <v>592</v>
      </c>
      <c r="C27" s="164"/>
      <c r="D27" s="120">
        <f>ROUND(J19,0)</f>
        <v>4</v>
      </c>
      <c r="F27" s="178"/>
      <c r="G27" s="178"/>
      <c r="H27" s="176"/>
      <c r="I27" s="176"/>
    </row>
    <row r="28" spans="1:18" x14ac:dyDescent="0.2">
      <c r="A28" s="143"/>
      <c r="B28" s="234" t="s">
        <v>747</v>
      </c>
      <c r="C28" s="235"/>
      <c r="D28" s="120">
        <f>IFERROR(ROUND((F19+J19), 0)," ")</f>
        <v>9</v>
      </c>
      <c r="F28" s="179"/>
      <c r="G28" s="179"/>
      <c r="H28" s="177"/>
      <c r="I28" s="177"/>
    </row>
    <row r="29" spans="1:18" x14ac:dyDescent="0.2">
      <c r="C29" s="174"/>
      <c r="D29" s="121"/>
    </row>
    <row r="30" spans="1:18" x14ac:dyDescent="0.2">
      <c r="B30" s="229" t="s">
        <v>712</v>
      </c>
      <c r="C30" s="230"/>
      <c r="D30" s="192">
        <v>43101</v>
      </c>
    </row>
    <row r="32" spans="1:18" hidden="1" x14ac:dyDescent="0.2">
      <c r="B32" s="175" t="s">
        <v>713</v>
      </c>
    </row>
    <row r="33" spans="2:4" hidden="1" x14ac:dyDescent="0.2"/>
    <row r="34" spans="2:4" hidden="1" x14ac:dyDescent="0.2"/>
    <row r="35" spans="2:4" hidden="1" x14ac:dyDescent="0.2"/>
    <row r="36" spans="2:4" hidden="1" x14ac:dyDescent="0.2">
      <c r="B36" s="104" t="s">
        <v>715</v>
      </c>
    </row>
    <row r="37" spans="2:4" hidden="1" x14ac:dyDescent="0.2"/>
    <row r="38" spans="2:4" hidden="1" x14ac:dyDescent="0.2">
      <c r="B38" s="231" t="str">
        <f>CONCATENATE("Gross 
Floor Area 
",IF(Instructions!$F$10="SI Units","(sq m)","(sq ft)"))</f>
        <v>Gross 
Floor Area 
(sq ft)</v>
      </c>
      <c r="C38" s="232"/>
      <c r="D38" s="156">
        <v>1000</v>
      </c>
    </row>
    <row r="39" spans="2:4" hidden="1" x14ac:dyDescent="0.2">
      <c r="B39" s="233" t="s">
        <v>597</v>
      </c>
      <c r="C39" s="233"/>
      <c r="D39" s="157">
        <v>100</v>
      </c>
    </row>
    <row r="40" spans="2:4" hidden="1" x14ac:dyDescent="0.2">
      <c r="B40" s="234" t="s">
        <v>598</v>
      </c>
      <c r="C40" s="235"/>
      <c r="D40" s="157">
        <v>9</v>
      </c>
    </row>
    <row r="41" spans="2:4" hidden="1" x14ac:dyDescent="0.2"/>
    <row r="42" spans="2:4" hidden="1" x14ac:dyDescent="0.2">
      <c r="B42" s="104" t="s">
        <v>716</v>
      </c>
    </row>
    <row r="43" spans="2:4" hidden="1" x14ac:dyDescent="0.2"/>
    <row r="44" spans="2:4" hidden="1" x14ac:dyDescent="0.2">
      <c r="B44" s="231" t="str">
        <f>CONCATENATE("Gross 
Floor Area 
",IF(Instructions!$F$10="SI Units","(sq m)","(sq ft)"))</f>
        <v>Gross 
Floor Area 
(sq ft)</v>
      </c>
      <c r="C44" s="232"/>
      <c r="D44" s="156">
        <v>2000</v>
      </c>
    </row>
    <row r="45" spans="2:4" hidden="1" x14ac:dyDescent="0.2">
      <c r="B45" s="233" t="s">
        <v>597</v>
      </c>
      <c r="C45" s="233"/>
      <c r="D45" s="157">
        <v>50</v>
      </c>
    </row>
    <row r="46" spans="2:4" hidden="1" x14ac:dyDescent="0.2">
      <c r="B46" s="234" t="s">
        <v>598</v>
      </c>
      <c r="C46" s="235"/>
      <c r="D46" s="157">
        <v>9</v>
      </c>
    </row>
    <row r="47" spans="2:4" hidden="1" x14ac:dyDescent="0.2"/>
    <row r="48" spans="2:4" hidden="1" x14ac:dyDescent="0.2">
      <c r="B48" s="104" t="s">
        <v>717</v>
      </c>
    </row>
    <row r="49" spans="2:4" hidden="1" x14ac:dyDescent="0.2"/>
    <row r="50" spans="2:4" hidden="1" x14ac:dyDescent="0.2">
      <c r="B50" s="231" t="str">
        <f>CONCATENATE("Gross 
Floor Area 
",IF(Instructions!$F$10="SI Units","(sq m)","(sq ft)"))</f>
        <v>Gross 
Floor Area 
(sq ft)</v>
      </c>
      <c r="C50" s="232"/>
      <c r="D50" s="156">
        <v>3000</v>
      </c>
    </row>
    <row r="51" spans="2:4" hidden="1" x14ac:dyDescent="0.2">
      <c r="B51" s="233" t="s">
        <v>597</v>
      </c>
      <c r="C51" s="233"/>
      <c r="D51" s="157">
        <v>33</v>
      </c>
    </row>
    <row r="52" spans="2:4" hidden="1" x14ac:dyDescent="0.2">
      <c r="B52" s="234" t="s">
        <v>598</v>
      </c>
      <c r="C52" s="235"/>
      <c r="D52" s="157">
        <v>9</v>
      </c>
    </row>
    <row r="53" spans="2:4" hidden="1" x14ac:dyDescent="0.2"/>
    <row r="54" spans="2:4" hidden="1" x14ac:dyDescent="0.2">
      <c r="B54" s="104" t="s">
        <v>718</v>
      </c>
    </row>
    <row r="55" spans="2:4" hidden="1" x14ac:dyDescent="0.2"/>
    <row r="56" spans="2:4" hidden="1" x14ac:dyDescent="0.2">
      <c r="B56" s="180" t="s">
        <v>710</v>
      </c>
      <c r="C56" s="164"/>
      <c r="D56" s="120">
        <v>5</v>
      </c>
    </row>
    <row r="57" spans="2:4" hidden="1" x14ac:dyDescent="0.2">
      <c r="B57" s="180" t="s">
        <v>711</v>
      </c>
      <c r="C57" s="164"/>
      <c r="D57" s="120">
        <v>4</v>
      </c>
    </row>
    <row r="58" spans="2:4" hidden="1" x14ac:dyDescent="0.2">
      <c r="B58" s="234" t="s">
        <v>598</v>
      </c>
      <c r="C58" s="235"/>
      <c r="D58" s="157">
        <v>9</v>
      </c>
    </row>
    <row r="59" spans="2:4" hidden="1" x14ac:dyDescent="0.2"/>
    <row r="60" spans="2:4" hidden="1" x14ac:dyDescent="0.2">
      <c r="B60" s="104" t="s">
        <v>719</v>
      </c>
    </row>
    <row r="61" spans="2:4" hidden="1" x14ac:dyDescent="0.2"/>
    <row r="62" spans="2:4" hidden="1" x14ac:dyDescent="0.2">
      <c r="B62" s="180" t="s">
        <v>710</v>
      </c>
      <c r="C62" s="164"/>
      <c r="D62" s="120">
        <v>5</v>
      </c>
    </row>
    <row r="63" spans="2:4" hidden="1" x14ac:dyDescent="0.2">
      <c r="B63" s="180" t="s">
        <v>711</v>
      </c>
      <c r="C63" s="164"/>
      <c r="D63" s="120">
        <v>4</v>
      </c>
    </row>
    <row r="64" spans="2:4" hidden="1" x14ac:dyDescent="0.2">
      <c r="B64" s="234" t="s">
        <v>598</v>
      </c>
      <c r="C64" s="235"/>
      <c r="D64" s="157">
        <v>9</v>
      </c>
    </row>
  </sheetData>
  <mergeCells count="20">
    <mergeCell ref="B51:C51"/>
    <mergeCell ref="B52:C52"/>
    <mergeCell ref="B58:C58"/>
    <mergeCell ref="B64:C64"/>
    <mergeCell ref="B40:C40"/>
    <mergeCell ref="B44:C44"/>
    <mergeCell ref="B45:C45"/>
    <mergeCell ref="B46:C46"/>
    <mergeCell ref="B50:C50"/>
    <mergeCell ref="B39:C39"/>
    <mergeCell ref="B28:C28"/>
    <mergeCell ref="B19:C19"/>
    <mergeCell ref="B24:C24"/>
    <mergeCell ref="H24:I24"/>
    <mergeCell ref="B25:C25"/>
    <mergeCell ref="B4:D4"/>
    <mergeCell ref="N5:R5"/>
    <mergeCell ref="F24:G24"/>
    <mergeCell ref="B30:C30"/>
    <mergeCell ref="B38:C38"/>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26328-1AC9-45ED-A505-EE9A7FA056AA}">
  <sheetPr codeName="Sheet1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C7" sqref="C7"/>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AnalyticsEnergyMeter</v>
      </c>
      <c r="C1" s="1"/>
      <c r="D1" s="4" t="str">
        <f ca="1">B1</f>
        <v>AnalyticsEnergyMeter</v>
      </c>
      <c r="E1" s="1"/>
    </row>
    <row r="2" spans="1:10" x14ac:dyDescent="0.25">
      <c r="A2" s="4" t="s">
        <v>589</v>
      </c>
      <c r="B2" s="212" t="s">
        <v>563</v>
      </c>
      <c r="C2" s="152"/>
      <c r="D2" s="148" t="s">
        <v>753</v>
      </c>
      <c r="E2" s="1"/>
    </row>
    <row r="3" spans="1:10" x14ac:dyDescent="0.25">
      <c r="A3" s="4" t="s">
        <v>589</v>
      </c>
      <c r="B3" s="211" t="s">
        <v>673</v>
      </c>
      <c r="C3" s="9"/>
      <c r="D3" s="148" t="s">
        <v>667</v>
      </c>
      <c r="E3" s="1"/>
    </row>
    <row r="4" spans="1:10" x14ac:dyDescent="0.25">
      <c r="A4" s="4" t="s">
        <v>589</v>
      </c>
      <c r="B4" s="211"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dataValidations count="6">
    <dataValidation type="textLength" allowBlank="1" showInputMessage="1" showErrorMessage="1" errorTitle="Data Source" error="It can only accept 40 characters." sqref="D5" xr:uid="{30A3D7C7-87FD-49F4-B8B2-0600BAC9F60B}">
      <formula1>0</formula1>
      <formula2>40</formula2>
    </dataValidation>
    <dataValidation type="decimal" allowBlank="1" showInputMessage="1" showErrorMessage="1" error="Please enter a valid reading." sqref="D7" xr:uid="{D7C983F2-960D-4B3E-8AE8-5E7234BDB763}">
      <formula1>0</formula1>
      <formula2>9999999999</formula2>
    </dataValidation>
    <dataValidation type="date" allowBlank="1" showInputMessage="1" showErrorMessage="1" error="Please enter a valid date in mm/dd/yyyy format." sqref="B7:C7" xr:uid="{B6403E4E-DEC3-4EC9-AF83-FB4291DB47C4}">
      <formula1>1</formula1>
      <formula2>73415</formula2>
    </dataValidation>
    <dataValidation allowBlank="1" showInputMessage="1" showErrorMessage="1" error="Please enter a valid date in mm/dd/yyyy format." sqref="B8:D10" xr:uid="{8AB03DF2-8614-43B2-B494-5A63E8F7E223}"/>
    <dataValidation type="list" allowBlank="1" showInputMessage="1" showErrorMessage="1" sqref="D3" xr:uid="{1299A73E-6475-412D-9C56-C7CA79327092}">
      <formula1>ElectricityDrp</formula1>
    </dataValidation>
    <dataValidation type="list" allowBlank="1" showInputMessage="1" showErrorMessage="1" error="Units cannot edit." sqref="D4" xr:uid="{5403E4B8-8997-46C8-8AB2-4BBD8C422B56}">
      <formula1>elecName</formula1>
    </dataValidation>
  </dataValidation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5058" r:id="rId5"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45059" r:id="rId6"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45060" r:id="rId7"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5D3E5-8DA8-4C19-BF30-57330D8D1D3A}">
  <sheetPr codeName="Sheet2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6" sqref="D16"/>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AnalyticsWaterMeter</v>
      </c>
      <c r="C1" s="1"/>
      <c r="D1" s="155" t="str">
        <f ca="1">B1</f>
        <v>AnalyticsWaterMeter</v>
      </c>
      <c r="E1" s="1"/>
    </row>
    <row r="2" spans="1:9" x14ac:dyDescent="0.25">
      <c r="A2" s="4" t="s">
        <v>589</v>
      </c>
      <c r="B2" s="212" t="s">
        <v>563</v>
      </c>
      <c r="C2" s="152"/>
      <c r="D2" s="148" t="s">
        <v>754</v>
      </c>
      <c r="E2" s="1"/>
    </row>
    <row r="3" spans="1:9" x14ac:dyDescent="0.25">
      <c r="A3" s="4" t="s">
        <v>589</v>
      </c>
      <c r="B3" s="211" t="s">
        <v>673</v>
      </c>
      <c r="C3" s="9"/>
      <c r="D3" s="148" t="s">
        <v>668</v>
      </c>
      <c r="E3" s="1"/>
    </row>
    <row r="4" spans="1:9" x14ac:dyDescent="0.25">
      <c r="A4" s="4" t="s">
        <v>589</v>
      </c>
      <c r="B4" s="211"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v>43435</v>
      </c>
      <c r="C7" s="35">
        <v>43496</v>
      </c>
      <c r="D7" s="21">
        <v>5.46</v>
      </c>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uTsib2JJTFANyrdChZwoFgsjU75sdrzqwSGlk6aeoqzfWkBVuMY5hXz5doM/1l7qja7dDuZz8SSCU3ZV65Xtg==" saltValue="tkTkygLbulXaDtXmzsuqkg==" spinCount="100000" sheet="1" objects="1" scenarios="1"/>
  <dataValidations count="6">
    <dataValidation type="textLength" allowBlank="1" showInputMessage="1" showErrorMessage="1" errorTitle="Data Source" error="It can only accept 40 characters." sqref="D5" xr:uid="{7F38D37E-F449-4887-A726-B6D04BF9B557}">
      <formula1>0</formula1>
      <formula2>40</formula2>
    </dataValidation>
    <dataValidation type="decimal" allowBlank="1" showInputMessage="1" showErrorMessage="1" error="Please enter a valid reading." sqref="D7" xr:uid="{143D5232-8397-48D4-B302-CE7E99B45065}">
      <formula1>0</formula1>
      <formula2>9999999999</formula2>
    </dataValidation>
    <dataValidation type="date" allowBlank="1" showInputMessage="1" showErrorMessage="1" error="Please enter a valid date in mm/dd/yyyy format." sqref="B7:C7" xr:uid="{650B5CF1-32DB-470C-8562-F580C705E6D5}">
      <formula1>1</formula1>
      <formula2>73415</formula2>
    </dataValidation>
    <dataValidation allowBlank="1" showInputMessage="1" showErrorMessage="1" error="Please enter a valid date in mm/dd/yyyy format." sqref="B8:D10" xr:uid="{EB7FEDFF-39BC-45F4-AF8C-3ED048CBC419}"/>
    <dataValidation type="list" allowBlank="1" showInputMessage="1" showErrorMessage="1" sqref="D3" xr:uid="{B095FAD5-6006-4048-AB6C-E79D784B3C8E}">
      <formula1>WaterDrp</formula1>
    </dataValidation>
    <dataValidation type="list" allowBlank="1" showInputMessage="1" showErrorMessage="1" error="Units cannot edit." sqref="D4" xr:uid="{89B5D2B7-124E-4A37-966B-D2BE30D0B711}">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46082" r:id="rId5" name="Button 2">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46083" r:id="rId6" name="Button 3">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11"/>
  <sheetViews>
    <sheetView zoomScaleNormal="100" workbookViewId="0"/>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11</v>
      </c>
      <c r="B6" s="3" t="s">
        <v>543</v>
      </c>
      <c r="C6" s="3" t="s">
        <v>544</v>
      </c>
      <c r="D6" s="3" t="str">
        <f>CONCATENATE("Average 95th Percentile 
CO2 Reading 
","(",D4,")")</f>
        <v>Average 95th Percentile 
CO2 Reading 
(ppm)</v>
      </c>
      <c r="E6" s="1"/>
      <c r="F6" s="36"/>
    </row>
    <row r="7" spans="1:6" x14ac:dyDescent="0.25">
      <c r="A7" s="37">
        <f>IFERROR(IF(D7="",1,0),1)</f>
        <v>0</v>
      </c>
      <c r="B7" s="52">
        <f>INDEX(Dates,1,E7)</f>
        <v>43415</v>
      </c>
      <c r="C7" s="52">
        <f t="shared" ref="C7" si="0">B7</f>
        <v>43415</v>
      </c>
      <c r="D7" s="53">
        <f>HLOOKUP(B7,ReadingTable,2,FALSE)</f>
        <v>50.11</v>
      </c>
      <c r="E7" s="68">
        <f>IF(E6="",7,E6+1)</f>
        <v>7</v>
      </c>
    </row>
    <row r="8" spans="1:6" x14ac:dyDescent="0.25">
      <c r="A8" s="37">
        <f t="shared" ref="A8" si="1">IFERROR(IF(D8="",1,0),1)</f>
        <v>0</v>
      </c>
      <c r="B8" s="52">
        <f>INDEX(Dates,1,E8)</f>
        <v>43811</v>
      </c>
      <c r="C8" s="52">
        <f t="shared" ref="C8" si="2">B8</f>
        <v>43811</v>
      </c>
      <c r="D8" s="53">
        <f>HLOOKUP(B8,ReadingTable,2,FALSE)</f>
        <v>100.11</v>
      </c>
      <c r="E8" s="68">
        <f t="shared" ref="E8" si="3">IF(E7="",7,E7+1)</f>
        <v>8</v>
      </c>
    </row>
    <row r="9" spans="1:6" x14ac:dyDescent="0.25">
      <c r="A9" s="4" t="s">
        <v>545</v>
      </c>
      <c r="B9" s="1"/>
      <c r="C9" s="1"/>
      <c r="D9" s="1"/>
      <c r="E9" s="1"/>
    </row>
    <row r="10" spans="1:6" x14ac:dyDescent="0.25">
      <c r="A10" s="4"/>
      <c r="B10" s="1"/>
      <c r="C10" s="1"/>
      <c r="D10" s="1"/>
      <c r="E10" s="1"/>
    </row>
    <row r="11" spans="1:6" ht="36.6" customHeight="1" x14ac:dyDescent="0.25">
      <c r="A11" s="4" t="s">
        <v>545</v>
      </c>
      <c r="B11" s="24"/>
      <c r="C11" s="24"/>
      <c r="D11" s="24"/>
      <c r="E11" s="1"/>
    </row>
  </sheetData>
  <sheetProtection algorithmName="SHA-512" hashValue="TIZQwrQY9lIrdQCeKn29Tk08ImiDVBOCBk+cKGqV+T5oj7vfTCx1g8AmsDeql4/PwIifg7IXzY9P19p5aNTGSg==" saltValue="FY/kikppfkf/L4DYxLBOe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8" xr:uid="{00000000-0002-0000-0500-000001000000}">
      <formula1>1</formula1>
      <formula2>73051</formula2>
    </dataValidation>
    <dataValidation type="decimal" allowBlank="1" showInputMessage="1" showErrorMessage="1" error="Please enter a valid reading." sqref="D7:D8"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10</xdr:row>
                    <xdr:rowOff>9525</xdr:rowOff>
                  </from>
                  <to>
                    <xdr:col>2</xdr:col>
                    <xdr:colOff>447675</xdr:colOff>
                    <xdr:row>10</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10</xdr:row>
                    <xdr:rowOff>400050</xdr:rowOff>
                  </from>
                  <to>
                    <xdr:col>3</xdr:col>
                    <xdr:colOff>981075</xdr:colOff>
                    <xdr:row>12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H24"/>
  <sheetViews>
    <sheetView showGridLines="0" zoomScale="90" zoomScaleNormal="90" workbookViewId="0">
      <pane ySplit="2" topLeftCell="A3" activePane="bottomLeft" state="frozen"/>
      <selection activeCell="D7" sqref="D7"/>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606</v>
      </c>
    </row>
    <row r="2" spans="1:8" ht="33.75" customHeight="1" x14ac:dyDescent="0.25">
      <c r="A2" s="38" t="s">
        <v>589</v>
      </c>
      <c r="B2" s="41" t="s">
        <v>574</v>
      </c>
      <c r="C2" s="42" t="s">
        <v>680</v>
      </c>
      <c r="D2" s="43" t="s">
        <v>575</v>
      </c>
      <c r="E2" s="44" t="s">
        <v>576</v>
      </c>
      <c r="F2" s="45" t="s">
        <v>582</v>
      </c>
    </row>
    <row r="3" spans="1:8" x14ac:dyDescent="0.25">
      <c r="B3" s="75" t="s">
        <v>755</v>
      </c>
      <c r="C3" s="76">
        <v>1</v>
      </c>
      <c r="D3" s="91">
        <v>43415</v>
      </c>
      <c r="E3" s="97">
        <v>0.5</v>
      </c>
      <c r="F3" s="92">
        <v>50.11</v>
      </c>
    </row>
    <row r="4" spans="1:8" x14ac:dyDescent="0.25">
      <c r="B4" s="75" t="s">
        <v>756</v>
      </c>
      <c r="C4" s="76">
        <v>2</v>
      </c>
      <c r="D4" s="91">
        <v>43811</v>
      </c>
      <c r="E4" s="97">
        <v>0.5</v>
      </c>
      <c r="F4" s="92">
        <v>100.11</v>
      </c>
    </row>
    <row r="5" spans="1:8" ht="39" customHeight="1" x14ac:dyDescent="0.25"/>
    <row r="6" spans="1:8" s="59" customFormat="1" ht="51" customHeight="1" x14ac:dyDescent="0.2">
      <c r="A6" s="38" t="s">
        <v>580</v>
      </c>
      <c r="B6" s="40"/>
      <c r="F6" s="60"/>
      <c r="G6" s="69">
        <f>IF(G8="",1,0)</f>
        <v>0</v>
      </c>
      <c r="H6" s="69">
        <f>IF(H8="",1,0)</f>
        <v>0</v>
      </c>
    </row>
    <row r="7" spans="1:8" ht="21" customHeight="1" x14ac:dyDescent="0.25">
      <c r="A7" s="38" t="s">
        <v>589</v>
      </c>
      <c r="B7" s="243"/>
      <c r="C7" s="61"/>
      <c r="D7" s="61"/>
      <c r="E7" s="61"/>
      <c r="F7" s="62"/>
      <c r="G7" s="47" t="s">
        <v>575</v>
      </c>
      <c r="H7" s="47" t="s">
        <v>575</v>
      </c>
    </row>
    <row r="8" spans="1:8" ht="15" customHeight="1" x14ac:dyDescent="0.25">
      <c r="A8" s="38" t="s">
        <v>589</v>
      </c>
      <c r="B8" s="244"/>
      <c r="C8" s="63"/>
      <c r="D8" s="63"/>
      <c r="E8" s="63"/>
      <c r="F8" s="64"/>
      <c r="G8" s="145">
        <f t="array" ref="G8">IFERROR(INDEX($D$3:$D$5, MATCH(0,IF(ISBLANK($D$3:$D$5),1,COUNTIF($F$8:F8, $D$3:$D$5)), 0)),"")</f>
        <v>43415</v>
      </c>
      <c r="H8" s="145">
        <f t="array" ref="H8">IFERROR(INDEX($D$3:$D$5, MATCH(0,IF(ISBLANK($D$3:$D$5),1,COUNTIF($F$8:G8, $D$3:$D$5)), 0)),"")</f>
        <v>43811</v>
      </c>
    </row>
    <row r="9" spans="1:8" ht="27.75" customHeight="1" x14ac:dyDescent="0.25">
      <c r="A9" s="38" t="s">
        <v>589</v>
      </c>
      <c r="B9" s="245"/>
      <c r="C9" s="65"/>
      <c r="D9" s="65"/>
      <c r="E9" s="65"/>
      <c r="F9" s="66"/>
      <c r="G9" s="71" t="s">
        <v>581</v>
      </c>
      <c r="H9" s="71" t="s">
        <v>581</v>
      </c>
    </row>
    <row r="10" spans="1:8" ht="15" customHeight="1" x14ac:dyDescent="0.25">
      <c r="A10" s="38">
        <f>IF(B10="",1,0)</f>
        <v>0</v>
      </c>
      <c r="B10" s="48" t="str">
        <f t="array" ref="B10">IFERROR(INDEX($B$3:$B$5, MATCH(0,IF(ISBLANK($B$3:$B$5),1,COUNTIF($B$9:B9, $B$3:$B$5)), 0)),"")</f>
        <v>Delhi</v>
      </c>
      <c r="C10" s="49"/>
      <c r="D10" s="49"/>
      <c r="E10" s="49"/>
      <c r="F10" s="58"/>
      <c r="G10" s="93">
        <f t="array" ref="G10">IFERROR(PERCENTILE(IF($B$3:$B$5=$B10,IF($D$3:$D$5=G$8,IF($F$3:$F$5&lt;&gt;"",$F$3:$F$5))),0.95),"")</f>
        <v>50.11</v>
      </c>
      <c r="H10" s="93" t="str">
        <f t="array" ref="H10">IFERROR(PERCENTILE(IF($B$3:$B$5=$B10,IF($D$3:$D$5=H$8,IF($F$3:$F$5&lt;&gt;"",$F$3:$F$5))),0.95),"")</f>
        <v/>
      </c>
    </row>
    <row r="11" spans="1:8" ht="15" customHeight="1" x14ac:dyDescent="0.25">
      <c r="A11" s="38">
        <f t="shared" ref="A11" si="0">IF(B11="",1,0)</f>
        <v>0</v>
      </c>
      <c r="B11" s="48" t="str">
        <f t="array" ref="B11">IFERROR(INDEX($B$3:$B$5, MATCH(0,IF(ISBLANK($B$3:$B$5),1,COUNTIF($B$9:B10, $B$3:$B$5)), 0)),"")</f>
        <v>Noida</v>
      </c>
      <c r="C11" s="49"/>
      <c r="D11" s="49"/>
      <c r="E11" s="49"/>
      <c r="F11" s="58"/>
      <c r="G11" s="93" t="str">
        <f t="array" ref="G11">IFERROR(PERCENTILE(IF($B$3:$B$5=$B11,IF($D$3:$D$5=G$8,IF($F$3:$F$5&lt;&gt;"",$F$3:$F$5))),0.95),"")</f>
        <v/>
      </c>
      <c r="H11" s="93">
        <f t="array" ref="H11">IFERROR(PERCENTILE(IF($B$3:$B$5=$B11,IF($D$3:$D$5=H$8,IF($F$3:$F$5&lt;&gt;"",$F$3:$F$5))),0.95),"")</f>
        <v>100.11</v>
      </c>
    </row>
    <row r="12" spans="1:8" ht="9" customHeight="1" x14ac:dyDescent="0.25">
      <c r="G12" s="94"/>
      <c r="H12" s="94"/>
    </row>
    <row r="13" spans="1:8" ht="9" customHeight="1" x14ac:dyDescent="0.25">
      <c r="A13" s="38" t="s">
        <v>545</v>
      </c>
      <c r="G13" s="94"/>
      <c r="H13" s="94"/>
    </row>
    <row r="14" spans="1:8" ht="15" hidden="1" customHeight="1" x14ac:dyDescent="0.25">
      <c r="G14" s="72">
        <f>G8</f>
        <v>43415</v>
      </c>
      <c r="H14" s="72">
        <f>H8</f>
        <v>43811</v>
      </c>
    </row>
    <row r="15" spans="1:8" ht="20.25" customHeight="1" x14ac:dyDescent="0.25">
      <c r="B15" s="55" t="s">
        <v>578</v>
      </c>
      <c r="C15" s="56"/>
      <c r="D15" s="56"/>
      <c r="E15" s="56"/>
      <c r="F15" s="57"/>
      <c r="G15" s="95">
        <f>IFERROR(AVERAGE(G10:G13),0)</f>
        <v>50.11</v>
      </c>
      <c r="H15" s="95">
        <f>IFERROR(AVERAGE(H10:H13),0)</f>
        <v>100.11</v>
      </c>
    </row>
    <row r="16" spans="1:8" ht="24.75" customHeight="1" x14ac:dyDescent="0.25"/>
    <row r="17" spans="1:5" ht="28.5" hidden="1" customHeight="1" x14ac:dyDescent="0.25">
      <c r="A17" s="38">
        <v>10</v>
      </c>
      <c r="B17" s="50" t="s">
        <v>579</v>
      </c>
      <c r="C17" s="50"/>
      <c r="D17" s="50"/>
      <c r="E17" s="67"/>
    </row>
    <row r="18" spans="1:5" ht="15" hidden="1" customHeight="1" x14ac:dyDescent="0.25">
      <c r="A18" s="37">
        <f>IFERROR(IF(D18="",1,0),1)</f>
        <v>0</v>
      </c>
      <c r="B18" s="52">
        <f>INDEX(Dates,1,E18)</f>
        <v>43415</v>
      </c>
      <c r="C18" s="52">
        <f t="shared" ref="C18" si="1">B18</f>
        <v>43415</v>
      </c>
      <c r="D18" s="53">
        <f>HLOOKUP(B18,ReadingTable,2,FALSE)</f>
        <v>50.11</v>
      </c>
      <c r="E18" s="68">
        <f>IF(E17="",7,E17+1)</f>
        <v>7</v>
      </c>
    </row>
    <row r="19" spans="1:5" hidden="1" x14ac:dyDescent="0.25"/>
    <row r="20" spans="1:5" hidden="1" x14ac:dyDescent="0.25">
      <c r="B20" s="51" t="s">
        <v>577</v>
      </c>
      <c r="C20" s="51"/>
    </row>
    <row r="21" spans="1:5" hidden="1" x14ac:dyDescent="0.25">
      <c r="B21" s="54">
        <f t="array" ref="B21">SUM(IF($D$3:$D$5&lt;&gt;"",1/COUNTIF($D$3:$D$5, $D$3:$D$5), 0))</f>
        <v>2</v>
      </c>
      <c r="C21" s="54">
        <f t="array" ref="C21">SUM(IF($B$3:$B$5&lt;&gt;"",1/COUNTIF($B$3:$B$5, $B$3:$B$5), 0))</f>
        <v>2</v>
      </c>
    </row>
    <row r="22" spans="1:5" hidden="1" x14ac:dyDescent="0.25"/>
    <row r="23" spans="1:5" ht="25.5" hidden="1" x14ac:dyDescent="0.25">
      <c r="B23" s="50" t="s">
        <v>583</v>
      </c>
    </row>
    <row r="24" spans="1:5" ht="15" hidden="1" x14ac:dyDescent="0.25">
      <c r="A24" s="4"/>
      <c r="B24" s="35"/>
      <c r="C24" s="35"/>
      <c r="D24" s="70"/>
      <c r="E24" s="1"/>
    </row>
  </sheetData>
  <sheetProtection algorithmName="SHA-512" hashValue="FB5hKh1gYPQyWl7EV4ffmS4DTfxTv17UMxcOWuIXTTcBtnpQ8TnQJQ3pXp0/+STXXvAUExcHXgupnToMmdipWQ==" saltValue="f+MJCDp/6oW9z7xQQ/qpxg==" spinCount="100000" sheet="1" objects="1" scenarios="1"/>
  <autoFilter ref="B2:F4" xr:uid="{00000000-0009-0000-0000-000006000000}"/>
  <mergeCells count="1">
    <mergeCell ref="B7:B9"/>
  </mergeCells>
  <dataValidations count="4">
    <dataValidation type="decimal" allowBlank="1" showInputMessage="1" showErrorMessage="1" error="Please enter a valid reading." sqref="D24" xr:uid="{00000000-0002-0000-0600-000000000000}">
      <formula1>0</formula1>
      <formula2>99999999</formula2>
    </dataValidation>
    <dataValidation type="date" allowBlank="1" showInputMessage="1" showErrorMessage="1" error="Please enter a valid date in mm/dd/yyyy format." sqref="B24:C24" xr:uid="{00000000-0002-0000-0600-000001000000}">
      <formula1>1</formula1>
      <formula2>73051</formula2>
    </dataValidation>
    <dataValidation type="date" allowBlank="1" showInputMessage="1" showErrorMessage="1" error="Please enter a valid date in mm/dd/yyyy format." sqref="D3:D4" xr:uid="{00000000-0002-0000-0600-000002000000}">
      <formula1>1</formula1>
      <formula2>2958464</formula2>
    </dataValidation>
    <dataValidation type="time" allowBlank="1" showInputMessage="1" showErrorMessage="1" error="Please enter a valid time in hh:mm format." sqref="E3:E4"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4</xdr:row>
                    <xdr:rowOff>152400</xdr:rowOff>
                  </from>
                  <to>
                    <xdr:col>4</xdr:col>
                    <xdr:colOff>962025</xdr:colOff>
                    <xdr:row>4</xdr:row>
                    <xdr:rowOff>390525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1"/>
  <sheetViews>
    <sheetView zoomScaleNormal="100" workbookViewId="0"/>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11</v>
      </c>
      <c r="B6" s="3" t="s">
        <v>543</v>
      </c>
      <c r="C6" s="3" t="s">
        <v>544</v>
      </c>
      <c r="D6" s="3" t="str">
        <f>CONCATENATE("Highest TVOC Reading 
","(",D4,")")</f>
        <v>Highest TVOC Reading 
(ug/m3)</v>
      </c>
      <c r="E6" s="1"/>
    </row>
    <row r="7" spans="1:5" ht="15" customHeight="1" x14ac:dyDescent="0.25">
      <c r="A7" s="37">
        <f>IFERROR(IF(D7="",1,0),1)</f>
        <v>0</v>
      </c>
      <c r="B7" s="52">
        <f>INDEX(DatesVOC,1,E7)</f>
        <v>43415</v>
      </c>
      <c r="C7" s="52">
        <f t="shared" ref="C7" si="0">B7</f>
        <v>43415</v>
      </c>
      <c r="D7" s="53">
        <f t="array" ref="D7">HLOOKUP(B7,ReadingTableVOC,2,FALSE)</f>
        <v>100.11</v>
      </c>
      <c r="E7" s="68">
        <f>IF(E6="",8,E6+1)</f>
        <v>8</v>
      </c>
    </row>
    <row r="8" spans="1:5" ht="15" customHeight="1" x14ac:dyDescent="0.25">
      <c r="A8" s="37">
        <f t="shared" ref="A8" si="1">IFERROR(IF(D8="",1,0),1)</f>
        <v>0</v>
      </c>
      <c r="B8" s="52">
        <f>INDEX(DatesVOC,1,E8)</f>
        <v>43446</v>
      </c>
      <c r="C8" s="52">
        <f t="shared" ref="C8" si="2">B8</f>
        <v>43446</v>
      </c>
      <c r="D8" s="53">
        <f t="array" ref="D8">HLOOKUP(B8,ReadingTableVOC,2,FALSE)</f>
        <v>80.11</v>
      </c>
      <c r="E8" s="68">
        <f t="shared" ref="E8" si="3">IF(E7="",8,E7+1)</f>
        <v>9</v>
      </c>
    </row>
    <row r="9" spans="1:5" ht="15" customHeight="1" x14ac:dyDescent="0.25">
      <c r="A9" s="4" t="s">
        <v>545</v>
      </c>
      <c r="B9" s="34"/>
      <c r="C9" s="34"/>
      <c r="D9" s="34"/>
      <c r="E9" s="1"/>
    </row>
    <row r="10" spans="1:5" ht="15" hidden="1" customHeight="1" x14ac:dyDescent="0.25">
      <c r="A10" s="4"/>
      <c r="B10" s="34"/>
      <c r="C10" s="34"/>
      <c r="D10" s="34"/>
      <c r="E10" s="1"/>
    </row>
    <row r="11" spans="1:5" ht="33.6" customHeight="1" x14ac:dyDescent="0.25">
      <c r="A11" s="4" t="s">
        <v>545</v>
      </c>
      <c r="B11" s="34"/>
      <c r="C11" s="34"/>
      <c r="D11" s="34"/>
      <c r="E11" s="1"/>
    </row>
  </sheetData>
  <sheetProtection algorithmName="SHA-512" hashValue="j3qoaax2QiF99Vl5D38q9iyCCJfofEG0UYg35vCa+es8Wwb2OW8V9EyO29WjQXKkZh+RPQn6IUn0bmc9VFOQaw==" saltValue="mJpiuUtQ9D2PzhZbpOik0w==" spinCount="100000" sheet="1" objects="1" scenarios="1"/>
  <mergeCells count="2">
    <mergeCell ref="B3:C3"/>
    <mergeCell ref="B2:C2"/>
  </mergeCells>
  <dataValidations count="3">
    <dataValidation allowBlank="1" showInputMessage="1" showErrorMessage="1" error="Please enter a valid date in mm/dd/yyyy format." sqref="B9:D11" xr:uid="{00000000-0002-0000-0700-000000000000}"/>
    <dataValidation type="decimal" allowBlank="1" showInputMessage="1" showErrorMessage="1" error="Please enter a valid reading." sqref="D7:D8" xr:uid="{00000000-0002-0000-0700-000001000000}">
      <formula1>0</formula1>
      <formula2>99999999</formula2>
    </dataValidation>
    <dataValidation type="date" allowBlank="1" showInputMessage="1" showErrorMessage="1" error="Please enter a valid date in mm/dd/yyyy format." sqref="B7:C8"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10</xdr:row>
                    <xdr:rowOff>28575</xdr:rowOff>
                  </from>
                  <to>
                    <xdr:col>2</xdr:col>
                    <xdr:colOff>466725</xdr:colOff>
                    <xdr:row>10</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10</xdr:row>
                    <xdr:rowOff>352425</xdr:rowOff>
                  </from>
                  <to>
                    <xdr:col>3</xdr:col>
                    <xdr:colOff>990600</xdr:colOff>
                    <xdr:row>12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22"/>
  <sheetViews>
    <sheetView showGridLines="0" zoomScale="90" zoomScaleNormal="90" workbookViewId="0">
      <pane ySplit="2" topLeftCell="A3" activePane="bottomLeft" state="frozen"/>
      <selection activeCell="D7" sqref="D7"/>
      <selection pane="bottomLeft" activeCell="K11" sqref="K11"/>
    </sheetView>
  </sheetViews>
  <sheetFormatPr defaultColWidth="14.7109375" defaultRowHeight="12.75" x14ac:dyDescent="0.25"/>
  <cols>
    <col min="1" max="1" width="4.28515625" style="38" customWidth="1"/>
    <col min="2" max="2" width="18.7109375" style="39" customWidth="1"/>
    <col min="3" max="16384" width="14.7109375" style="39"/>
  </cols>
  <sheetData>
    <row r="1" spans="1:9" ht="36" customHeight="1" x14ac:dyDescent="0.25">
      <c r="A1" s="38" t="s">
        <v>589</v>
      </c>
      <c r="B1" s="40" t="s">
        <v>607</v>
      </c>
    </row>
    <row r="2" spans="1:9" ht="33.75" customHeight="1" x14ac:dyDescent="0.25">
      <c r="A2" s="38" t="s">
        <v>589</v>
      </c>
      <c r="B2" s="41" t="s">
        <v>574</v>
      </c>
      <c r="C2" s="42" t="s">
        <v>680</v>
      </c>
      <c r="D2" s="43" t="s">
        <v>575</v>
      </c>
      <c r="E2" s="44" t="s">
        <v>584</v>
      </c>
      <c r="F2" s="73" t="s">
        <v>585</v>
      </c>
      <c r="G2" s="45" t="s">
        <v>588</v>
      </c>
    </row>
    <row r="3" spans="1:9" x14ac:dyDescent="0.25">
      <c r="B3" s="75" t="s">
        <v>755</v>
      </c>
      <c r="C3" s="76">
        <v>1</v>
      </c>
      <c r="D3" s="91">
        <v>43415</v>
      </c>
      <c r="E3" s="97">
        <v>0.5</v>
      </c>
      <c r="F3" s="98">
        <v>0.125</v>
      </c>
      <c r="G3" s="92">
        <v>100.11</v>
      </c>
    </row>
    <row r="4" spans="1:9" x14ac:dyDescent="0.25">
      <c r="B4" s="75" t="s">
        <v>756</v>
      </c>
      <c r="C4" s="76">
        <v>2</v>
      </c>
      <c r="D4" s="91">
        <v>43446</v>
      </c>
      <c r="E4" s="97">
        <v>0.5</v>
      </c>
      <c r="F4" s="98">
        <v>0.16666666666666666</v>
      </c>
      <c r="G4" s="92">
        <v>80.11</v>
      </c>
      <c r="H4" s="46"/>
    </row>
    <row r="5" spans="1:9" ht="39" customHeight="1" x14ac:dyDescent="0.25"/>
    <row r="6" spans="1:9" s="59" customFormat="1" ht="51" customHeight="1" x14ac:dyDescent="0.2">
      <c r="A6" s="38" t="s">
        <v>580</v>
      </c>
      <c r="B6" s="40"/>
      <c r="G6" s="60"/>
      <c r="H6" s="69">
        <f>IF(H8="",1,0)</f>
        <v>0</v>
      </c>
      <c r="I6" s="69">
        <f>IF(I8="",1,0)</f>
        <v>0</v>
      </c>
    </row>
    <row r="7" spans="1:9" ht="21" customHeight="1" x14ac:dyDescent="0.25">
      <c r="A7" s="38" t="s">
        <v>589</v>
      </c>
      <c r="B7" s="243"/>
      <c r="C7" s="61"/>
      <c r="D7" s="61"/>
      <c r="E7" s="61"/>
      <c r="F7" s="61"/>
      <c r="G7" s="62"/>
      <c r="H7" s="47" t="s">
        <v>575</v>
      </c>
      <c r="I7" s="47" t="s">
        <v>575</v>
      </c>
    </row>
    <row r="8" spans="1:9" ht="15" customHeight="1" x14ac:dyDescent="0.25">
      <c r="A8" s="38" t="s">
        <v>589</v>
      </c>
      <c r="B8" s="244"/>
      <c r="C8" s="63"/>
      <c r="D8" s="63"/>
      <c r="E8" s="63"/>
      <c r="F8" s="63"/>
      <c r="G8" s="64"/>
      <c r="H8" s="145">
        <f t="array" ref="H8">IFERROR(INDEX($D$3:$D$5, MATCH(0,IF(ISBLANK($D$3:$D$5),1,COUNTIF($G$8:G8, $D$3:$D$5)), 0)),"")</f>
        <v>43415</v>
      </c>
      <c r="I8" s="145">
        <f t="array" ref="I8">IFERROR(INDEX($D$3:$D$5, MATCH(0,IF(ISBLANK($D$3:$D$5),1,COUNTIF($G$8:H8, $D$3:$D$5)), 0)),"")</f>
        <v>43446</v>
      </c>
    </row>
    <row r="9" spans="1:9" ht="27.75" customHeight="1" x14ac:dyDescent="0.25">
      <c r="A9" s="38" t="s">
        <v>589</v>
      </c>
      <c r="B9" s="245"/>
      <c r="C9" s="65"/>
      <c r="D9" s="65"/>
      <c r="E9" s="65"/>
      <c r="F9" s="65"/>
      <c r="G9" s="66"/>
      <c r="H9" s="74" t="s">
        <v>586</v>
      </c>
      <c r="I9" s="74" t="s">
        <v>586</v>
      </c>
    </row>
    <row r="10" spans="1:9" ht="15" customHeight="1" x14ac:dyDescent="0.25">
      <c r="A10" s="38">
        <f>IF(B10="",1,0)</f>
        <v>0</v>
      </c>
      <c r="B10" s="48" t="str">
        <f t="array" ref="B10">IFERROR(INDEX($B$3:$B$5, MATCH(0,IF(ISBLANK($B$3:$B$5),1,COUNTIF($B$9:B9, $B$3:$B$5)), 0)),"")</f>
        <v>Delhi</v>
      </c>
      <c r="C10" s="49"/>
      <c r="D10" s="49"/>
      <c r="E10" s="49"/>
      <c r="F10" s="49"/>
      <c r="G10" s="58"/>
      <c r="H10" s="93">
        <f t="array" ref="H10">IFERROR(AVERAGE(IF($B$3:$B$5=$B10,IF($D$3:$D$5=H$8,IF($G$3:$G$5&lt;&gt;"",$G$3:$G$5)))),"")</f>
        <v>100.11</v>
      </c>
      <c r="I10" s="93" t="str">
        <f t="array" ref="I10">IFERROR(AVERAGE(IF($B$3:$B$5=$B10,IF($D$3:$D$5=I$8,IF($G$3:$G$5&lt;&gt;"",$G$3:$G$5)))),"")</f>
        <v/>
      </c>
    </row>
    <row r="11" spans="1:9" ht="15" customHeight="1" x14ac:dyDescent="0.25">
      <c r="A11" s="38">
        <f t="shared" ref="A11" si="0">IF(B11="",1,0)</f>
        <v>0</v>
      </c>
      <c r="B11" s="48" t="str">
        <f t="array" ref="B11">IFERROR(INDEX($B$3:$B$5, MATCH(0,IF(ISBLANK($B$3:$B$5),1,COUNTIF($B$9:B10, $B$3:$B$5)), 0)),"")</f>
        <v>Noida</v>
      </c>
      <c r="C11" s="49"/>
      <c r="D11" s="49"/>
      <c r="E11" s="49"/>
      <c r="F11" s="49"/>
      <c r="G11" s="58"/>
      <c r="H11" s="93" t="str">
        <f t="array" ref="H11">IFERROR(AVERAGE(IF($B$3:$B$5=$B11,IF($D$3:$D$5=H$8,IF($G$3:$G$5&lt;&gt;"",$G$3:$G$5)))),"")</f>
        <v/>
      </c>
      <c r="I11" s="93">
        <f t="array" ref="I11">IFERROR(AVERAGE(IF($B$3:$B$5=$B11,IF($D$3:$D$5=I$8,IF($G$3:$G$5&lt;&gt;"",$G$3:$G$5)))),"")</f>
        <v>80.11</v>
      </c>
    </row>
    <row r="12" spans="1:9" ht="9" customHeight="1" x14ac:dyDescent="0.25">
      <c r="H12" s="94"/>
      <c r="I12" s="94"/>
    </row>
    <row r="13" spans="1:9" ht="9" customHeight="1" x14ac:dyDescent="0.25">
      <c r="A13" s="38" t="s">
        <v>545</v>
      </c>
      <c r="H13" s="94"/>
      <c r="I13" s="94"/>
    </row>
    <row r="14" spans="1:9" ht="15" hidden="1" customHeight="1" x14ac:dyDescent="0.25">
      <c r="H14" s="96">
        <f>H8</f>
        <v>43415</v>
      </c>
      <c r="I14" s="96">
        <f>I8</f>
        <v>43446</v>
      </c>
    </row>
    <row r="15" spans="1:9" ht="20.25" customHeight="1" x14ac:dyDescent="0.25">
      <c r="B15" s="55" t="s">
        <v>587</v>
      </c>
      <c r="C15" s="56"/>
      <c r="D15" s="56"/>
      <c r="E15" s="56"/>
      <c r="F15" s="56"/>
      <c r="G15" s="57"/>
      <c r="H15" s="95">
        <f>IFERROR(MAX(H10:H13),0)</f>
        <v>100.11</v>
      </c>
      <c r="I15" s="95">
        <f>IFERROR(MAX(I10:I13),0)</f>
        <v>80.11</v>
      </c>
    </row>
    <row r="16" spans="1:9" ht="24.75" customHeight="1" x14ac:dyDescent="0.25"/>
    <row r="17" spans="1:6" ht="28.5" hidden="1" customHeight="1" x14ac:dyDescent="0.25">
      <c r="A17" s="38">
        <v>10</v>
      </c>
      <c r="B17" s="50" t="s">
        <v>579</v>
      </c>
      <c r="C17" s="50"/>
      <c r="D17" s="50"/>
      <c r="E17" s="67"/>
      <c r="F17" s="67"/>
    </row>
    <row r="18" spans="1:6" ht="15" hidden="1" customHeight="1" x14ac:dyDescent="0.25">
      <c r="A18" s="37">
        <f>IFERROR(IF(D18="",1,0),1)</f>
        <v>0</v>
      </c>
      <c r="B18" s="52">
        <f>INDEX(DatesVOC,1,E18)</f>
        <v>43415</v>
      </c>
      <c r="C18" s="52">
        <f t="shared" ref="C18" si="1">B18</f>
        <v>43415</v>
      </c>
      <c r="D18" s="53">
        <f t="array" ref="D18">HLOOKUP(B18,ReadingTableVOC,2,FALSE)</f>
        <v>100.11</v>
      </c>
      <c r="E18" s="68">
        <f>IF(E17="",8,E17+1)</f>
        <v>8</v>
      </c>
      <c r="F18" s="68"/>
    </row>
    <row r="19" spans="1:6" hidden="1" x14ac:dyDescent="0.25"/>
    <row r="20" spans="1:6" hidden="1" x14ac:dyDescent="0.25">
      <c r="B20" s="51" t="s">
        <v>577</v>
      </c>
      <c r="C20" s="51"/>
    </row>
    <row r="21" spans="1:6" hidden="1" x14ac:dyDescent="0.25">
      <c r="B21" s="54">
        <f t="array" ref="B21">SUM(IF($D$3:$D$5&lt;&gt;"",1/COUNTIF($D$3:$D$5, $D$3:$D$5), 0))</f>
        <v>2</v>
      </c>
      <c r="C21" s="54">
        <f t="array" ref="C21">SUM(IF($B$3:$B$5&lt;&gt;"",1/COUNTIF($B$3:$B$5, $B$3:$B$5), 0))</f>
        <v>2</v>
      </c>
    </row>
    <row r="22" spans="1:6" hidden="1" x14ac:dyDescent="0.25"/>
  </sheetData>
  <sheetProtection algorithmName="SHA-512" hashValue="1F+j0qyytkl4FAAD4c7znwodrwU6j14P/nAW8mLAj0b4Cl7WwJ8L2vPGNS7jlvFOVBvIP/AlFMAEiVk8zlU/AA==" saltValue="BplBp/5JXcekveWm8zY1lA==" spinCount="100000" sheet="1" objects="1" scenarios="1"/>
  <autoFilter ref="B2:G4" xr:uid="{00000000-0009-0000-0000-000008000000}"/>
  <mergeCells count="1">
    <mergeCell ref="B7:B9"/>
  </mergeCells>
  <dataValidations count="3">
    <dataValidation type="date" allowBlank="1" showInputMessage="1" showErrorMessage="1" error="Please enter a valid date in mm/dd/yyyy format." sqref="D3:D4" xr:uid="{00000000-0002-0000-0800-000000000000}">
      <formula1>1</formula1>
      <formula2>2958464</formula2>
    </dataValidation>
    <dataValidation type="time" allowBlank="1" showInputMessage="1" showErrorMessage="1" error=" Please enter a valid time  in hr:mm format." sqref="E3:E4" xr:uid="{00000000-0002-0000-0800-000001000000}">
      <formula1>0</formula1>
      <formula2>0.999988425925926</formula2>
    </dataValidation>
    <dataValidation type="time" allowBlank="1" showInputMessage="1" showErrorMessage="1" error="Please enter a valid time in hr:mm format." sqref="F3:F4"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4</xdr:row>
                    <xdr:rowOff>133350</xdr:rowOff>
                  </from>
                  <to>
                    <xdr:col>4</xdr:col>
                    <xdr:colOff>885825</xdr:colOff>
                    <xdr:row>4</xdr:row>
                    <xdr:rowOff>419100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14"/>
  <sheetViews>
    <sheetView zoomScaleNormal="100" workbookViewId="0">
      <pane xSplit="1" ySplit="6" topLeftCell="B7" activePane="bottomRight" state="frozen"/>
      <selection activeCell="D7" sqref="D7"/>
      <selection pane="topRight" activeCell="D7" sqref="D7"/>
      <selection pane="bottomLeft" activeCell="D7" sqref="D7"/>
      <selection pane="bottomRight" activeCell="B17" sqref="B17"/>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9" x14ac:dyDescent="0.25">
      <c r="A1" s="4" t="s">
        <v>589</v>
      </c>
      <c r="B1" s="1"/>
      <c r="C1" s="1"/>
      <c r="D1" s="1"/>
      <c r="E1" s="1"/>
      <c r="F1" s="1"/>
    </row>
    <row r="2" spans="1:9" x14ac:dyDescent="0.25">
      <c r="A2" s="4" t="s">
        <v>589</v>
      </c>
      <c r="B2" s="241" t="s">
        <v>563</v>
      </c>
      <c r="C2" s="246"/>
      <c r="D2" s="242"/>
      <c r="E2" s="33" t="s">
        <v>568</v>
      </c>
      <c r="F2" s="1"/>
    </row>
    <row r="3" spans="1:9" ht="15" customHeight="1" x14ac:dyDescent="0.25">
      <c r="A3" s="4" t="s">
        <v>589</v>
      </c>
      <c r="B3" s="239" t="s">
        <v>673</v>
      </c>
      <c r="C3" s="247"/>
      <c r="D3" s="240"/>
      <c r="E3" s="33" t="s">
        <v>555</v>
      </c>
      <c r="F3" s="1"/>
    </row>
    <row r="4" spans="1:9" ht="14.25" customHeight="1" x14ac:dyDescent="0.25">
      <c r="A4" s="4" t="s">
        <v>589</v>
      </c>
      <c r="B4" s="17" t="s">
        <v>564</v>
      </c>
      <c r="C4" s="18"/>
      <c r="D4" s="19"/>
      <c r="E4" s="20" t="s">
        <v>559</v>
      </c>
      <c r="F4" s="1"/>
    </row>
    <row r="5" spans="1:9" x14ac:dyDescent="0.25">
      <c r="A5" s="4" t="s">
        <v>589</v>
      </c>
      <c r="B5" s="1"/>
      <c r="C5" s="1"/>
      <c r="D5" s="1"/>
      <c r="E5" s="1"/>
      <c r="F5" s="1"/>
    </row>
    <row r="6" spans="1:9" ht="25.5" x14ac:dyDescent="0.25">
      <c r="A6" s="4">
        <v>10</v>
      </c>
      <c r="B6" s="3" t="s">
        <v>543</v>
      </c>
      <c r="C6" s="3" t="s">
        <v>544</v>
      </c>
      <c r="D6" s="3" t="str">
        <f>CONCATENATE("Total Waste 
","(",E4,")")</f>
        <v>Total Waste 
(lbs)</v>
      </c>
      <c r="E6" s="3" t="str">
        <f>CONCATENATE("Diverted 
","(",E4,")")</f>
        <v>Diverted 
(lbs)</v>
      </c>
      <c r="F6" s="1"/>
    </row>
    <row r="7" spans="1:9" x14ac:dyDescent="0.25">
      <c r="A7" s="4"/>
      <c r="B7" s="35">
        <v>43435</v>
      </c>
      <c r="C7" s="35">
        <v>43496</v>
      </c>
      <c r="D7" s="21">
        <v>111</v>
      </c>
      <c r="E7" s="21">
        <v>99</v>
      </c>
      <c r="F7" s="1"/>
    </row>
    <row r="8" spans="1:9" x14ac:dyDescent="0.25">
      <c r="A8" s="4"/>
      <c r="B8" s="23"/>
      <c r="C8" s="23"/>
      <c r="D8" s="26"/>
      <c r="E8" s="27"/>
      <c r="F8" s="1"/>
    </row>
    <row r="9" spans="1:9" hidden="1" x14ac:dyDescent="0.25">
      <c r="A9" s="5">
        <v>0</v>
      </c>
      <c r="B9" s="25"/>
      <c r="C9" s="25"/>
      <c r="D9" s="28"/>
      <c r="E9" s="29"/>
      <c r="F9" s="1"/>
    </row>
    <row r="10" spans="1:9" ht="25.5" customHeight="1" x14ac:dyDescent="0.25">
      <c r="A10" s="4" t="s">
        <v>545</v>
      </c>
      <c r="B10" s="24"/>
      <c r="C10" s="24"/>
      <c r="D10" s="24"/>
      <c r="E10" s="30"/>
      <c r="F10" s="1"/>
    </row>
    <row r="12" spans="1:9" x14ac:dyDescent="0.25">
      <c r="I12" s="2" t="s">
        <v>559</v>
      </c>
    </row>
    <row r="13" spans="1:9" x14ac:dyDescent="0.25">
      <c r="I13" s="2" t="s">
        <v>554</v>
      </c>
    </row>
    <row r="14" spans="1:9" x14ac:dyDescent="0.25">
      <c r="I14" s="2" t="s">
        <v>539</v>
      </c>
    </row>
  </sheetData>
  <sheetProtection algorithmName="SHA-512" hashValue="yysDu3MyfLzJcquC35dZGOtiRD6NimXYZEqkegp7gqzJJxI2DmjdHiB8t7/gqlKjt1g09KLjqgfe5G3v6MOE/g==" saltValue="rwCaV9bF1LWv3YjSgh2hcg=="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8:D10" xr:uid="{00000000-0002-0000-0900-000001000000}"/>
    <dataValidation type="date" allowBlank="1" showInputMessage="1" showErrorMessage="1" error="Please enter a valid date in mm/dd/yyyy format." sqref="B7:C7" xr:uid="{00000000-0002-0000-0900-000002000000}">
      <formula1>1</formula1>
      <formula2>54789</formula2>
    </dataValidation>
    <dataValidation type="decimal" allowBlank="1" showInputMessage="1" showErrorMessage="1" error="Please enter a valid reading." sqref="D7:E7"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8</xdr:row>
                    <xdr:rowOff>0</xdr:rowOff>
                  </from>
                  <to>
                    <xdr:col>2</xdr:col>
                    <xdr:colOff>9525</xdr:colOff>
                    <xdr:row>9</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8</xdr:row>
                    <xdr:rowOff>0</xdr:rowOff>
                  </from>
                  <to>
                    <xdr:col>3</xdr:col>
                    <xdr:colOff>9525</xdr:colOff>
                    <xdr:row>9</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9</xdr:row>
                    <xdr:rowOff>9525</xdr:rowOff>
                  </from>
                  <to>
                    <xdr:col>3</xdr:col>
                    <xdr:colOff>1200150</xdr:colOff>
                    <xdr:row>9</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8A3D3-4D3E-47DD-8036-C9169D16972F}">
  <sheetPr codeName="Sheet25"/>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L14" sqref="L14"/>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GeneratedOnsite-solar</v>
      </c>
      <c r="C1" s="1"/>
      <c r="D1" s="4" t="str">
        <f ca="1">B1</f>
        <v>GeneratedOnsite-solar</v>
      </c>
      <c r="E1" s="1"/>
    </row>
    <row r="2" spans="1:10" x14ac:dyDescent="0.25">
      <c r="A2" s="4" t="s">
        <v>589</v>
      </c>
      <c r="B2" s="212" t="s">
        <v>563</v>
      </c>
      <c r="C2" s="152"/>
      <c r="D2" s="148" t="s">
        <v>757</v>
      </c>
      <c r="E2" s="1"/>
    </row>
    <row r="3" spans="1:10" x14ac:dyDescent="0.25">
      <c r="A3" s="4" t="s">
        <v>589</v>
      </c>
      <c r="B3" s="211" t="s">
        <v>673</v>
      </c>
      <c r="C3" s="9"/>
      <c r="D3" s="148" t="s">
        <v>675</v>
      </c>
      <c r="E3" s="1"/>
    </row>
    <row r="4" spans="1:10" x14ac:dyDescent="0.25">
      <c r="A4" s="4" t="s">
        <v>589</v>
      </c>
      <c r="B4" s="211"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LO9jfKICodRzN5/WUwxHNKp/AZ0UpxQ2Yh9Rt1QJuatNsQEclPA9D4FkbJ5bs/col5+PnvK4XZm/41wkk1MA/Q==" saltValue="KYGwK2yoxkwC5z5vpMhiww==" spinCount="100000" sheet="1" objects="1" scenarios="1"/>
  <dataValidations count="6">
    <dataValidation type="textLength" allowBlank="1" showInputMessage="1" showErrorMessage="1" errorTitle="Data Source" error="It can only accept 40 characters." sqref="D5" xr:uid="{9C31C9DA-AC9C-4E6A-AE10-214CD8CAD9D3}">
      <formula1>0</formula1>
      <formula2>40</formula2>
    </dataValidation>
    <dataValidation type="decimal" allowBlank="1" showInputMessage="1" showErrorMessage="1" error="Please enter a valid reading." sqref="D7" xr:uid="{1DDB03FA-5104-4257-8962-8C14CF0B6ECB}">
      <formula1>0</formula1>
      <formula2>9999999999</formula2>
    </dataValidation>
    <dataValidation type="date" allowBlank="1" showInputMessage="1" showErrorMessage="1" error="Please enter a valid date in mm/dd/yyyy format." sqref="B7:C7" xr:uid="{B1A4FD9C-03C3-48C2-B92F-9C426D33F52A}">
      <formula1>1</formula1>
      <formula2>73415</formula2>
    </dataValidation>
    <dataValidation allowBlank="1" showInputMessage="1" showErrorMessage="1" error="Please enter a valid date in mm/dd/yyyy format." sqref="B8:D10" xr:uid="{F2614939-32FC-4E83-8DF4-2916472280F2}"/>
    <dataValidation type="list" allowBlank="1" showInputMessage="1" showErrorMessage="1" sqref="D3" xr:uid="{43138D4E-F91F-4946-9D13-2D4B362A9982}">
      <formula1>ElectricityDrp</formula1>
    </dataValidation>
    <dataValidation type="list" allowBlank="1" showInputMessage="1" showErrorMessage="1" error="Units cannot edit." sqref="D4" xr:uid="{2A21D642-0772-4E67-9A8D-565C1C6F919C}">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7106" r:id="rId4"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47107" r:id="rId5"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47108" r:id="rId6"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6" sqref="D6"/>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3" sqref="D3"/>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3" sqref="D3"/>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2" sqref="D12"/>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5" sqref="D15"/>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0" sqref="D1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0" sqref="D2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0" sqref="D1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6" sqref="D16"/>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1" sqref="D1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c r="C7" s="35"/>
      <c r="D7" s="22"/>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360</vt:i4>
      </vt:variant>
    </vt:vector>
  </HeadingPairs>
  <TitlesOfParts>
    <vt:vector size="385" baseType="lpstr">
      <vt:lpstr>Instructions</vt:lpstr>
      <vt:lpstr>Building Settings</vt:lpstr>
      <vt:lpstr>base_w</vt:lpstr>
      <vt:lpstr>base_e</vt:lpstr>
      <vt:lpstr>AnalyticsEnergyMeter</vt:lpstr>
      <vt:lpstr>AnalyticsWaterMeter</vt:lpstr>
      <vt:lpstr>base_f</vt:lpstr>
      <vt:lpstr>CO2 Reading for Upload</vt:lpstr>
      <vt:lpstr>CO2 Readings</vt:lpstr>
      <vt:lpstr>TVOC Reading for Upload</vt:lpstr>
      <vt:lpstr>TVOC Readings</vt:lpstr>
      <vt:lpstr>Waste Stream</vt:lpstr>
      <vt:lpstr>GeneratedOnsite-solar</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AnalyticsEnergyMeter!elecName</vt:lpstr>
      <vt:lpstr>'Atmospheric Particulate Matter'!elecName</vt:lpstr>
      <vt:lpstr>Benzene!elecName</vt:lpstr>
      <vt:lpstr>'Carbon Monoxide'!elecName</vt:lpstr>
      <vt:lpstr>Dichlorobenzene!elecName</vt:lpstr>
      <vt:lpstr>Formaldehyde!elecName</vt:lpstr>
      <vt:lpstr>'GeneratedOnsite-solar'!elecName</vt:lpstr>
      <vt:lpstr>'Naphthalene '!elecName</vt:lpstr>
      <vt:lpstr>Ozone!elecName</vt:lpstr>
      <vt:lpstr>Styrene!elecName</vt:lpstr>
      <vt:lpstr>Toluene!elecName</vt:lpstr>
      <vt:lpstr>'Xylenes-total'!elecName</vt:lpstr>
      <vt:lpstr>elecName</vt:lpstr>
      <vt:lpstr>Acetaldehyde!ElectricityDrp</vt:lpstr>
      <vt:lpstr>AnalyticsEnergyMeter!ElectricityDrp</vt:lpstr>
      <vt:lpstr>'Atmospheric Particulate Matter'!ElectricityDrp</vt:lpstr>
      <vt:lpstr>Benzene!ElectricityDrp</vt:lpstr>
      <vt:lpstr>'Carbon Monoxide'!ElectricityDrp</vt:lpstr>
      <vt:lpstr>Dichlorobenzene!ElectricityDrp</vt:lpstr>
      <vt:lpstr>Formaldehyde!ElectricityDrp</vt:lpstr>
      <vt:lpstr>'GeneratedOnsite-solar'!ElectricityDrp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AnalyticsWaterMeter!water_meter_type</vt:lpstr>
      <vt:lpstr>water_meter_type</vt:lpstr>
      <vt:lpstr>AnalyticsWaterMeter!water_type</vt:lpstr>
      <vt:lpstr>water_type</vt:lpstr>
      <vt:lpstr>AnalyticsWaterMeter!water_units</vt:lpstr>
      <vt:lpstr>water_units</vt:lpstr>
      <vt:lpstr>Acetaldehyde!WaterDrp</vt:lpstr>
      <vt:lpstr>AnalyticsWaterMeter!WaterDrp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'Xylenes-total'!WaterDrp</vt:lpstr>
      <vt:lpstr>WaterDrp</vt:lpstr>
      <vt:lpstr>AnalyticsWaterMeter!waterType</vt:lpstr>
      <vt:lpstr>waterType</vt:lpstr>
      <vt:lpstr>AnalyticsWaterMeter!waterUnits</vt:lpstr>
      <vt:lpstr>waterUnits</vt:lpstr>
      <vt:lpstr>AnalyticsWaterMeter!watUn</vt:lpstr>
      <vt:lpstr>watUn</vt:lpstr>
      <vt:lpstr>Acetaldehyde!watUni</vt:lpstr>
      <vt:lpstr>AnalyticsWaterMeter!watUni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AnalyticsWaterMeter!zep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Group10</cp:lastModifiedBy>
  <cp:lastPrinted>2017-09-22T06:24:12Z</cp:lastPrinted>
  <dcterms:created xsi:type="dcterms:W3CDTF">2014-11-12T06:32:08Z</dcterms:created>
  <dcterms:modified xsi:type="dcterms:W3CDTF">2019-07-15T06:20:33Z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