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\AutomationArc\AutomationArc\ARCDataTemplete\"/>
    </mc:Choice>
  </mc:AlternateContent>
  <xr:revisionPtr revIDLastSave="0" documentId="13_ncr:1_{D72A8730-59F0-437A-AEA1-391B23A5BB36}" xr6:coauthVersionLast="36" xr6:coauthVersionMax="43" xr10:uidLastSave="{00000000-0000-0000-0000-000000000000}"/>
  <workbookProtection workbookAlgorithmName="SHA-512" workbookHashValue="hFkiFRZmszaFHBAJMQ+SIuzFyv7/6QMGeFz7HYGWOzsVkFvRSdCjZxEBSABZETEQ+TPFwG+W6jMZLtY37wYQOA==" workbookSaltValue="XNE6Bhxpec1tg8EjC1RWPA==" workbookSpinCount="100000" lockStructure="1"/>
  <bookViews>
    <workbookView xWindow="-120" yWindow="-120" windowWidth="20730" windowHeight="11160" firstSheet="4" activeTab="7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2" l="1"/>
  <c r="B7" i="12" s="1"/>
  <c r="H8" i="14" a="1"/>
  <c r="H8" i="14" s="1"/>
  <c r="E8" i="12" l="1"/>
  <c r="B8" i="12" s="1"/>
  <c r="C8" i="12"/>
  <c r="D8" i="12"/>
  <c r="A8" i="12" s="1"/>
  <c r="D7" i="12"/>
  <c r="A7" i="12" s="1"/>
  <c r="C7" i="12"/>
  <c r="H6" i="14"/>
  <c r="H10" i="14" a="1"/>
  <c r="H10" i="14" s="1"/>
  <c r="H15" i="14" s="1"/>
  <c r="H14" i="14"/>
  <c r="H11" i="14" a="1"/>
  <c r="H11" i="14" s="1"/>
  <c r="D6" i="30" l="1"/>
  <c r="B1" i="30"/>
  <c r="D1" i="30" s="1"/>
  <c r="E7" i="13"/>
  <c r="E8" i="13" s="1"/>
  <c r="B8" i="13" s="1"/>
  <c r="B7" i="13"/>
  <c r="D7" i="13" s="1" a="1"/>
  <c r="D7" i="13" s="1"/>
  <c r="A7" i="13" s="1"/>
  <c r="I8" i="15" a="1"/>
  <c r="I8" i="15" s="1"/>
  <c r="C8" i="13" l="1"/>
  <c r="D8" i="13" a="1"/>
  <c r="D8" i="13" s="1"/>
  <c r="A8" i="13" s="1"/>
  <c r="C7" i="13"/>
  <c r="I6" i="15"/>
  <c r="I14" i="15"/>
  <c r="I10" i="15" a="1"/>
  <c r="I10" i="15" s="1"/>
  <c r="I15" i="15" s="1"/>
  <c r="I11" i="15" a="1"/>
  <c r="I11" i="15" s="1"/>
  <c r="D6" i="29"/>
  <c r="B1" i="29"/>
  <c r="D1" i="29" s="1"/>
  <c r="D6" i="28"/>
  <c r="B1" i="28"/>
  <c r="D1" i="28" s="1"/>
  <c r="J8" i="16" l="1"/>
  <c r="J9" i="16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E19" i="16" l="1"/>
  <c r="L17" i="16" l="1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D28" i="16" l="1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G15" i="14" l="1"/>
  <c r="H15" i="15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<sst xmlns="http://schemas.openxmlformats.org/spreadsheetml/2006/main" count="3907" uniqueCount="747">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</sst>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6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1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Q+DlJHp5BvaltlXsGLPi4a2h3TbuRndRpiUoQngY3iWLgUnn2nXZulhJ+qTcTQ6ouF63u0ZDY3zFsoSNDOSE4w==" saltValue="nBzXi8p0g2m/zvQ4pWRWl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opLeftCell="A20" zoomScale="90" zoomScaleNormal="90" workbookViewId="0">
      <pane xSplit="4" topLeftCell="G1" activePane="topRight" state="frozen"/>
      <selection pane="topRight" activeCell="I38" sqref="I38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617</v>
      </c>
      <c r="D7" s="117">
        <v>1000</v>
      </c>
      <c r="E7" s="116">
        <v>100</v>
      </c>
      <c r="F7" s="116">
        <v>9</v>
      </c>
      <c r="G7" s="116"/>
      <c r="H7" s="116"/>
      <c r="I7" s="192">
        <v>0.5</v>
      </c>
      <c r="J7" s="190"/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/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740</v>
      </c>
      <c r="O8" s="183" t="s">
        <v>740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739</v>
      </c>
      <c r="C9" s="118" t="s">
        <v>622</v>
      </c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740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735</v>
      </c>
      <c r="C19" s="203"/>
      <c r="D19" s="158">
        <f>IFERROR(SUM(D7:D18)," ")</f>
        <v>1000</v>
      </c>
      <c r="E19" s="119">
        <f t="shared" ref="E19:J19" si="5">SUM(E7:E18)</f>
        <v>100</v>
      </c>
      <c r="F19" s="119">
        <f t="shared" si="5"/>
        <v>9</v>
      </c>
      <c r="G19" s="119">
        <f t="shared" si="5"/>
        <v>0</v>
      </c>
      <c r="H19" s="119">
        <f t="shared" si="5"/>
        <v>0</v>
      </c>
      <c r="I19" s="193">
        <f>SUM(I7:I18)</f>
        <v>0.5</v>
      </c>
      <c r="J19" s="191">
        <f t="shared" si="5"/>
        <v>0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1000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100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x14ac:dyDescent="0.2">
      <c r="B39" s="208" t="s">
        <v>602</v>
      </c>
      <c r="C39" s="208"/>
      <c r="D39" s="157">
        <v>100</v>
      </c>
    </row>
    <row r="40" spans="2:4" x14ac:dyDescent="0.2">
      <c r="B40" s="214" t="s">
        <v>603</v>
      </c>
      <c r="C40" s="215"/>
      <c r="D40" s="157">
        <v>9</v>
      </c>
    </row>
    <row r="42" spans="2:4" x14ac:dyDescent="0.2">
      <c r="B42" s="104" t="s">
        <v>727</v>
      </c>
    </row>
    <row r="44" spans="2:4" x14ac:dyDescent="0.2">
      <c r="B44" s="204" t="str">
        <f>CONCATENATE("Gross 
Floor Area 
",IF(Instructions!$F$9="SI Units","(sq m)","(sq ft)"))</f>
        <v>Gross 
Floor Area 
(sq ft)</v>
      </c>
      <c r="C44" s="205"/>
      <c r="D44" s="156">
        <v>1000</v>
      </c>
    </row>
    <row r="45" spans="2:4" x14ac:dyDescent="0.2">
      <c r="B45" s="208" t="s">
        <v>602</v>
      </c>
      <c r="C45" s="208"/>
      <c r="D45" s="157">
        <v>100</v>
      </c>
    </row>
    <row r="46" spans="2:4" x14ac:dyDescent="0.2">
      <c r="B46" s="214" t="s">
        <v>603</v>
      </c>
      <c r="C46" s="215"/>
      <c r="D46" s="157">
        <v>9</v>
      </c>
    </row>
    <row r="48" spans="2:4" x14ac:dyDescent="0.2">
      <c r="B48" s="104" t="s">
        <v>728</v>
      </c>
    </row>
    <row r="50" spans="2:4" x14ac:dyDescent="0.2">
      <c r="B50" s="204" t="str">
        <f>CONCATENATE("Gross 
Floor Area 
",IF(Instructions!$F$9="SI Units","(sq m)","(sq ft)"))</f>
        <v>Gross 
Floor Area 
(sq ft)</v>
      </c>
      <c r="C50" s="205"/>
      <c r="D50" s="156">
        <v>1000</v>
      </c>
    </row>
    <row r="51" spans="2:4" x14ac:dyDescent="0.2">
      <c r="B51" s="208" t="s">
        <v>602</v>
      </c>
      <c r="C51" s="208"/>
      <c r="D51" s="157">
        <v>100</v>
      </c>
    </row>
    <row r="52" spans="2:4" x14ac:dyDescent="0.2">
      <c r="B52" s="214" t="s">
        <v>603</v>
      </c>
      <c r="C52" s="215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9</v>
      </c>
    </row>
    <row r="57" spans="2:4" x14ac:dyDescent="0.2">
      <c r="B57" s="181" t="s">
        <v>722</v>
      </c>
      <c r="C57" s="165"/>
      <c r="D57" s="120">
        <v>0</v>
      </c>
    </row>
    <row r="58" spans="2:4" x14ac:dyDescent="0.2">
      <c r="B58" s="214" t="s">
        <v>603</v>
      </c>
      <c r="C58" s="215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9</v>
      </c>
    </row>
    <row r="63" spans="2:4" x14ac:dyDescent="0.2">
      <c r="B63" s="181" t="s">
        <v>722</v>
      </c>
      <c r="C63" s="165"/>
      <c r="D63" s="120">
        <v>0</v>
      </c>
    </row>
    <row r="64" spans="2:4" x14ac:dyDescent="0.2">
      <c r="B64" s="214" t="s">
        <v>603</v>
      </c>
      <c r="C64" s="215"/>
      <c r="D64" s="157">
        <v>9</v>
      </c>
    </row>
  </sheetData>
  <sheetProtection algorithmName="SHA-512" hashValue="3OFEWGNf3k2Y+z3h9HbwP6uxN0MOhrj45OjFV9KclKtMnb1CDCcYl1XtXS49kNQ7/u3V2p4e6FQXIPOzFiLlPw==" saltValue="PUmF3JYZkXe/tK2uL9d8yQ==" spinCount="100000" sheet="1" objects="1" scenarios="1"/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9" sqref="L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742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tabSelected="1" zoomScaleNormal="100" workbookViewId="0">
      <selection activeCell="L11" sqref="L11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43415</v>
      </c>
      <c r="C7" s="52">
        <f t="shared" ref="C7" si="0">B7</f>
        <v>43415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43446</v>
      </c>
      <c r="C8" s="52">
        <f t="shared" ref="C8" si="2">B8</f>
        <v>43446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cvmDojbYynb1B3fveXEAhWb9doc9sv57bsMF0iiBcG5Sc2fIz2fFfr9Xk2Rc1dfKSZRRsbVLAYeVWgZ66BneMA==" saltValue="mVV27CBlmhK32tJEimf4Z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743</v>
      </c>
      <c r="C3" s="76">
        <v>1</v>
      </c>
      <c r="D3" s="91">
        <v>43415</v>
      </c>
      <c r="E3" s="97">
        <v>0.375</v>
      </c>
      <c r="F3" s="92">
        <v>50.11</v>
      </c>
    </row>
    <row r="4" spans="1:8" x14ac:dyDescent="0.25">
      <c r="B4" s="75" t="s">
        <v>745</v>
      </c>
      <c r="C4" s="76">
        <v>2</v>
      </c>
      <c r="D4" s="91">
        <v>43446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43415</v>
      </c>
      <c r="H8" s="145">
        <f t="array" ref="H8">IFERROR(INDEX($D$3:$D$5, MATCH(0,IF(ISBLANK($D$3:$D$5),1,COUNTIF($F$8:G8, $D$3:$D$5)), 0)),"")</f>
        <v>43446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43415</v>
      </c>
      <c r="H14" s="72">
        <f>H8</f>
        <v>43446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43415</v>
      </c>
      <c r="C18" s="52">
        <f t="shared" ref="C18" si="1">B18</f>
        <v>43415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fk9EkIYiRP09nQZHSVbtJoFBdOEoyFNKCJFV5eUPL9Gs8UAYAGdC7WFvEY1dnIWnuME9pDcUe/rV3FY1U1sP2A==" saltValue="yZdnv8s2AUxN3uCl4vc2tw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43405</v>
      </c>
      <c r="C7" s="52">
        <f t="shared" ref="C7" si="0">B7</f>
        <v>43405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43435</v>
      </c>
      <c r="C8" s="52">
        <f t="shared" ref="C8" si="2">B8</f>
        <v>43435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743</v>
      </c>
      <c r="C3" s="76">
        <v>1</v>
      </c>
      <c r="D3" s="91">
        <v>43405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744</v>
      </c>
      <c r="C4" s="76">
        <v>2</v>
      </c>
      <c r="D4" s="91">
        <v>43435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43405</v>
      </c>
      <c r="I8" s="145">
        <f t="array" ref="I8">IFERROR(INDEX($D$3:$D$5, MATCH(0,IF(ISBLANK($D$3:$D$5),1,COUNTIF($G$8:H8, $D$3:$D$5)), 0)),"")</f>
        <v>43435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43405</v>
      </c>
      <c r="I14" s="96">
        <f>I8</f>
        <v>43435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43405</v>
      </c>
      <c r="C18" s="52">
        <f t="shared" ref="C18" si="1">B18</f>
        <v>43405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wei0ElDrORWodkYRERebUeNIQ0gap7bFkRONI6TIrO5HqU5r9yifn9E7a2P4u46lPYOvo9vwyEfaRpzDR5D16Q==" saltValue="yfs8Tvbhzz+1VPLS7FbVk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746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2019-07-09T09:56:34Z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