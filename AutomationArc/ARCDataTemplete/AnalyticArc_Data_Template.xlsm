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6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7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8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20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21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4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oup10.G10GGNLT052\Desktop\"/>
    </mc:Choice>
  </mc:AlternateContent>
  <xr:revisionPtr revIDLastSave="0" documentId="8_{EF3425D4-C23D-400D-A362-FF6F353A5FAA}" xr6:coauthVersionLast="36" xr6:coauthVersionMax="36" xr10:uidLastSave="{00000000-0000-0000-0000-000000000000}"/>
  <workbookProtection workbookAlgorithmName="SHA-512" workbookHashValue="vkHVPd3WulRz7z5wzyIMZiX8aguYZPRKuSQie1xYJEcMdwBnPZIeSCkjiK3tfKmoRoWIRdZqc+AzI3IojCAAmQ==" workbookSaltValue="j1TXkUb+xvd0tDoPESO6FQ==" workbookSpinCount="100000" lockStructure="1"/>
  <bookViews>
    <workbookView xWindow="-120" yWindow="-120" windowWidth="20730" windowHeight="11160" firstSheet="8" activeTab="12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base_f" sheetId="8" state="hidden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AnalyticsEnergyMeter" sheetId="28" r:id="rId11"/>
    <sheet name="AnalyticsWaterMeter " sheetId="29" r:id="rId12"/>
    <sheet name="Generated onsite Solar" sheetId="30" r:id="rId13"/>
    <sheet name="Carbon Monoxide" sheetId="17" state="hidden" r:id="rId14"/>
    <sheet name="Ozone" sheetId="18" state="hidden" r:id="rId15"/>
    <sheet name="Atmospheric Particulate Matter" sheetId="19" state="hidden" r:id="rId16"/>
    <sheet name="Acetaldehyde" sheetId="20" state="hidden" r:id="rId17"/>
    <sheet name="Benzene" sheetId="21" state="hidden" r:id="rId18"/>
    <sheet name="Styrene" sheetId="22" state="hidden" r:id="rId19"/>
    <sheet name="Toluene" sheetId="23" state="hidden" r:id="rId20"/>
    <sheet name="Naphthalene " sheetId="24" state="hidden" r:id="rId21"/>
    <sheet name="Dichlorobenzene" sheetId="25" state="hidden" r:id="rId22"/>
    <sheet name="Xylenes-total" sheetId="26" state="hidden" r:id="rId23"/>
    <sheet name="Formaldehyde" sheetId="27" state="hidden" r:id="rId24"/>
    <sheet name="base_summary" sheetId="3" state="hidden" r:id="rId25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Readings'!$6:$6</definedName>
    <definedName name="columnDeleteVOC">'TVOC Readings'!$6:$6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Readings'!$A$18:$E$18</definedName>
    <definedName name="DataCopyVOC">'TVOC Readings'!$A$18:$E$18</definedName>
    <definedName name="Dates" localSheetId="16">'CO2 Readings'!$14:$14</definedName>
    <definedName name="Dates" localSheetId="15">'CO2 Readings'!$14:$14</definedName>
    <definedName name="Dates" localSheetId="17">'CO2 Readings'!$14:$14</definedName>
    <definedName name="Dates" localSheetId="13">'CO2 Readings'!$14:$14</definedName>
    <definedName name="Dates" localSheetId="21">'CO2 Readings'!$14:$14</definedName>
    <definedName name="Dates" localSheetId="23">'CO2 Readings'!$14:$14</definedName>
    <definedName name="Dates" localSheetId="20">'CO2 Readings'!$14:$14</definedName>
    <definedName name="Dates" localSheetId="14">'CO2 Readings'!$14:$14</definedName>
    <definedName name="Dates" localSheetId="18">'CO2 Readings'!$14:$14</definedName>
    <definedName name="Dates" localSheetId="19">'CO2 Readings'!$14:$14</definedName>
    <definedName name="Dates" localSheetId="22">'CO2 Readings'!$14:$14</definedName>
    <definedName name="Dates">'CO2 Readings'!$14:$14</definedName>
    <definedName name="DatesVOC" localSheetId="16">'TVOC Readings'!$14:$14</definedName>
    <definedName name="DatesVOC" localSheetId="15">'TVOC Readings'!$14:$14</definedName>
    <definedName name="DatesVOC" localSheetId="17">'TVOC Readings'!$14:$14</definedName>
    <definedName name="DatesVOC" localSheetId="13">'TVOC Readings'!$14:$14</definedName>
    <definedName name="DatesVOC" localSheetId="21">'TVOC Readings'!$14:$14</definedName>
    <definedName name="DatesVOC" localSheetId="23">'TVOC Readings'!$14:$14</definedName>
    <definedName name="DatesVOC" localSheetId="20">'TVOC Readings'!$14:$14</definedName>
    <definedName name="DatesVOC" localSheetId="14">'TVOC Readings'!$14:$14</definedName>
    <definedName name="DatesVOC" localSheetId="18">'TVOC Readings'!$14:$14</definedName>
    <definedName name="DatesVOC" localSheetId="19">'TVOC Readings'!$14:$14</definedName>
    <definedName name="DatesVOC" localSheetId="22">'TVOC Readings'!$14:$14</definedName>
    <definedName name="DatesVOC">'TVOC Readings'!$14:$14</definedName>
    <definedName name="DelRwNmEnd">'CO2 Reading for Upload'!$A$10:$E$10</definedName>
    <definedName name="DelRwNmEndVOC">'TVOC Reading for Upload'!$A$10:$E$10</definedName>
    <definedName name="DelRwNmStart">'CO2 Reading for Upload'!$A$6:$E$6</definedName>
    <definedName name="DelRwNmStartVOC">'TVOC Reading for Upload'!$A$6:$E$6</definedName>
    <definedName name="elecName" localSheetId="16">base_e!$G$15:$G$19</definedName>
    <definedName name="elecName" localSheetId="10">AnalyticsEnergyMeter!$G$15:$G$19</definedName>
    <definedName name="elecName" localSheetId="15">base_e!$G$15:$G$19</definedName>
    <definedName name="elecName" localSheetId="17">base_e!$G$15:$G$19</definedName>
    <definedName name="elecName" localSheetId="13">base_e!$G$15:$G$19</definedName>
    <definedName name="elecName" localSheetId="21">base_e!$G$15:$G$19</definedName>
    <definedName name="elecName" localSheetId="23">base_e!$G$15:$G$19</definedName>
    <definedName name="elecName" localSheetId="12">'Generated onsite Solar'!$G$15:$G$19</definedName>
    <definedName name="elecName" localSheetId="20">base_e!$G$15:$G$19</definedName>
    <definedName name="elecName" localSheetId="14">base_e!$G$15:$G$19</definedName>
    <definedName name="elecName" localSheetId="18">base_e!$G$15:$G$19</definedName>
    <definedName name="elecName" localSheetId="19">base_e!$G$15:$G$19</definedName>
    <definedName name="elecName" localSheetId="22">base_e!$G$15:$G$19</definedName>
    <definedName name="elecName">base_e!$G$15:$G$19</definedName>
    <definedName name="ElectricityDrp" localSheetId="16">base_e!$J$9:$J$10</definedName>
    <definedName name="ElectricityDrp" localSheetId="10">AnalyticsEnergyMeter!$J$9:$J$10</definedName>
    <definedName name="ElectricityDrp" localSheetId="15">base_e!$J$9:$J$10</definedName>
    <definedName name="ElectricityDrp" localSheetId="17">base_e!$J$9:$J$10</definedName>
    <definedName name="ElectricityDrp" localSheetId="13">base_e!$J$9:$J$10</definedName>
    <definedName name="ElectricityDrp" localSheetId="21">base_e!$J$9:$J$10</definedName>
    <definedName name="ElectricityDrp" localSheetId="23">base_e!$J$9:$J$10</definedName>
    <definedName name="ElectricityDrp" localSheetId="12">'Generated onsite Solar'!$J$9:$J$10</definedName>
    <definedName name="ElectricityDrp" localSheetId="20">base_e!$J$9:$J$10</definedName>
    <definedName name="ElectricityDrp" localSheetId="14">base_e!$J$9:$J$10</definedName>
    <definedName name="ElectricityDrp" localSheetId="18">base_e!$J$9:$J$10</definedName>
    <definedName name="ElectricityDrp" localSheetId="19">base_e!$J$9:$J$10</definedName>
    <definedName name="ElectricityDrp" localSheetId="22">base_e!$J$9:$J$10</definedName>
    <definedName name="ElectricityDrp">base_e!$J$9:$J$10</definedName>
    <definedName name="fdet" localSheetId="16">Acetaldehyde!$H$1:$H$13</definedName>
    <definedName name="fdet" localSheetId="15">'Atmospheric Particulate Matter'!$H$1:$H$13</definedName>
    <definedName name="fdet" localSheetId="17">Benzene!$H$1:$H$13</definedName>
    <definedName name="fdet" localSheetId="13">'Carbon Monoxide'!$H$1:$H$13</definedName>
    <definedName name="fdet" localSheetId="21">Dichlorobenzene!$H$1:$H$13</definedName>
    <definedName name="fdet" localSheetId="23">Formaldehyde!$H$1:$H$13</definedName>
    <definedName name="fdet" localSheetId="20">'Naphthalene '!$H$1:$H$13</definedName>
    <definedName name="fdet" localSheetId="14">Ozone!$H$1:$H$13</definedName>
    <definedName name="fdet" localSheetId="18">Styrene!$H$1:$H$13</definedName>
    <definedName name="fdet" localSheetId="19">Toluene!$H$1:$H$13</definedName>
    <definedName name="fdet" localSheetId="22">'Xylenes-total'!$H$1:$H$13</definedName>
    <definedName name="fdet">base_f!$H$1:$H$13</definedName>
    <definedName name="fude" localSheetId="16">Acetaldehyde!$D$14:$D$31</definedName>
    <definedName name="fude" localSheetId="15">'Atmospheric Particulate Matter'!$D$14:$D$31</definedName>
    <definedName name="fude" localSheetId="17">Benzene!$D$14:$D$31</definedName>
    <definedName name="fude" localSheetId="13">'Carbon Monoxide'!$D$14:$D$31</definedName>
    <definedName name="fude" localSheetId="21">Dichlorobenzene!$D$14:$D$31</definedName>
    <definedName name="fude" localSheetId="23">Formaldehyde!$D$14:$D$31</definedName>
    <definedName name="fude" localSheetId="20">'Naphthalene '!$D$14:$D$31</definedName>
    <definedName name="fude" localSheetId="14">Ozone!$D$14:$D$31</definedName>
    <definedName name="fude" localSheetId="18">Styrene!$D$14:$D$31</definedName>
    <definedName name="fude" localSheetId="19">Toluene!$D$14:$D$31</definedName>
    <definedName name="fude" localSheetId="22">'Xylenes-total'!$D$14:$D$31</definedName>
    <definedName name="fude">base_f!$D$14:$D$31</definedName>
    <definedName name="fuel1" localSheetId="16">Acetaldehyde!$L$16:$L$23</definedName>
    <definedName name="fuel1" localSheetId="15">'Atmospheric Particulate Matter'!$L$16:$L$23</definedName>
    <definedName name="fuel1" localSheetId="17">Benzene!$L$16:$L$23</definedName>
    <definedName name="fuel1" localSheetId="13">'Carbon Monoxide'!$L$16:$L$23</definedName>
    <definedName name="fuel1" localSheetId="21">Dichlorobenzene!$L$16:$L$23</definedName>
    <definedName name="fuel1" localSheetId="23">Formaldehyde!$L$16:$L$23</definedName>
    <definedName name="fuel1" localSheetId="20">'Naphthalene '!$L$16:$L$23</definedName>
    <definedName name="fuel1" localSheetId="14">Ozone!$L$16:$L$23</definedName>
    <definedName name="fuel1" localSheetId="18">Styrene!$L$16:$L$23</definedName>
    <definedName name="fuel1" localSheetId="19">Toluene!$L$16:$L$23</definedName>
    <definedName name="fuel1" localSheetId="22">'Xylenes-total'!$L$16:$L$23</definedName>
    <definedName name="fuel1">base_f!$L$16:$L$23</definedName>
    <definedName name="fuel2" localSheetId="16">Acetaldehyde!$M$16:$M$23</definedName>
    <definedName name="fuel2" localSheetId="15">'Atmospheric Particulate Matter'!$M$16:$M$23</definedName>
    <definedName name="fuel2" localSheetId="17">Benzene!$M$16:$M$23</definedName>
    <definedName name="fuel2" localSheetId="13">'Carbon Monoxide'!$M$16:$M$23</definedName>
    <definedName name="fuel2" localSheetId="21">Dichlorobenzene!$M$16:$M$23</definedName>
    <definedName name="fuel2" localSheetId="23">Formaldehyde!$M$16:$M$23</definedName>
    <definedName name="fuel2" localSheetId="20">'Naphthalene '!$M$16:$M$23</definedName>
    <definedName name="fuel2" localSheetId="14">Ozone!$M$16:$M$23</definedName>
    <definedName name="fuel2" localSheetId="18">Styrene!$M$16:$M$23</definedName>
    <definedName name="fuel2" localSheetId="19">Toluene!$M$16:$M$23</definedName>
    <definedName name="fuel2" localSheetId="22">'Xylenes-total'!$M$16:$M$23</definedName>
    <definedName name="fuel2">base_f!$M$16:$M$23</definedName>
    <definedName name="fuelname" localSheetId="16">Acetaldehyde!#REF!</definedName>
    <definedName name="fuelname" localSheetId="10">base_f!#REF!</definedName>
    <definedName name="fuelname" localSheetId="11">base_f!#REF!</definedName>
    <definedName name="fuelname" localSheetId="15">'Atmospheric Particulate Matter'!#REF!</definedName>
    <definedName name="fuelname" localSheetId="17">Benzene!#REF!</definedName>
    <definedName name="fuelname" localSheetId="13">'Carbon Monoxide'!#REF!</definedName>
    <definedName name="fuelname" localSheetId="21">Dichlorobenzene!#REF!</definedName>
    <definedName name="fuelname" localSheetId="23">Formaldehyde!#REF!</definedName>
    <definedName name="fuelname" localSheetId="12">base_f!#REF!</definedName>
    <definedName name="fuelname" localSheetId="20">'Naphthalene '!#REF!</definedName>
    <definedName name="fuelname" localSheetId="14">Ozone!#REF!</definedName>
    <definedName name="fuelname" localSheetId="18">Styrene!#REF!</definedName>
    <definedName name="fuelname" localSheetId="19">Toluene!#REF!</definedName>
    <definedName name="fuelname" localSheetId="22">'Xylenes-total'!#REF!</definedName>
    <definedName name="fuelname">base_f!#REF!</definedName>
    <definedName name="kerosene" localSheetId="16">Acetaldehyde!$K$16:$K$23</definedName>
    <definedName name="kerosene" localSheetId="15">'Atmospheric Particulate Matter'!$K$16:$K$23</definedName>
    <definedName name="kerosene" localSheetId="17">Benzene!$K$16:$K$23</definedName>
    <definedName name="kerosene" localSheetId="13">'Carbon Monoxide'!$K$16:$K$23</definedName>
    <definedName name="kerosene" localSheetId="21">Dichlorobenzene!$K$16:$K$23</definedName>
    <definedName name="kerosene" localSheetId="23">Formaldehyde!$K$16:$K$23</definedName>
    <definedName name="kerosene" localSheetId="20">'Naphthalene '!$K$16:$K$23</definedName>
    <definedName name="kerosene" localSheetId="14">Ozone!$K$16:$K$23</definedName>
    <definedName name="kerosene" localSheetId="18">Styrene!$K$16:$K$23</definedName>
    <definedName name="kerosene" localSheetId="19">Toluene!$K$16:$K$23</definedName>
    <definedName name="kerosene" localSheetId="22">'Xylenes-total'!$K$16:$K$23</definedName>
    <definedName name="kerosene">base_f!$K$16:$K$23</definedName>
    <definedName name="liquid" localSheetId="16">Acetaldehyde!$J$16:$J$25</definedName>
    <definedName name="liquid" localSheetId="15">'Atmospheric Particulate Matter'!$J$16:$J$25</definedName>
    <definedName name="liquid" localSheetId="17">Benzene!$J$16:$J$25</definedName>
    <definedName name="liquid" localSheetId="13">'Carbon Monoxide'!$J$16:$J$25</definedName>
    <definedName name="liquid" localSheetId="21">Dichlorobenzene!$J$16:$J$25</definedName>
    <definedName name="liquid" localSheetId="23">Formaldehyde!$J$16:$J$25</definedName>
    <definedName name="liquid" localSheetId="20">'Naphthalene '!$J$16:$J$25</definedName>
    <definedName name="liquid" localSheetId="14">Ozone!$J$16:$J$25</definedName>
    <definedName name="liquid" localSheetId="18">Styrene!$J$16:$J$25</definedName>
    <definedName name="liquid" localSheetId="19">Toluene!$J$16:$J$25</definedName>
    <definedName name="liquid" localSheetId="22">'Xylenes-total'!$J$16:$J$25</definedName>
    <definedName name="liquid">base_f!$J$16:$J$25</definedName>
    <definedName name="Meter" localSheetId="10">Instructions!#REF!</definedName>
    <definedName name="Meter" localSheetId="11">Instructions!#REF!</definedName>
    <definedName name="Meter" localSheetId="12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6">Acetaldehyde!$G$19:$G$36</definedName>
    <definedName name="myCategoryH" localSheetId="15">'Atmospheric Particulate Matter'!$G$19:$G$36</definedName>
    <definedName name="myCategoryH" localSheetId="17">Benzene!$G$19:$G$36</definedName>
    <definedName name="myCategoryH" localSheetId="13">'Carbon Monoxide'!$G$19:$G$36</definedName>
    <definedName name="myCategoryH" localSheetId="21">Dichlorobenzene!$G$19:$G$36</definedName>
    <definedName name="myCategoryH" localSheetId="23">Formaldehyde!$G$19:$G$36</definedName>
    <definedName name="myCategoryH" localSheetId="20">'Naphthalene '!$G$19:$G$36</definedName>
    <definedName name="myCategoryH" localSheetId="14">Ozone!$G$19:$G$36</definedName>
    <definedName name="myCategoryH" localSheetId="18">Styrene!$G$19:$G$36</definedName>
    <definedName name="myCategoryH" localSheetId="19">Toluene!$G$19:$G$36</definedName>
    <definedName name="myCategoryH" localSheetId="22">'Xylenes-total'!$G$19:$G$36</definedName>
    <definedName name="myCategoryH">base_f!$G$19:$G$36</definedName>
    <definedName name="myitem" localSheetId="16">OFFSET(myItemList,0,0,1,COUNTA(myItemList))</definedName>
    <definedName name="myitem" localSheetId="10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7">OFFSET(myItemList,0,0,1,COUNTA(myItemList))</definedName>
    <definedName name="myitem" localSheetId="13">OFFSET(myItemList,0,0,1,COUNTA(myItemList))</definedName>
    <definedName name="myitem" localSheetId="21">OFFSET(myItemList,0,0,1,COUNTA(myItemList))</definedName>
    <definedName name="myitem" localSheetId="23">OFFSET(myItemList,0,0,1,COUNTA(myItemList))</definedName>
    <definedName name="myitem" localSheetId="12">OFFSET(myItemList,0,0,1,COUNTA(myItemList))</definedName>
    <definedName name="myitem" localSheetId="20">OFFSET(myItemList,0,0,1,COUNTA(myItemList))</definedName>
    <definedName name="myitem" localSheetId="14">OFFSET(myItemList,0,0,1,COUNTA(myItemList))</definedName>
    <definedName name="myitem" localSheetId="18">OFFSET(myItemList,0,0,1,COUNTA(myItemList))</definedName>
    <definedName name="myitem" localSheetId="19">OFFSET(myItemList,0,0,1,COUNTA(myItemList))</definedName>
    <definedName name="myitem" localSheetId="22">OFFSET(myItemList,0,0,1,COUNTA(myItemList))</definedName>
    <definedName name="myitem">OFFSET(myItemList,0,0,1,COUNTA(myItemList))</definedName>
    <definedName name="myItemListH" localSheetId="16">INDEX(Acetaldehyde!myTableH,MATCH(Acetaldehyde!A1048576,Acetaldehyde!myCategoryH,0),0)</definedName>
    <definedName name="myItemListH" localSheetId="15">INDEX('Atmospheric Particulate Matter'!myTableH,MATCH('Atmospheric Particulate Matter'!A1048576,'Atmospheric Particulate Matter'!myCategoryH,0),0)</definedName>
    <definedName name="myItemListH" localSheetId="17">INDEX(Benzene!myTableH,MATCH(Benzene!A1048576,Benzene!myCategoryH,0),0)</definedName>
    <definedName name="myItemListH" localSheetId="13">INDEX('Carbon Monoxide'!myTableH,MATCH('Carbon Monoxide'!A1048576,'Carbon Monoxide'!myCategoryH,0),0)</definedName>
    <definedName name="myItemListH" localSheetId="21">INDEX(Dichlorobenzene!myTableH,MATCH(Dichlorobenzene!A1048576,Dichlorobenzene!myCategoryH,0),0)</definedName>
    <definedName name="myItemListH" localSheetId="23">INDEX(Formaldehyde!myTableH,MATCH(Formaldehyde!A1048576,Formaldehyde!myCategoryH,0),0)</definedName>
    <definedName name="myItemListH" localSheetId="20">INDEX('Naphthalene '!myTableH,MATCH('Naphthalene '!A1048576,'Naphthalene '!myCategoryH,0),0)</definedName>
    <definedName name="myItemListH" localSheetId="14">INDEX(Ozone!myTableH,MATCH(Ozone!A1048576,Ozone!myCategoryH,0),0)</definedName>
    <definedName name="myItemListH" localSheetId="18">INDEX(Styrene!myTableH,MATCH(Styrene!A1048576,Styrene!myCategoryH,0),0)</definedName>
    <definedName name="myItemListH" localSheetId="19">INDEX(Toluene!myTableH,MATCH(Toluene!A1048576,Toluene!myCategoryH,0),0)</definedName>
    <definedName name="myItemListH" localSheetId="22">INDEX('Xylenes-total'!myTableH,MATCH('Xylenes-total'!A1048576,'Xylenes-total'!myCategoryH,0),0)</definedName>
    <definedName name="myItemListH">INDEX(myTableH,MATCH(base_f!A1048576,myCategoryH,0),0)</definedName>
    <definedName name="myTableH" localSheetId="16">Acetaldehyde!$H$19:$V$36</definedName>
    <definedName name="myTableH" localSheetId="15">'Atmospheric Particulate Matter'!$H$19:$V$36</definedName>
    <definedName name="myTableH" localSheetId="17">Benzene!$H$19:$V$36</definedName>
    <definedName name="myTableH" localSheetId="13">'Carbon Monoxide'!$H$19:$V$36</definedName>
    <definedName name="myTableH" localSheetId="21">Dichlorobenzene!$H$19:$V$36</definedName>
    <definedName name="myTableH" localSheetId="23">Formaldehyde!$H$19:$V$36</definedName>
    <definedName name="myTableH" localSheetId="20">'Naphthalene '!$H$19:$V$36</definedName>
    <definedName name="myTableH" localSheetId="14">Ozone!$H$19:$V$36</definedName>
    <definedName name="myTableH" localSheetId="18">Styrene!$H$19:$V$36</definedName>
    <definedName name="myTableH" localSheetId="19">Toluene!$H$19:$V$36</definedName>
    <definedName name="myTableH" localSheetId="22">'Xylenes-total'!$H$19:$V$36</definedName>
    <definedName name="myTableH">base_f!$H$19:$V$36</definedName>
    <definedName name="newMet" localSheetId="16">Instructions!$Q$33:$Q$34</definedName>
    <definedName name="newMet" localSheetId="15">Instructions!$Q$33:$Q$34</definedName>
    <definedName name="newMet" localSheetId="17">Instructions!$Q$33:$Q$34</definedName>
    <definedName name="newMet" localSheetId="13">Instructions!$Q$33:$Q$34</definedName>
    <definedName name="newMet" localSheetId="21">Instructions!$Q$33:$Q$34</definedName>
    <definedName name="newMet" localSheetId="23">Instructions!$Q$33:$Q$34</definedName>
    <definedName name="newMet" localSheetId="20">Instructions!$Q$33:$Q$34</definedName>
    <definedName name="newMet" localSheetId="14">Instructions!$Q$33:$Q$34</definedName>
    <definedName name="newMet" localSheetId="18">Instructions!$Q$33:$Q$34</definedName>
    <definedName name="newMet" localSheetId="19">Instructions!$Q$33:$Q$34</definedName>
    <definedName name="newMet" localSheetId="22">Instructions!$Q$33:$Q$34</definedName>
    <definedName name="newMet">Instructions!$Q$33:$Q$34</definedName>
    <definedName name="newWaUnit" localSheetId="16">'Waste Stream'!$I$12:$I$14</definedName>
    <definedName name="newWaUnit" localSheetId="15">'Waste Stream'!$I$12:$I$14</definedName>
    <definedName name="newWaUnit" localSheetId="17">'Waste Stream'!$I$12:$I$14</definedName>
    <definedName name="newWaUnit" localSheetId="13">'Waste Stream'!$I$12:$I$14</definedName>
    <definedName name="newWaUnit" localSheetId="21">'Waste Stream'!$I$12:$I$14</definedName>
    <definedName name="newWaUnit" localSheetId="23">'Waste Stream'!$I$12:$I$14</definedName>
    <definedName name="newWaUnit" localSheetId="20">'Waste Stream'!$I$12:$I$14</definedName>
    <definedName name="newWaUnit" localSheetId="14">'Waste Stream'!$I$12:$I$14</definedName>
    <definedName name="newWaUnit" localSheetId="18">'Waste Stream'!$I$12:$I$14</definedName>
    <definedName name="newWaUnit" localSheetId="19">'Waste Stream'!$I$12:$I$14</definedName>
    <definedName name="newWaUnit" localSheetId="22">'Waste Stream'!$I$12:$I$14</definedName>
    <definedName name="newWaUnit">'Waste Stream'!$I$12:$I$14</definedName>
    <definedName name="Other_Fuels_Drp" localSheetId="16">Acetaldehyde!$V$10</definedName>
    <definedName name="Other_Fuels_Drp" localSheetId="15">'Atmospheric Particulate Matter'!$V$10</definedName>
    <definedName name="Other_Fuels_Drp" localSheetId="17">Benzene!$V$10</definedName>
    <definedName name="Other_Fuels_Drp" localSheetId="13">'Carbon Monoxide'!$V$10</definedName>
    <definedName name="Other_Fuels_Drp" localSheetId="21">Dichlorobenzene!$V$10</definedName>
    <definedName name="Other_Fuels_Drp" localSheetId="23">Formaldehyde!$V$10</definedName>
    <definedName name="Other_Fuels_Drp" localSheetId="20">'Naphthalene '!$V$10</definedName>
    <definedName name="Other_Fuels_Drp" localSheetId="14">Ozone!$V$10</definedName>
    <definedName name="Other_Fuels_Drp" localSheetId="18">Styrene!$V$10</definedName>
    <definedName name="Other_Fuels_Drp" localSheetId="19">Toluene!$V$10</definedName>
    <definedName name="Other_Fuels_Drp" localSheetId="22">'Xylenes-total'!$V$10</definedName>
    <definedName name="Other_Fuels_Drp">base_f!$V$10</definedName>
    <definedName name="Period__Start_Date" localSheetId="16">COUNTIF(base_w!$B:$B,base_w!A1)=1</definedName>
    <definedName name="Period__Start_Date" localSheetId="11">COUNTIF('AnalyticsWaterMeter '!$B:$B,'AnalyticsWaterMeter '!A1)=1</definedName>
    <definedName name="Period__Start_Date" localSheetId="15">COUNTIF(base_w!$B:$B,base_w!A1)=1</definedName>
    <definedName name="Period__Start_Date" localSheetId="17">COUNTIF(base_w!$B:$B,base_w!A1)=1</definedName>
    <definedName name="Period__Start_Date" localSheetId="13">COUNTIF(base_w!$B:$B,base_w!A1)=1</definedName>
    <definedName name="Period__Start_Date" localSheetId="21">COUNTIF(base_w!$B:$B,base_w!A1)=1</definedName>
    <definedName name="Period__Start_Date" localSheetId="23">COUNTIF(base_w!$B:$B,base_w!A1)=1</definedName>
    <definedName name="Period__Start_Date" localSheetId="20">COUNTIF(base_w!$B:$B,base_w!A1)=1</definedName>
    <definedName name="Period__Start_Date" localSheetId="14">COUNTIF(base_w!$B:$B,base_w!A1)=1</definedName>
    <definedName name="Period__Start_Date" localSheetId="18">COUNTIF(base_w!$B:$B,base_w!A1)=1</definedName>
    <definedName name="Period__Start_Date" localSheetId="19">COUNTIF(base_w!$B:$B,base_w!A1)=1</definedName>
    <definedName name="Period__Start_Date" localSheetId="22">COUNTIF(base_w!$B:$B,base_w!A1)=1</definedName>
    <definedName name="Period__Start_Date">COUNTIF(base_w!$B:$B,base_w!A1)=1</definedName>
    <definedName name="Propane" localSheetId="16">Acetaldehyde!$I$16:$I$27</definedName>
    <definedName name="Propane" localSheetId="15">'Atmospheric Particulate Matter'!$I$16:$I$27</definedName>
    <definedName name="Propane" localSheetId="17">Benzene!$I$16:$I$27</definedName>
    <definedName name="Propane" localSheetId="13">'Carbon Monoxide'!$I$16:$I$27</definedName>
    <definedName name="Propane" localSheetId="21">Dichlorobenzene!$I$16:$I$27</definedName>
    <definedName name="Propane" localSheetId="23">Formaldehyde!$I$16:$I$27</definedName>
    <definedName name="Propane" localSheetId="20">'Naphthalene '!$I$16:$I$27</definedName>
    <definedName name="Propane" localSheetId="14">Ozone!$I$16:$I$27</definedName>
    <definedName name="Propane" localSheetId="18">Styrene!$I$16:$I$27</definedName>
    <definedName name="Propane" localSheetId="19">Toluene!$I$16:$I$27</definedName>
    <definedName name="Propane" localSheetId="22">'Xylenes-total'!$I$16:$I$27</definedName>
    <definedName name="Propane">base_f!$I$16:$I$27</definedName>
    <definedName name="propanes" localSheetId="16">Acetaldehyde!$I$16:$I$25</definedName>
    <definedName name="propanes" localSheetId="15">'Atmospheric Particulate Matter'!$I$16:$I$25</definedName>
    <definedName name="propanes" localSheetId="17">Benzene!$I$16:$I$25</definedName>
    <definedName name="propanes" localSheetId="13">'Carbon Monoxide'!$I$16:$I$25</definedName>
    <definedName name="propanes" localSheetId="21">Dichlorobenzene!$I$16:$I$25</definedName>
    <definedName name="propanes" localSheetId="23">Formaldehyde!$I$16:$I$25</definedName>
    <definedName name="propanes" localSheetId="20">'Naphthalene '!$I$16:$I$25</definedName>
    <definedName name="propanes" localSheetId="14">Ozone!$I$16:$I$25</definedName>
    <definedName name="propanes" localSheetId="18">Styrene!$I$16:$I$25</definedName>
    <definedName name="propanes" localSheetId="19">Toluene!$I$16:$I$25</definedName>
    <definedName name="propanes" localSheetId="22">'Xylenes-total'!$I$16:$I$25</definedName>
    <definedName name="propanes">base_f!$I$16:$I$25</definedName>
    <definedName name="prounit" localSheetId="16">Acetaldehyde!$I$16:$I$25</definedName>
    <definedName name="prounit" localSheetId="15">'Atmospheric Particulate Matter'!$I$16:$I$25</definedName>
    <definedName name="prounit" localSheetId="17">Benzene!$I$16:$I$25</definedName>
    <definedName name="prounit" localSheetId="13">'Carbon Monoxide'!$I$16:$I$25</definedName>
    <definedName name="prounit" localSheetId="21">Dichlorobenzene!$I$16:$I$25</definedName>
    <definedName name="prounit" localSheetId="23">Formaldehyde!$I$16:$I$25</definedName>
    <definedName name="prounit" localSheetId="20">'Naphthalene '!$I$16:$I$25</definedName>
    <definedName name="prounit" localSheetId="14">Ozone!$I$16:$I$25</definedName>
    <definedName name="prounit" localSheetId="18">Styrene!$I$16:$I$25</definedName>
    <definedName name="prounit" localSheetId="19">Toluene!$I$16:$I$25</definedName>
    <definedName name="prounit" localSheetId="22">'Xylenes-total'!$I$16:$I$25</definedName>
    <definedName name="prounit">base_f!$I$16:$I$25</definedName>
    <definedName name="RangeCount">'CO2 Reading for Upload'!$B$6:$B$10</definedName>
    <definedName name="RangeCountVOC">'TVOC Reading for Upload'!$B$6:$B$10</definedName>
    <definedName name="ReadingTable" localSheetId="16">'CO2 Readings'!$14:$15</definedName>
    <definedName name="ReadingTable" localSheetId="15">'CO2 Readings'!$14:$15</definedName>
    <definedName name="ReadingTable" localSheetId="17">'CO2 Readings'!$14:$15</definedName>
    <definedName name="ReadingTable" localSheetId="13">'CO2 Readings'!$14:$15</definedName>
    <definedName name="ReadingTable" localSheetId="21">'CO2 Readings'!$14:$15</definedName>
    <definedName name="ReadingTable" localSheetId="23">'CO2 Readings'!$14:$15</definedName>
    <definedName name="ReadingTable" localSheetId="20">'CO2 Readings'!$14:$15</definedName>
    <definedName name="ReadingTable" localSheetId="14">'CO2 Readings'!$14:$15</definedName>
    <definedName name="ReadingTable" localSheetId="18">'CO2 Readings'!$14:$15</definedName>
    <definedName name="ReadingTable" localSheetId="19">'CO2 Readings'!$14:$15</definedName>
    <definedName name="ReadingTable" localSheetId="22">'CO2 Readings'!$14:$15</definedName>
    <definedName name="ReadingTable">'CO2 Readings'!$14:$15</definedName>
    <definedName name="ReadingTableVOC" localSheetId="16">'TVOC Readings'!$14:$15</definedName>
    <definedName name="ReadingTableVOC" localSheetId="15">'TVOC Readings'!$14:$15</definedName>
    <definedName name="ReadingTableVOC" localSheetId="17">'TVOC Readings'!$14:$15</definedName>
    <definedName name="ReadingTableVOC" localSheetId="13">'TVOC Readings'!$14:$15</definedName>
    <definedName name="ReadingTableVOC" localSheetId="21">'TVOC Readings'!$14:$15</definedName>
    <definedName name="ReadingTableVOC" localSheetId="23">'TVOC Readings'!$14:$15</definedName>
    <definedName name="ReadingTableVOC" localSheetId="20">'TVOC Readings'!$14:$15</definedName>
    <definedName name="ReadingTableVOC" localSheetId="14">'TVOC Readings'!$14:$15</definedName>
    <definedName name="ReadingTableVOC" localSheetId="18">'TVOC Readings'!$14:$15</definedName>
    <definedName name="ReadingTableVOC" localSheetId="19">'TVOC Readings'!$14:$15</definedName>
    <definedName name="ReadingTableVOC" localSheetId="22">'TVOC Readings'!$14:$15</definedName>
    <definedName name="ReadingTableVOC">'TVOC Readings'!$14:$15</definedName>
    <definedName name="Sheets">TRANSPOSE(GET.WORKBOOK(1))&amp;T(NOW())</definedName>
    <definedName name="spacetype" localSheetId="16">Instructions!$S$42:$S$104</definedName>
    <definedName name="spacetype" localSheetId="15">Instructions!$S$42:$S$104</definedName>
    <definedName name="spacetype" localSheetId="17">Instructions!$S$42:$S$104</definedName>
    <definedName name="spacetype" localSheetId="13">Instructions!$S$42:$S$104</definedName>
    <definedName name="spacetype" localSheetId="21">Instructions!$S$42:$S$104</definedName>
    <definedName name="spacetype" localSheetId="23">Instructions!$S$42:$S$104</definedName>
    <definedName name="spacetype" localSheetId="20">Instructions!$S$42:$S$104</definedName>
    <definedName name="spacetype" localSheetId="14">Instructions!$S$42:$S$104</definedName>
    <definedName name="spacetype" localSheetId="18">Instructions!$S$42:$S$104</definedName>
    <definedName name="spacetype" localSheetId="19">Instructions!$S$42:$S$104</definedName>
    <definedName name="spacetype" localSheetId="22">Instructions!$S$42:$S$104</definedName>
    <definedName name="spacetype">Instructions!$S$33:$S$88</definedName>
    <definedName name="sumAnchor">'CO2 Readings'!$F$6:$F$15</definedName>
    <definedName name="sumAnchorVOC">'TVOC Readings'!$G$6:$G$15</definedName>
    <definedName name="sumDate">'CO2 Readings'!$G$6:$G$15</definedName>
    <definedName name="sumDateVOC">'TVOC Readings'!$H$6:$H$15</definedName>
    <definedName name="UniqueDate">'CO2 Readings'!$B$21</definedName>
    <definedName name="UniqueDateVOC">'TVOC Readings'!$B$21</definedName>
    <definedName name="UniqueLoc">'CO2 Readings'!$C$21</definedName>
    <definedName name="UniqueLocVOC">'TVOC Readings'!$C$21</definedName>
    <definedName name="Units">Instructions!$M$5:$M$6</definedName>
    <definedName name="UserFormat">'CO2 Readings'!$A$24:$E$24</definedName>
    <definedName name="validUnits">Instructions!$L$307:$L$325</definedName>
    <definedName name="water_meter_type" localSheetId="11">'AnalyticsWaterMeter '!$H$27:$I$39</definedName>
    <definedName name="water_meter_type">base_w!$H$27:$I$39</definedName>
    <definedName name="water_type" localSheetId="11">'AnalyticsWaterMeter '!$H$27:$I$39</definedName>
    <definedName name="water_type">base_w!$H$27:$I$39</definedName>
    <definedName name="water_units" localSheetId="11">'AnalyticsWaterMeter '!$H$15:$H$23</definedName>
    <definedName name="water_units">base_w!$H$15:$H$23</definedName>
    <definedName name="WaterDrp" localSheetId="16">base_w!$I$9:$I$11</definedName>
    <definedName name="WaterDrp" localSheetId="11">'AnalyticsWaterMeter '!$I$9:$I$11</definedName>
    <definedName name="WaterDrp" localSheetId="15">base_w!$I$9:$I$11</definedName>
    <definedName name="WaterDrp" localSheetId="17">base_w!$I$9:$I$11</definedName>
    <definedName name="WaterDrp" localSheetId="13">base_w!$I$9:$I$11</definedName>
    <definedName name="WaterDrp" localSheetId="21">base_w!$I$9:$I$11</definedName>
    <definedName name="WaterDrp" localSheetId="23">base_w!$I$9:$I$11</definedName>
    <definedName name="WaterDrp" localSheetId="20">base_w!$I$9:$I$11</definedName>
    <definedName name="WaterDrp" localSheetId="14">base_w!$I$9:$I$11</definedName>
    <definedName name="WaterDrp" localSheetId="18">base_w!$I$9:$I$11</definedName>
    <definedName name="WaterDrp" localSheetId="19">base_w!$I$9:$I$11</definedName>
    <definedName name="WaterDrp" localSheetId="22">base_w!$I$9:$I$11</definedName>
    <definedName name="WaterDrp">base_w!$I$9:$I$11</definedName>
    <definedName name="waterType" localSheetId="11">'AnalyticsWaterMeter '!$H$27:$H$39</definedName>
    <definedName name="waterType">base_w!$H$27:$H$39</definedName>
    <definedName name="waterUnits" localSheetId="11">'AnalyticsWaterMeter '!$J$10:$J$14</definedName>
    <definedName name="waterUnits">base_w!$J$10:$J$14</definedName>
    <definedName name="watUn" localSheetId="11">'AnalyticsWaterMeter '!$H$15:$H$23</definedName>
    <definedName name="watUn">base_w!$H$15:$H$23</definedName>
    <definedName name="watUni" localSheetId="16">base_w!$H$15:$H$29</definedName>
    <definedName name="watUni" localSheetId="11">'AnalyticsWaterMeter '!$H$15:$H$29</definedName>
    <definedName name="watUni" localSheetId="15">base_w!$H$15:$H$29</definedName>
    <definedName name="watUni" localSheetId="17">base_w!$H$15:$H$29</definedName>
    <definedName name="watUni" localSheetId="13">base_w!$H$15:$H$29</definedName>
    <definedName name="watUni" localSheetId="21">base_w!$H$15:$H$29</definedName>
    <definedName name="watUni" localSheetId="23">base_w!$H$15:$H$29</definedName>
    <definedName name="watUni" localSheetId="20">base_w!$H$15:$H$29</definedName>
    <definedName name="watUni" localSheetId="14">base_w!$H$15:$H$29</definedName>
    <definedName name="watUni" localSheetId="18">base_w!$H$15:$H$29</definedName>
    <definedName name="watUni" localSheetId="19">base_w!$H$15:$H$29</definedName>
    <definedName name="watUni" localSheetId="22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6">Acetaldehyde!$H$16:$H$27</definedName>
    <definedName name="Wood" localSheetId="15">'Atmospheric Particulate Matter'!$H$16:$H$27</definedName>
    <definedName name="Wood" localSheetId="17">Benzene!$H$16:$H$27</definedName>
    <definedName name="Wood" localSheetId="13">'Carbon Monoxide'!$H$16:$H$27</definedName>
    <definedName name="Wood" localSheetId="21">Dichlorobenzene!$H$16:$H$27</definedName>
    <definedName name="Wood" localSheetId="23">Formaldehyde!$H$16:$H$27</definedName>
    <definedName name="Wood" localSheetId="20">'Naphthalene '!$H$16:$H$27</definedName>
    <definedName name="Wood" localSheetId="14">Ozone!$H$16:$H$27</definedName>
    <definedName name="Wood" localSheetId="18">Styrene!$H$16:$H$27</definedName>
    <definedName name="Wood" localSheetId="19">Toluene!$H$16:$H$27</definedName>
    <definedName name="Wood" localSheetId="22">'Xylenes-total'!$H$16:$H$27</definedName>
    <definedName name="Wood">base_f!$H$16:$H$27</definedName>
    <definedName name="woods" localSheetId="16">Acetaldehyde!$H$16:$H$22</definedName>
    <definedName name="woods" localSheetId="15">'Atmospheric Particulate Matter'!$H$16:$H$22</definedName>
    <definedName name="woods" localSheetId="17">Benzene!$H$16:$H$22</definedName>
    <definedName name="woods" localSheetId="13">'Carbon Monoxide'!$H$16:$H$22</definedName>
    <definedName name="woods" localSheetId="21">Dichlorobenzene!$H$16:$H$22</definedName>
    <definedName name="woods" localSheetId="23">Formaldehyde!$H$16:$H$22</definedName>
    <definedName name="woods" localSheetId="20">'Naphthalene '!$H$16:$H$22</definedName>
    <definedName name="woods" localSheetId="14">Ozone!$H$16:$H$22</definedName>
    <definedName name="woods" localSheetId="18">Styrene!$H$16:$H$22</definedName>
    <definedName name="woods" localSheetId="19">Toluene!$H$16:$H$22</definedName>
    <definedName name="woods" localSheetId="22">'Xylenes-total'!$H$16:$H$22</definedName>
    <definedName name="woods">base_f!$H$16:$H$22</definedName>
    <definedName name="woodunit" localSheetId="16">Acetaldehyde!$H$16:$H$22</definedName>
    <definedName name="woodunit" localSheetId="15">'Atmospheric Particulate Matter'!$H$16:$H$22</definedName>
    <definedName name="woodunit" localSheetId="17">Benzene!$H$16:$H$22</definedName>
    <definedName name="woodunit" localSheetId="13">'Carbon Monoxide'!$H$16:$H$22</definedName>
    <definedName name="woodunit" localSheetId="21">Dichlorobenzene!$H$16:$H$22</definedName>
    <definedName name="woodunit" localSheetId="23">Formaldehyde!$H$16:$H$22</definedName>
    <definedName name="woodunit" localSheetId="20">'Naphthalene '!$H$16:$H$22</definedName>
    <definedName name="woodunit" localSheetId="14">Ozone!$H$16:$H$22</definedName>
    <definedName name="woodunit" localSheetId="18">Styrene!$H$16:$H$22</definedName>
    <definedName name="woodunit" localSheetId="19">Toluene!$H$16:$H$22</definedName>
    <definedName name="woodunit" localSheetId="22">'Xylenes-total'!$H$16:$H$22</definedName>
    <definedName name="woodunit">base_f!$H$16:$H$22</definedName>
    <definedName name="zep" localSheetId="11">'AnalyticsWaterMeter '!$J$8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30" l="1"/>
  <c r="B1" i="30"/>
  <c r="D1" i="30" s="1"/>
  <c r="D6" i="29"/>
  <c r="B1" i="29"/>
  <c r="D1" i="29" s="1"/>
  <c r="D6" i="28"/>
  <c r="B1" i="28"/>
  <c r="D1" i="28" s="1"/>
  <c r="I8" i="15" a="1"/>
  <c r="I8" i="15" s="1"/>
  <c r="H8" i="14" a="1"/>
  <c r="H8" i="14" s="1"/>
  <c r="I6" i="15" l="1"/>
  <c r="I14" i="15"/>
  <c r="I10" i="15" a="1"/>
  <c r="I10" i="15" s="1"/>
  <c r="I15" i="15" s="1"/>
  <c r="I11" i="15" a="1"/>
  <c r="I11" i="15" s="1"/>
  <c r="H6" i="14"/>
  <c r="H14" i="14"/>
  <c r="H10" i="14" a="1"/>
  <c r="H10" i="14" s="1"/>
  <c r="H15" i="14" s="1"/>
  <c r="H11" i="14" a="1"/>
  <c r="H11" i="14" s="1"/>
  <c r="J8" i="16" l="1"/>
  <c r="J9" i="16"/>
  <c r="J12" i="16"/>
  <c r="J13" i="16"/>
  <c r="J14" i="16"/>
  <c r="J15" i="16"/>
  <c r="J16" i="16"/>
  <c r="J17" i="16"/>
  <c r="J18" i="16"/>
  <c r="I19" i="16"/>
  <c r="F19" i="16" l="1"/>
  <c r="K8" i="16" l="1"/>
  <c r="K9" i="16"/>
  <c r="K10" i="16"/>
  <c r="K11" i="16"/>
  <c r="K12" i="16"/>
  <c r="K13" i="16"/>
  <c r="K14" i="16"/>
  <c r="K15" i="16"/>
  <c r="K16" i="16"/>
  <c r="K17" i="16"/>
  <c r="K18" i="16"/>
  <c r="K7" i="16"/>
  <c r="G19" i="16" l="1"/>
  <c r="B50" i="16" l="1"/>
  <c r="B44" i="16"/>
  <c r="B38" i="16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E7" i="12" l="1"/>
  <c r="E7" i="13"/>
  <c r="L8" i="16"/>
  <c r="L9" i="16"/>
  <c r="L10" i="16"/>
  <c r="L11" i="16"/>
  <c r="L12" i="16"/>
  <c r="L13" i="16"/>
  <c r="L14" i="16"/>
  <c r="L15" i="16"/>
  <c r="L16" i="16"/>
  <c r="L7" i="16" l="1"/>
  <c r="D25" i="16" s="1"/>
  <c r="H19" i="16" l="1"/>
  <c r="H8" i="15" l="1" a="1"/>
  <c r="H8" i="15" s="1"/>
  <c r="G8" i="14" a="1"/>
  <c r="G8" i="14" s="1"/>
  <c r="E19" i="16" l="1"/>
  <c r="L17" i="16" l="1"/>
  <c r="L18" i="16"/>
  <c r="B10" i="15" l="1" a="1"/>
  <c r="B10" i="15" s="1"/>
  <c r="B10" i="14" a="1"/>
  <c r="B10" i="14" s="1"/>
  <c r="D24" i="16"/>
  <c r="B24" i="16"/>
  <c r="D6" i="16"/>
  <c r="D6" i="13"/>
  <c r="D6" i="12"/>
  <c r="E18" i="15"/>
  <c r="C21" i="15" a="1"/>
  <c r="C21" i="15" s="1"/>
  <c r="B21" i="15" a="1"/>
  <c r="B21" i="15" s="1"/>
  <c r="C21" i="14" a="1"/>
  <c r="C21" i="14" s="1"/>
  <c r="B21" i="14" a="1"/>
  <c r="B21" i="14" s="1"/>
  <c r="E18" i="14"/>
  <c r="B1" i="6"/>
  <c r="B1" i="8"/>
  <c r="B1" i="4"/>
  <c r="D6" i="8"/>
  <c r="D6" i="6"/>
  <c r="D6" i="4"/>
  <c r="E6" i="11"/>
  <c r="D6" i="11"/>
  <c r="D26" i="16" l="1"/>
  <c r="B11" i="14" a="1"/>
  <c r="B11" i="14" s="1"/>
  <c r="A10" i="15"/>
  <c r="B11" i="15" a="1"/>
  <c r="B11" i="15" s="1"/>
  <c r="H10" i="15" a="1"/>
  <c r="H10" i="15" s="1"/>
  <c r="H6" i="15"/>
  <c r="H14" i="15"/>
  <c r="B7" i="13" s="1"/>
  <c r="D1" i="8"/>
  <c r="D1" i="6"/>
  <c r="D1" i="4"/>
  <c r="J19" i="16"/>
  <c r="G6" i="14"/>
  <c r="G14" i="14"/>
  <c r="B7" i="12" s="1"/>
  <c r="C7" i="12" s="1"/>
  <c r="A10" i="14"/>
  <c r="G10" i="14" a="1"/>
  <c r="G10" i="14" s="1"/>
  <c r="D28" i="16" l="1"/>
  <c r="D27" i="16"/>
  <c r="B18" i="15"/>
  <c r="C18" i="15" s="1"/>
  <c r="C7" i="13"/>
  <c r="G11" i="14" a="1"/>
  <c r="G11" i="14" s="1"/>
  <c r="A11" i="14"/>
  <c r="A11" i="15"/>
  <c r="H11" i="15" a="1"/>
  <c r="H11" i="15" s="1"/>
  <c r="H15" i="15" s="1"/>
  <c r="B18" i="14"/>
  <c r="C18" i="14" s="1"/>
  <c r="D18" i="15" l="1" a="1"/>
  <c r="D18" i="15" s="1"/>
  <c r="A18" i="15" s="1"/>
  <c r="D7" i="13" a="1"/>
  <c r="D7" i="13" s="1"/>
  <c r="A7" i="13" s="1"/>
  <c r="G15" i="14"/>
  <c r="D7" i="12" s="1"/>
  <c r="A7" i="12" s="1"/>
  <c r="D18" i="14" l="1"/>
  <c r="A18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<sst xmlns="http://schemas.openxmlformats.org/spreadsheetml/2006/main" count="3914" uniqueCount="752">
  <si>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</si>
  <si>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</si>
  <si>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</si>
  <si>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</si>
  <si>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</si>
  <si>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</si>
  <si>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</si>
  <si>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</si>
  <si>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</si>
  <si>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</si>
  <si>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</si>
  <si>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</si>
  <si>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</si>
  <si>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</si>
  <si>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</si>
  <si>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</si>
  <si>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</si>
  <si>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</si>
  <si>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</si>
  <si>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</si>
  <si>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</si>
  <si>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</si>
  <si>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</si>
  <si>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</si>
  <si>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</si>
  <si>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</si>
  <si>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</si>
  <si>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</si>
  <si>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</si>
  <si>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</si>
  <si>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</si>
  <si>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</si>
  <si>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</si>
  <si>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</si>
  <si>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</si>
  <si>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</si>
  <si>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</si>
  <si>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</si>
  <si>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</si>
  <si>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</si>
  <si>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</si>
  <si>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</si>
  <si>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</si>
  <si>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</si>
  <si>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</si>
  <si>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</si>
  <si>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</si>
  <si>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</si>
  <si>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</si>
  <si>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</si>
  <si>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</si>
  <si>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</si>
  <si>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</si>
  <si>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</si>
  <si>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</si>
  <si>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</si>
  <si>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</si>
  <si>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</si>
  <si>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</si>
  <si>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</si>
  <si>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</si>
  <si>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</si>
  <si>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</si>
  <si>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</si>
  <si>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</si>
  <si>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</si>
  <si>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</si>
  <si>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</si>
  <si>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</si>
  <si>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</si>
  <si>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</si>
  <si>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</si>
  <si>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</si>
  <si>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</si>
  <si>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</si>
  <si>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</si>
  <si>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</si>
  <si>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</si>
  <si>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</si>
  <si>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</si>
  <si>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</si>
  <si>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</si>
  <si>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</si>
  <si>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</si>
  <si>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</si>
  <si>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</si>
  <si>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</si>
  <si>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</si>
  <si>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</si>
  <si>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</si>
  <si>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</si>
  <si>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</si>
  <si>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</si>
  <si>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</si>
  <si>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</si>
  <si>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</si>
  <si>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</si>
  <si>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</si>
  <si>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</si>
  <si>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</si>
  <si>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</si>
  <si>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</si>
  <si>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</si>
  <si>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</si>
  <si>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</si>
  <si>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</si>
  <si>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</si>
  <si>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</si>
  <si>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</si>
  <si>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</si>
  <si>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</si>
  <si>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</si>
  <si>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</si>
  <si>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</si>
  <si>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</si>
  <si>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</si>
  <si>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</si>
  <si>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</si>
  <si>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</si>
  <si>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</si>
  <si>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</si>
  <si>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</si>
  <si>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</si>
  <si>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</si>
  <si>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</si>
  <si>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</si>
  <si>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</si>
  <si>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</si>
  <si>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</si>
  <si>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</si>
  <si>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</si>
  <si>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</si>
  <si>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</si>
  <si>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</si>
  <si>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</si>
  <si>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</si>
  <si>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</si>
  <si>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</si>
  <si>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</si>
  <si>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</si>
  <si>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</si>
  <si>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</si>
  <si>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</si>
  <si>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</si>
  <si>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</si>
  <si>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</si>
  <si>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</si>
  <si>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</si>
  <si>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</si>
  <si>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</si>
  <si>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</si>
  <si>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</si>
  <si>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</si>
  <si>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</si>
  <si>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</si>
  <si>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</si>
  <si>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</si>
  <si>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</si>
  <si>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</si>
  <si>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</si>
  <si>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</si>
  <si>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</si>
  <si>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</si>
  <si>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</si>
  <si>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</si>
  <si>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</si>
  <si>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</si>
  <si>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</si>
  <si>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</si>
  <si>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</si>
  <si>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</si>
  <si>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</si>
  <si>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</si>
  <si>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</si>
  <si>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</si>
  <si>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</si>
  <si>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</si>
  <si>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</si>
  <si>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</si>
  <si>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</si>
  <si>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</si>
  <si>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</si>
  <si>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</si>
  <si>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</si>
  <si>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</si>
  <si>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</si>
  <si>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</si>
  <si>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</si>
  <si>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</si>
  <si>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</si>
  <si>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</si>
  <si>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</si>
  <si>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</si>
  <si>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</si>
  <si>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</si>
  <si>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</si>
  <si>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</si>
  <si>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</si>
  <si>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</si>
  <si>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</si>
  <si>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</si>
  <si>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</si>
  <si>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</si>
  <si>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</si>
  <si>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</si>
  <si>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</si>
  <si>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</si>
  <si>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</si>
  <si>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</si>
  <si>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</si>
  <si>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</si>
  <si>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</si>
  <si>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</si>
  <si>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</si>
  <si>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</si>
  <si>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</si>
  <si>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</si>
  <si>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</si>
  <si>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</si>
  <si>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</si>
  <si>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</si>
  <si>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</si>
  <si>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</si>
  <si>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</si>
  <si>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</si>
  <si>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</si>
  <si>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</si>
  <si>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</si>
  <si>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</si>
  <si>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</si>
  <si>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</si>
  <si>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</si>
  <si>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</si>
  <si>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</si>
  <si>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</si>
  <si>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</si>
  <si>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</si>
  <si>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</si>
  <si>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</si>
  <si>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</si>
  <si>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</si>
  <si>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</si>
  <si>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</si>
  <si>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</si>
  <si>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</si>
  <si>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</si>
  <si>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</si>
  <si>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</si>
  <si>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</si>
  <si>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</si>
  <si>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</si>
  <si>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</si>
  <si>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</si>
  <si>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</si>
  <si>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</si>
  <si>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</si>
  <si>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</si>
  <si>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</si>
  <si>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</si>
  <si>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</si>
  <si>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</si>
  <si>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</si>
  <si>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</si>
  <si>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</si>
  <si>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</si>
  <si>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</si>
  <si>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</si>
  <si>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</si>
  <si>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</si>
  <si>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</si>
  <si>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</si>
  <si>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</si>
  <si>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</si>
  <si>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</si>
  <si>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</si>
  <si>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</si>
  <si>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</si>
  <si>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</si>
  <si>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</si>
  <si>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</si>
  <si>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</si>
  <si>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</si>
  <si>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</si>
  <si>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</si>
  <si>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</si>
  <si>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</si>
  <si>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</si>
  <si>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</si>
  <si>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</si>
  <si>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</si>
  <si>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</si>
  <si>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</si>
  <si>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</si>
  <si>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</si>
  <si>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</si>
  <si>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</si>
  <si>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</si>
  <si>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</si>
  <si>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</si>
  <si>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</si>
  <si>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</si>
  <si>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</si>
  <si>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</si>
  <si>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</si>
  <si>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</si>
  <si>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</si>
  <si>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</si>
  <si>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</si>
  <si>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</si>
  <si>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</si>
  <si>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</si>
  <si>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</si>
  <si>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</si>
  <si>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</si>
  <si>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</si>
  <si>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</si>
  <si>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</si>
  <si>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</si>
  <si>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</si>
  <si>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</si>
  <si>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</si>
  <si>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</si>
  <si>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</si>
  <si>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</si>
  <si>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</si>
  <si>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</si>
  <si>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</si>
  <si>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</si>
  <si>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</si>
  <si>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</si>
  <si>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</si>
  <si>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</si>
  <si>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</si>
  <si>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</si>
  <si>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</si>
  <si>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</si>
  <si>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</si>
  <si>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</si>
  <si>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</si>
  <si>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</si>
  <si>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</si>
  <si>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</si>
  <si>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</si>
  <si>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</si>
  <si>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</si>
  <si>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</si>
  <si>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</si>
  <si>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</si>
  <si>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</si>
  <si>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</si>
  <si>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</si>
  <si>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</si>
  <si>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</si>
  <si>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</si>
  <si>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</si>
  <si>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</si>
  <si>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</si>
  <si>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</si>
  <si>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</si>
  <si>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</si>
  <si>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</si>
  <si>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</si>
  <si>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</si>
  <si>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</si>
  <si>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</si>
  <si>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</si>
  <si>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</si>
  <si>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</si>
  <si>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</si>
  <si>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</si>
  <si>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</si>
  <si>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</si>
  <si>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</si>
  <si>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</si>
  <si>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</si>
  <si>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</si>
  <si>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</si>
  <si>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</si>
  <si>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</si>
  <si>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</si>
  <si>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</si>
  <si>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</si>
  <si>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</si>
  <si>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</si>
  <si>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</si>
  <si>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</si>
  <si>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</si>
  <si>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</si>
  <si>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</si>
  <si>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</si>
  <si>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</si>
  <si>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</si>
  <si>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</si>
  <si>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</si>
  <si>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</si>
  <si>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</si>
  <si>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</si>
  <si>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</si>
  <si>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</si>
  <si>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</si>
  <si>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</si>
  <si>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</si>
  <si>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</si>
  <si>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</si>
  <si>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</si>
  <si>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</si>
  <si>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</si>
  <si>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</si>
  <si>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</si>
  <si>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</si>
  <si>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</si>
  <si>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</si>
  <si>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</si>
  <si>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</si>
  <si>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</si>
  <si>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</si>
  <si>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</si>
  <si>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</si>
  <si>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</si>
  <si>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</si>
  <si>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</si>
  <si>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</si>
  <si>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</si>
  <si>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</si>
  <si>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</si>
  <si>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</si>
  <si>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</si>
  <si>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</si>
  <si>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</si>
  <si>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</si>
  <si>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</si>
  <si>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</si>
  <si>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</si>
  <si>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</si>
  <si>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</si>
  <si>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</si>
  <si>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</si>
  <si>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</si>
  <si>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</si>
  <si>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</si>
  <si>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</si>
  <si>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</si>
  <si>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</si>
  <si>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</si>
  <si>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</si>
  <si>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</si>
  <si>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</si>
  <si>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</si>
  <si>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</si>
  <si>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</si>
  <si>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</si>
  <si>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</si>
  <si>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</si>
  <si>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</si>
  <si>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</si>
  <si>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</si>
  <si>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</si>
  <si>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</si>
  <si>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</si>
  <si>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</si>
  <si>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</si>
  <si>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</si>
  <si>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</si>
  <si>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</si>
  <si>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</si>
  <si>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</si>
  <si>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</si>
  <si>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</si>
  <si>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</si>
  <si>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</si>
  <si>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</si>
  <si>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</si>
  <si>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</si>
  <si>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</si>
  <si>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</si>
  <si>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</si>
  <si>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</si>
  <si>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</si>
  <si>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</si>
  <si>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</si>
  <si>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</si>
  <si>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</si>
  <si>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</si>
  <si>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</si>
  <si>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</si>
  <si>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</si>
  <si>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</si>
  <si>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</si>
  <si>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</si>
  <si>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</si>
  <si>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</si>
  <si>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</si>
  <si>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</si>
  <si>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</si>
  <si>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</si>
  <si>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</si>
  <si>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</si>
  <si>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</si>
  <si>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</si>
  <si>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</si>
  <si>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</si>
  <si>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</si>
  <si>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</si>
  <si>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</si>
  <si>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</si>
  <si>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</si>
  <si>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</si>
  <si>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</si>
  <si>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</si>
  <si>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</si>
  <si>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</si>
  <si>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</si>
  <si>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</si>
  <si>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</si>
  <si>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</si>
  <si>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</si>
  <si>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</si>
  <si>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</si>
  <si>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</si>
  <si>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</si>
  <si>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</si>
  <si>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</si>
  <si>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</si>
  <si>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</si>
  <si>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</si>
  <si>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</si>
  <si>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</si>
  <si>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</si>
  <si>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</si>
  <si>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</si>
  <si>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</si>
  <si>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</si>
  <si>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</si>
  <si>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</si>
  <si>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</si>
  <si>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</si>
  <si>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</si>
  <si>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</si>
  <si>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</si>
  <si>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</si>
  <si>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</si>
  <si>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</si>
  <si>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</si>
  <si>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</si>
  <si>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</si>
  <si>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</si>
  <si>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</si>
  <si>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</si>
  <si>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</si>
  <si>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</si>
  <si>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</si>
  <si>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</si>
  <si>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</si>
  <si>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</si>
  <si>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</si>
  <si>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</si>
  <si>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</si>
  <si>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</si>
  <si>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</si>
  <si>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</si>
  <si>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</si>
  <si>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</si>
  <si>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</si>
  <si>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</si>
  <si>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</si>
  <si>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</si>
  <si>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</si>
  <si>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</si>
  <si>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</si>
  <si>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</si>
  <si>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</si>
  <si>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</si>
  <si>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</si>
  <si>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</si>
  <si>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</si>
  <si>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</si>
  <si>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</si>
  <si>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</si>
  <si>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</si>
  <si>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</si>
  <si>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</si>
  <si>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</si>
  <si>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</si>
  <si>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</si>
  <si>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</si>
  <si>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</si>
  <si>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</si>
  <si>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</si>
  <si>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</si>
  <si>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</si>
  <si>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</si>
  <si>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</si>
  <si>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</si>
  <si>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</si>
  <si>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</si>
  <si>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</si>
  <si>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</si>
  <si>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</si>
  <si>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</si>
  <si>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</si>
  <si>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</si>
  <si>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</si>
  <si>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</si>
  <si>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</si>
  <si>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</si>
  <si>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</si>
  <si>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</si>
  <si>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</si>
  <si>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</si>
  <si>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</si>
  <si>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</si>
  <si>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</si>
  <si>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</si>
  <si>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</si>
  <si>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</si>
  <si>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</si>
  <si>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</si>
  <si>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</si>
  <si>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</si>
  <si>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</si>
  <si>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</si>
  <si>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</si>
  <si>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</si>
  <si>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</si>
  <si>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</si>
  <si>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</si>
  <si>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</si>
  <si>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</si>
  <si>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</si>
  <si>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</si>
  <si>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</si>
  <si>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</si>
  <si>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</si>
  <si>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</si>
  <si>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</si>
  <si>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</si>
  <si>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</si>
  <si>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</si>
  <si>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</si>
  <si>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</si>
  <si>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</si>
  <si>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</si>
  <si>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</si>
  <si>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</si>
  <si>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</si>
  <si>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</si>
  <si>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</si>
  <si>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</si>
  <si>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</si>
  <si>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</si>
  <si>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</si>
  <si>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</si>
  <si>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</si>
  <si>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</si>
  <si>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</si>
  <si>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</si>
  <si>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</si>
  <si>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</si>
  <si>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</si>
  <si>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</si>
  <si>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</si>
  <si>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</si>
  <si>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</si>
  <si>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</si>
  <si>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</si>
  <si>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</si>
  <si>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</si>
  <si>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</si>
  <si>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</si>
  <si>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</si>
  <si>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</si>
  <si>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</si>
  <si>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</si>
  <si>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</si>
  <si>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</si>
  <si>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</si>
  <si>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</si>
  <si>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</si>
  <si>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</si>
  <si>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</si>
  <si>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</si>
  <si>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</si>
  <si>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</si>
  <si>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</si>
  <si>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</si>
  <si>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</si>
  <si>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</si>
  <si>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</si>
  <si>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</si>
  <si>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</si>
  <si>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</si>
  <si>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</si>
  <si>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</si>
  <si>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</si>
  <si>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</si>
  <si>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</si>
  <si>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</si>
  <si>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</si>
  <si>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</si>
  <si>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</si>
  <si>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</si>
  <si>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</si>
  <si>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</si>
  <si>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Building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</si>
  <si>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</si>
  <si>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</si>
  <si>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</si>
  <si>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</si>
  <si>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</si>
  <si>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</si>
  <si>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</si>
  <si>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</si>
  <si>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</si>
  <si>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</si>
  <si>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</si>
  <si>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</si>
  <si>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</si>
  <si>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</si>
  <si>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</si>
  <si>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</si>
  <si>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</si>
  <si>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</si>
  <si>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</si>
  <si>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</si>
  <si>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</si>
  <si>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</si>
  <si>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</si>
  <si>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</si>
  <si>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</si>
  <si>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</si>
  <si>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</si>
  <si>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</si>
  <si>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</si>
  <si>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</si>
  <si>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</si>
  <si>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Totals</t>
  </si>
  <si>
    <t>T</t>
  </si>
  <si>
    <t>GoupTen Technology</t>
  </si>
  <si>
    <t>Gurgoan</t>
  </si>
  <si>
    <t>Exclude</t>
  </si>
  <si>
    <t>Delhi</t>
  </si>
  <si>
    <t>08-31-2018</t>
  </si>
  <si>
    <t>NewDelhi</t>
  </si>
  <si>
    <t>TEST</t>
  </si>
  <si>
    <t>Gurugram</t>
  </si>
  <si>
    <t>TEST 2</t>
  </si>
  <si>
    <t>Goa</t>
  </si>
  <si>
    <t>Hyd</t>
  </si>
  <si>
    <t>01-31-2019</t>
  </si>
  <si>
    <t>AnalyticsEnergyMeter</t>
  </si>
  <si>
    <t xml:space="preserve">AnalyticsWaterMeter </t>
  </si>
  <si>
    <t>Generated onsite 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</si>
</sst>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* #,##0.00_);_(* \(#,##0.00\);_(* &quot;-&quot;??_);_(@_)"/>
    <numFmt numFmtId="165" formatCode="#,##0.00_ ;\-#,##0.00\ "/>
    <numFmt numFmtId="166" formatCode="mm/dd/yyyy"/>
    <numFmt numFmtId="167" formatCode="[$-F400]h:mm:ss\ AM/PM"/>
    <numFmt numFmtId="168" formatCode="0.0"/>
    <numFmt numFmtId="169" formatCode="0.00_ ;\-0.00\ "/>
    <numFmt numFmtId="170" formatCode="0.00;[Red]0.00"/>
    <numFmt numFmtId="171" formatCode="0;[Red]0"/>
    <numFmt numFmtId="172" formatCode="h:mm;@"/>
    <numFmt numFmtId="173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5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6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7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8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9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7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6" fontId="8" fillId="3" borderId="10" xfId="0" applyNumberFormat="1" applyFont="1" applyFill="1" applyBorder="1" applyAlignment="1" applyProtection="1">
      <alignment horizontal="left" vertical="center"/>
      <protection locked="0"/>
    </xf>
    <xf numFmtId="170" fontId="8" fillId="3" borderId="17" xfId="0" applyNumberFormat="1" applyFont="1" applyFill="1" applyBorder="1" applyAlignment="1" applyProtection="1">
      <alignment horizontal="right" vertical="center"/>
      <protection locked="0"/>
    </xf>
    <xf numFmtId="170" fontId="4" fillId="0" borderId="23" xfId="0" applyNumberFormat="1" applyFont="1" applyBorder="1" applyAlignment="1">
      <alignment horizontal="right" vertical="center"/>
    </xf>
    <xf numFmtId="170" fontId="3" fillId="0" borderId="0" xfId="0" applyNumberFormat="1" applyFont="1" applyAlignment="1">
      <alignment horizontal="left" vertical="center"/>
    </xf>
    <xf numFmtId="170" fontId="4" fillId="0" borderId="12" xfId="0" applyNumberFormat="1" applyFont="1" applyBorder="1" applyAlignment="1">
      <alignment horizontal="right" vertical="center"/>
    </xf>
    <xf numFmtId="170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6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6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1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2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3" fontId="4" fillId="0" borderId="52" xfId="8" applyNumberFormat="1" applyFont="1" applyBorder="1" applyAlignment="1" applyProtection="1">
      <alignment horizontal="right" vertical="center" indent="1"/>
      <protection hidden="1"/>
    </xf>
    <xf numFmtId="166" fontId="2" fillId="3" borderId="12" xfId="0" applyNumberFormat="1" applyFont="1" applyFill="1" applyBorder="1" applyProtection="1"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0" borderId="0" xfId="1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left" vertical="center" indent="1"/>
    </xf>
    <xf numFmtId="0" fontId="2" fillId="6" borderId="58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9525</xdr:rowOff>
        </xdr:from>
        <xdr:to>
          <xdr:col>2</xdr:col>
          <xdr:colOff>447675</xdr:colOff>
          <xdr:row>9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9</xdr:row>
          <xdr:rowOff>400050</xdr:rowOff>
        </xdr:from>
        <xdr:to>
          <xdr:col>3</xdr:col>
          <xdr:colOff>981075</xdr:colOff>
          <xdr:row>11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4</xdr:row>
          <xdr:rowOff>152400</xdr:rowOff>
        </xdr:from>
        <xdr:to>
          <xdr:col>4</xdr:col>
          <xdr:colOff>962025</xdr:colOff>
          <xdr:row>4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6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28575</xdr:rowOff>
        </xdr:from>
        <xdr:to>
          <xdr:col>2</xdr:col>
          <xdr:colOff>466725</xdr:colOff>
          <xdr:row>9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9</xdr:row>
          <xdr:rowOff>352425</xdr:rowOff>
        </xdr:from>
        <xdr:to>
          <xdr:col>3</xdr:col>
          <xdr:colOff>990600</xdr:colOff>
          <xdr:row>11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4</xdr:row>
          <xdr:rowOff>133350</xdr:rowOff>
        </xdr:from>
        <xdr:to>
          <xdr:col>4</xdr:col>
          <xdr:colOff>885825</xdr:colOff>
          <xdr:row>4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9</xdr:row>
          <xdr:rowOff>9525</xdr:rowOff>
        </xdr:from>
        <xdr:to>
          <xdr:col>3</xdr:col>
          <xdr:colOff>1200150</xdr:colOff>
          <xdr:row>9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9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148B70A9-C0DA-4C4B-BFFD-A30E41B204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5F296EC1-6FB4-481D-B5FC-0642AE225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FC039813-2558-492E-9082-E7ED615D1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DF5746E2-7670-4A74-AB9B-B1F0968D7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12B49B1A-488A-4E20-B3EE-19D52C491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DBD79C37-435E-4C69-8C7A-E8A567225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BC8AC4D1-1E18-4A73-9427-33122882D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DB7A5664-D205-46AE-AED1-EE5FDD902A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3B883704-F9CE-41C3-B231-2126EAC3C6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EDCEBD06-8097-4C65-9702-7482F57D5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7582A420-0F3F-4BC9-8192-8D01D1C3D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B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C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D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F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0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1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2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3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topLeftCell="A5" zoomScale="90" zoomScaleNormal="90" workbookViewId="0">
      <selection activeCell="F9" sqref="F9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7" t="s">
        <v>704</v>
      </c>
      <c r="D3" s="198"/>
      <c r="E3" s="198"/>
      <c r="F3" s="198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705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731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706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707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708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199" t="s">
        <v>709</v>
      </c>
      <c r="E23" s="199"/>
      <c r="F23" s="199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199" t="s">
        <v>710</v>
      </c>
      <c r="E24" s="199"/>
      <c r="F24" s="199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711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712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703</v>
      </c>
      <c r="K37" s="90" t="s">
        <v>725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sheetProtection algorithmName="SHA-512" hashValue="XicdKPxKNUbGzctV/XVhYxX3h413d62peW8THMD0qqnga+fZUoknGtNCP6Rt7TZiqcnJDqUlFd7KmUNAkqgkSQ==" saltValue="Ti7C6n922WwKezbQsd2AQg==" spinCount="100000" sheet="1" objects="1" scenarios="1"/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topLeftCell="A43" zoomScale="90" zoomScaleNormal="90" workbookViewId="0">
      <pane xSplit="4" topLeftCell="E1" activePane="topRight" state="frozen"/>
      <selection pane="topRight" activeCell="B36" sqref="B36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customWidth="1"/>
    <col min="15" max="17" width="16.140625" style="104" customWidth="1"/>
    <col min="18" max="18" width="33.140625" style="104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00" t="s">
        <v>593</v>
      </c>
      <c r="C4" s="200"/>
      <c r="D4" s="200"/>
      <c r="E4" s="200"/>
      <c r="F4" s="200"/>
      <c r="G4" s="200"/>
      <c r="H4" s="200"/>
      <c r="I4" s="200"/>
      <c r="J4" s="200"/>
      <c r="K4" s="168"/>
    </row>
    <row r="5" spans="1:19" ht="30" customHeight="1" x14ac:dyDescent="0.2">
      <c r="A5" s="142" t="s">
        <v>736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8" t="s">
        <v>732</v>
      </c>
      <c r="O5" s="209"/>
      <c r="P5" s="209"/>
      <c r="Q5" s="209"/>
      <c r="R5" s="210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713</v>
      </c>
      <c r="H6" s="110" t="s">
        <v>599</v>
      </c>
      <c r="I6" s="111" t="s">
        <v>734</v>
      </c>
      <c r="J6" s="112" t="s">
        <v>600</v>
      </c>
      <c r="K6" s="171" t="s">
        <v>714</v>
      </c>
      <c r="L6" s="113" t="s">
        <v>601</v>
      </c>
      <c r="M6" s="187"/>
      <c r="N6" s="171" t="s">
        <v>715</v>
      </c>
      <c r="O6" s="171" t="s">
        <v>716</v>
      </c>
      <c r="P6" s="171" t="s">
        <v>717</v>
      </c>
      <c r="Q6" s="171" t="s">
        <v>718</v>
      </c>
      <c r="R6" s="171" t="s">
        <v>719</v>
      </c>
      <c r="S6" s="139"/>
    </row>
    <row r="7" spans="1:19" ht="15" customHeight="1" x14ac:dyDescent="0.2">
      <c r="A7" s="114"/>
      <c r="B7" s="115" t="s">
        <v>737</v>
      </c>
      <c r="C7" s="118" t="s">
        <v>620</v>
      </c>
      <c r="D7" s="117">
        <v>1000</v>
      </c>
      <c r="E7" s="116">
        <v>100</v>
      </c>
      <c r="F7" s="116">
        <v>5</v>
      </c>
      <c r="G7" s="116"/>
      <c r="H7" s="116">
        <v>4</v>
      </c>
      <c r="I7" s="192"/>
      <c r="J7" s="190">
        <v>4</v>
      </c>
      <c r="K7" s="169">
        <f>G7*H7</f>
        <v>0</v>
      </c>
      <c r="L7" s="104">
        <f t="shared" ref="L7" si="0">E7*D7</f>
        <v>100000</v>
      </c>
      <c r="M7" s="186"/>
      <c r="N7" s="182" t="s">
        <v>720</v>
      </c>
      <c r="O7" s="183" t="s">
        <v>720</v>
      </c>
      <c r="P7" s="183" t="s">
        <v>720</v>
      </c>
      <c r="Q7" s="183" t="s">
        <v>720</v>
      </c>
      <c r="R7" s="183" t="s">
        <v>720</v>
      </c>
    </row>
    <row r="8" spans="1:19" ht="15" customHeight="1" x14ac:dyDescent="0.2">
      <c r="A8" s="114">
        <v>0</v>
      </c>
      <c r="B8" s="115" t="s">
        <v>738</v>
      </c>
      <c r="C8" s="118" t="s">
        <v>619</v>
      </c>
      <c r="D8" s="117">
        <v>1000</v>
      </c>
      <c r="E8" s="116"/>
      <c r="F8" s="116"/>
      <c r="G8" s="116"/>
      <c r="H8" s="116"/>
      <c r="I8" s="192"/>
      <c r="J8" s="190" t="str">
        <f t="shared" ref="J8:J18" si="1">IFERROR((K8/E8)*(I8*24)," ")</f>
        <v xml:space="preserve"> </v>
      </c>
      <c r="K8" s="169">
        <f t="shared" ref="K8:K18" si="2">G8*H8</f>
        <v>0</v>
      </c>
      <c r="L8" s="104">
        <f t="shared" ref="L8:L16" si="3">E8*D8</f>
        <v>0</v>
      </c>
      <c r="M8" s="186"/>
      <c r="N8" s="183" t="s">
        <v>739</v>
      </c>
      <c r="O8" s="183" t="s">
        <v>720</v>
      </c>
      <c r="P8" s="183" t="s">
        <v>720</v>
      </c>
      <c r="Q8" s="183" t="s">
        <v>720</v>
      </c>
      <c r="R8" s="183" t="s">
        <v>720</v>
      </c>
    </row>
    <row r="9" spans="1:19" ht="15" customHeight="1" x14ac:dyDescent="0.2">
      <c r="A9" s="114">
        <v>0</v>
      </c>
      <c r="B9" s="115" t="s">
        <v>740</v>
      </c>
      <c r="C9" s="118" t="s">
        <v>616</v>
      </c>
      <c r="D9" s="117">
        <v>1000</v>
      </c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739</v>
      </c>
      <c r="O9" s="183" t="s">
        <v>739</v>
      </c>
      <c r="P9" s="183" t="s">
        <v>720</v>
      </c>
      <c r="Q9" s="183" t="s">
        <v>720</v>
      </c>
      <c r="R9" s="183" t="s">
        <v>720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/>
      <c r="K10" s="169">
        <f t="shared" si="2"/>
        <v>0</v>
      </c>
      <c r="L10" s="104">
        <f t="shared" si="3"/>
        <v>0</v>
      </c>
      <c r="N10" s="183" t="s">
        <v>720</v>
      </c>
      <c r="O10" s="183" t="s">
        <v>720</v>
      </c>
      <c r="P10" s="183" t="s">
        <v>720</v>
      </c>
      <c r="Q10" s="183" t="s">
        <v>720</v>
      </c>
      <c r="R10" s="183" t="s">
        <v>720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/>
      <c r="K11" s="169">
        <f t="shared" si="2"/>
        <v>0</v>
      </c>
      <c r="L11" s="104">
        <f t="shared" si="3"/>
        <v>0</v>
      </c>
      <c r="N11" s="183" t="s">
        <v>720</v>
      </c>
      <c r="O11" s="183" t="s">
        <v>720</v>
      </c>
      <c r="P11" s="183" t="s">
        <v>720</v>
      </c>
      <c r="Q11" s="183" t="s">
        <v>720</v>
      </c>
      <c r="R11" s="183" t="s">
        <v>720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720</v>
      </c>
      <c r="O12" s="183" t="s">
        <v>720</v>
      </c>
      <c r="P12" s="183" t="s">
        <v>720</v>
      </c>
      <c r="Q12" s="183" t="s">
        <v>720</v>
      </c>
      <c r="R12" s="183" t="s">
        <v>720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720</v>
      </c>
      <c r="O13" s="183" t="s">
        <v>720</v>
      </c>
      <c r="P13" s="183" t="s">
        <v>720</v>
      </c>
      <c r="Q13" s="183" t="s">
        <v>720</v>
      </c>
      <c r="R13" s="183" t="s">
        <v>720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720</v>
      </c>
      <c r="O14" s="183" t="s">
        <v>720</v>
      </c>
      <c r="P14" s="183" t="s">
        <v>720</v>
      </c>
      <c r="Q14" s="183" t="s">
        <v>720</v>
      </c>
      <c r="R14" s="183" t="s">
        <v>720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720</v>
      </c>
      <c r="O15" s="183" t="s">
        <v>720</v>
      </c>
      <c r="P15" s="183" t="s">
        <v>720</v>
      </c>
      <c r="Q15" s="183" t="s">
        <v>720</v>
      </c>
      <c r="R15" s="183" t="s">
        <v>720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720</v>
      </c>
      <c r="O16" s="183" t="s">
        <v>720</v>
      </c>
      <c r="P16" s="183" t="s">
        <v>720</v>
      </c>
      <c r="Q16" s="183" t="s">
        <v>720</v>
      </c>
      <c r="R16" s="183" t="s">
        <v>720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720</v>
      </c>
      <c r="O17" s="183" t="s">
        <v>720</v>
      </c>
      <c r="P17" s="183" t="s">
        <v>720</v>
      </c>
      <c r="Q17" s="183" t="s">
        <v>720</v>
      </c>
      <c r="R17" s="183" t="s">
        <v>720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720</v>
      </c>
      <c r="O18" s="183" t="s">
        <v>720</v>
      </c>
      <c r="P18" s="183" t="s">
        <v>720</v>
      </c>
      <c r="Q18" s="183" t="s">
        <v>720</v>
      </c>
      <c r="R18" s="183" t="s">
        <v>720</v>
      </c>
    </row>
    <row r="19" spans="1:18" ht="20.25" customHeight="1" x14ac:dyDescent="0.2">
      <c r="A19" s="114" t="s">
        <v>545</v>
      </c>
      <c r="B19" s="201" t="s">
        <v>735</v>
      </c>
      <c r="C19" s="202"/>
      <c r="D19" s="158">
        <f>IFERROR(SUM(D7:D18)," ")</f>
        <v>3000</v>
      </c>
      <c r="E19" s="119">
        <f t="shared" ref="E19:J19" si="5">SUM(E7:E18)</f>
        <v>100</v>
      </c>
      <c r="F19" s="119">
        <f t="shared" si="5"/>
        <v>5</v>
      </c>
      <c r="G19" s="119">
        <f t="shared" si="5"/>
        <v>0</v>
      </c>
      <c r="H19" s="119">
        <f t="shared" si="5"/>
        <v>4</v>
      </c>
      <c r="I19" s="193">
        <f>SUM(I7:I18)</f>
        <v>0</v>
      </c>
      <c r="J19" s="191">
        <f t="shared" si="5"/>
        <v>4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733</v>
      </c>
    </row>
    <row r="24" spans="1:18" x14ac:dyDescent="0.2">
      <c r="A24" s="143"/>
      <c r="B24" s="203" t="str">
        <f>CONCATENATE("Gross 
Floor Area 
",IF(Instructions!$F$9="SI Units","(sq m)","(sq ft)"))</f>
        <v>Gross 
Floor Area 
(sq ft)</v>
      </c>
      <c r="C24" s="204"/>
      <c r="D24" s="156">
        <f>IFERROR(D19," ")</f>
        <v>3000</v>
      </c>
      <c r="F24" s="205"/>
      <c r="G24" s="205"/>
      <c r="H24" s="205"/>
      <c r="I24" s="205"/>
      <c r="L24" s="144"/>
    </row>
    <row r="25" spans="1:18" x14ac:dyDescent="0.2">
      <c r="A25" s="143"/>
      <c r="B25" s="206" t="s">
        <v>602</v>
      </c>
      <c r="C25" s="207"/>
      <c r="D25" s="157">
        <f>IFERROR(ROUND(SUM(L7:L18)/D19, 0)," ")</f>
        <v>33</v>
      </c>
      <c r="F25" s="177"/>
      <c r="G25" s="177"/>
      <c r="H25" s="177"/>
      <c r="I25" s="177"/>
    </row>
    <row r="26" spans="1:18" x14ac:dyDescent="0.2">
      <c r="A26" s="143"/>
      <c r="B26" s="174" t="s">
        <v>721</v>
      </c>
      <c r="C26" s="165"/>
      <c r="D26" s="120">
        <f>F19</f>
        <v>5</v>
      </c>
      <c r="F26" s="177"/>
      <c r="G26" s="177"/>
      <c r="H26" s="177"/>
      <c r="I26" s="177"/>
    </row>
    <row r="27" spans="1:18" x14ac:dyDescent="0.2">
      <c r="A27" s="143"/>
      <c r="B27" s="174" t="s">
        <v>722</v>
      </c>
      <c r="C27" s="165"/>
      <c r="D27" s="120">
        <f>ROUND(J19,0)</f>
        <v>4</v>
      </c>
      <c r="F27" s="179"/>
      <c r="G27" s="179"/>
      <c r="H27" s="177"/>
      <c r="I27" s="177"/>
    </row>
    <row r="28" spans="1:18" x14ac:dyDescent="0.2">
      <c r="A28" s="143"/>
      <c r="B28" s="213" t="s">
        <v>603</v>
      </c>
      <c r="C28" s="214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1" t="s">
        <v>723</v>
      </c>
      <c r="C30" s="212"/>
      <c r="D30" s="194">
        <v>43101</v>
      </c>
    </row>
    <row r="32" spans="1:18" x14ac:dyDescent="0.2">
      <c r="B32" s="176" t="s">
        <v>724</v>
      </c>
    </row>
    <row r="36" spans="2:4" x14ac:dyDescent="0.2">
      <c r="B36" s="104" t="s">
        <v>726</v>
      </c>
    </row>
    <row r="38" spans="2:4" x14ac:dyDescent="0.2">
      <c r="B38" s="203" t="str">
        <f>CONCATENATE("Gross 
Floor Area 
",IF(Instructions!$F$9="SI Units","(sq m)","(sq ft)"))</f>
        <v>Gross 
Floor Area 
(sq ft)</v>
      </c>
      <c r="C38" s="204"/>
      <c r="D38" s="156">
        <v>1000</v>
      </c>
    </row>
    <row r="39" spans="2:4" x14ac:dyDescent="0.2">
      <c r="B39" s="207" t="s">
        <v>602</v>
      </c>
      <c r="C39" s="207"/>
      <c r="D39" s="157">
        <v>100</v>
      </c>
    </row>
    <row r="40" spans="2:4" x14ac:dyDescent="0.2">
      <c r="B40" s="213" t="s">
        <v>603</v>
      </c>
      <c r="C40" s="214"/>
      <c r="D40" s="157">
        <v>9</v>
      </c>
    </row>
    <row r="42" spans="2:4" x14ac:dyDescent="0.2">
      <c r="B42" s="104" t="s">
        <v>727</v>
      </c>
    </row>
    <row r="44" spans="2:4" x14ac:dyDescent="0.2">
      <c r="B44" s="203" t="str">
        <f>CONCATENATE("Gross 
Floor Area 
",IF(Instructions!$F$9="SI Units","(sq m)","(sq ft)"))</f>
        <v>Gross 
Floor Area 
(sq ft)</v>
      </c>
      <c r="C44" s="204"/>
      <c r="D44" s="156">
        <v>2000</v>
      </c>
    </row>
    <row r="45" spans="2:4" x14ac:dyDescent="0.2">
      <c r="B45" s="207" t="s">
        <v>602</v>
      </c>
      <c r="C45" s="207"/>
      <c r="D45" s="157">
        <v>50</v>
      </c>
    </row>
    <row r="46" spans="2:4" x14ac:dyDescent="0.2">
      <c r="B46" s="213" t="s">
        <v>603</v>
      </c>
      <c r="C46" s="214"/>
      <c r="D46" s="157">
        <v>9</v>
      </c>
    </row>
    <row r="48" spans="2:4" x14ac:dyDescent="0.2">
      <c r="B48" s="104" t="s">
        <v>728</v>
      </c>
    </row>
    <row r="50" spans="2:4" x14ac:dyDescent="0.2">
      <c r="B50" s="203" t="str">
        <f>CONCATENATE("Gross 
Floor Area 
",IF(Instructions!$F$9="SI Units","(sq m)","(sq ft)"))</f>
        <v>Gross 
Floor Area 
(sq ft)</v>
      </c>
      <c r="C50" s="204"/>
      <c r="D50" s="156">
        <v>3000</v>
      </c>
    </row>
    <row r="51" spans="2:4" x14ac:dyDescent="0.2">
      <c r="B51" s="207" t="s">
        <v>602</v>
      </c>
      <c r="C51" s="207"/>
      <c r="D51" s="157">
        <v>33.333333333333336</v>
      </c>
    </row>
    <row r="52" spans="2:4" x14ac:dyDescent="0.2">
      <c r="B52" s="213" t="s">
        <v>603</v>
      </c>
      <c r="C52" s="214"/>
      <c r="D52" s="157">
        <v>9</v>
      </c>
    </row>
    <row r="54" spans="2:4" x14ac:dyDescent="0.2">
      <c r="B54" s="104" t="s">
        <v>729</v>
      </c>
    </row>
    <row r="56" spans="2:4" x14ac:dyDescent="0.2">
      <c r="B56" s="181" t="s">
        <v>721</v>
      </c>
      <c r="C56" s="165"/>
      <c r="D56" s="120">
        <v>5</v>
      </c>
    </row>
    <row r="57" spans="2:4" x14ac:dyDescent="0.2">
      <c r="B57" s="181" t="s">
        <v>722</v>
      </c>
      <c r="C57" s="165"/>
      <c r="D57" s="120">
        <v>4</v>
      </c>
    </row>
    <row r="58" spans="2:4" x14ac:dyDescent="0.2">
      <c r="B58" s="213" t="s">
        <v>603</v>
      </c>
      <c r="C58" s="214"/>
      <c r="D58" s="157">
        <v>9</v>
      </c>
    </row>
    <row r="60" spans="2:4" x14ac:dyDescent="0.2">
      <c r="B60" s="104" t="s">
        <v>730</v>
      </c>
    </row>
    <row r="62" spans="2:4" x14ac:dyDescent="0.2">
      <c r="B62" s="181" t="s">
        <v>721</v>
      </c>
      <c r="C62" s="165"/>
      <c r="D62" s="120">
        <v>5</v>
      </c>
    </row>
    <row r="63" spans="2:4" x14ac:dyDescent="0.2">
      <c r="B63" s="181" t="s">
        <v>722</v>
      </c>
      <c r="C63" s="165"/>
      <c r="D63" s="120">
        <v>4</v>
      </c>
    </row>
    <row r="64" spans="2:4" x14ac:dyDescent="0.2">
      <c r="B64" s="213" t="s">
        <v>603</v>
      </c>
      <c r="C64" s="214"/>
      <c r="D64" s="157">
        <v>9</v>
      </c>
    </row>
  </sheetData>
  <sheetProtection algorithmName="SHA-512" hashValue="chcyFsZigWCFI97NIUJFeypsG96YABevM/oq2rRjCkozbF8HnRVlTcaXYDQXAWg+iBU9vidcwcw+2sNvqIboCQ==" saltValue="z4H9TB5erPJ4WYxRK8O8XA==" spinCount="100000" sheet="1" objects="1" scenarios="1"/>
  <mergeCells count="20"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  <mergeCell ref="N5:R5"/>
    <mergeCell ref="F24:G24"/>
    <mergeCell ref="B30:C30"/>
    <mergeCell ref="B38:C38"/>
    <mergeCell ref="B39:C39"/>
    <mergeCell ref="B28:C28"/>
    <mergeCell ref="B4:J4"/>
    <mergeCell ref="B19:C19"/>
    <mergeCell ref="B24:C24"/>
    <mergeCell ref="H24:I24"/>
    <mergeCell ref="B25:C25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7" t="s">
        <v>563</v>
      </c>
      <c r="C2" s="218"/>
      <c r="D2" s="32" t="s">
        <v>592</v>
      </c>
      <c r="E2" s="1"/>
    </row>
    <row r="3" spans="1:6" x14ac:dyDescent="0.25">
      <c r="A3" s="4" t="s">
        <v>590</v>
      </c>
      <c r="B3" s="215" t="s">
        <v>679</v>
      </c>
      <c r="C3" s="216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12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>INDEX(Dates,1,E7)</f>
        <v>43108</v>
      </c>
      <c r="C7" s="52">
        <f t="shared" ref="C7" si="0">B7</f>
        <v>43108</v>
      </c>
      <c r="D7" s="53">
        <f>HLOOKUP(B7,ReadingTable,2,FALSE)</f>
        <v>50.11</v>
      </c>
      <c r="E7" s="68">
        <f>IF(E6="",7,E6+1)</f>
        <v>7</v>
      </c>
    </row>
    <row r="8" spans="1:6" x14ac:dyDescent="0.25">
      <c r="A8" s="4" t="s">
        <v>545</v>
      </c>
      <c r="B8" s="1"/>
      <c r="C8" s="1"/>
      <c r="D8" s="1"/>
      <c r="E8" s="1"/>
    </row>
    <row r="9" spans="1:6" x14ac:dyDescent="0.25">
      <c r="A9" s="4"/>
      <c r="B9" s="1"/>
      <c r="C9" s="1"/>
      <c r="D9" s="1"/>
      <c r="E9" s="1"/>
    </row>
    <row r="10" spans="1:6" ht="36.6" customHeight="1" x14ac:dyDescent="0.25">
      <c r="A10" s="4" t="s">
        <v>545</v>
      </c>
      <c r="B10" s="24"/>
      <c r="C10" s="24"/>
      <c r="D10" s="24"/>
      <c r="E10" s="1"/>
    </row>
  </sheetData>
  <sheetProtection algorithmName="SHA-512" hashValue="8Q8pr0wqxaEpGsGMyO9eWx6Nedily2SHZxy8cQilpgk0Ncrfy8Oj8eloep5zALIm7fPIBAkGIinDciBm4kmtTA==" saltValue="r51xLDJzp4sfRX0OUKiHJ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7" xr:uid="{00000000-0002-0000-0500-000001000000}">
      <formula1>1</formula1>
      <formula2>73051</formula2>
    </dataValidation>
    <dataValidation type="decimal" allowBlank="1" showInputMessage="1" showErrorMessage="1" error="Please enter a valid reading." sqref="D7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2</xdr:col>
                    <xdr:colOff>447675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9</xdr:row>
                    <xdr:rowOff>400050</xdr:rowOff>
                  </from>
                  <to>
                    <xdr:col>3</xdr:col>
                    <xdr:colOff>981075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zoomScale="90" zoomScaleNormal="90" workbookViewId="0">
      <pane ySplit="2" topLeftCell="A4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612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8" x14ac:dyDescent="0.25">
      <c r="B3" s="75" t="s">
        <v>742</v>
      </c>
      <c r="C3" s="76" t="s">
        <v>743</v>
      </c>
      <c r="D3" s="91">
        <v>43108</v>
      </c>
      <c r="E3" s="97">
        <v>0.375</v>
      </c>
      <c r="F3" s="92">
        <v>50.11</v>
      </c>
    </row>
    <row r="4" spans="1:8" x14ac:dyDescent="0.25">
      <c r="B4" s="75" t="s">
        <v>744</v>
      </c>
      <c r="C4" s="76" t="s">
        <v>745</v>
      </c>
      <c r="D4" s="91" t="s">
        <v>741</v>
      </c>
      <c r="E4" s="97">
        <v>0.41666666666666669</v>
      </c>
      <c r="F4" s="92">
        <v>100.11</v>
      </c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F6" s="60"/>
      <c r="G6" s="69">
        <f>IF(G8="",1,0)</f>
        <v>0</v>
      </c>
      <c r="H6" s="69">
        <f>IF(H8="",1,0)</f>
        <v>0</v>
      </c>
    </row>
    <row r="7" spans="1:8" ht="21" customHeight="1" x14ac:dyDescent="0.25">
      <c r="A7" s="38" t="s">
        <v>590</v>
      </c>
      <c r="B7" s="219"/>
      <c r="C7" s="61"/>
      <c r="D7" s="61"/>
      <c r="E7" s="61"/>
      <c r="F7" s="62"/>
      <c r="G7" s="47" t="s">
        <v>576</v>
      </c>
      <c r="H7" s="47" t="s">
        <v>576</v>
      </c>
    </row>
    <row r="8" spans="1:8" ht="15" customHeight="1" x14ac:dyDescent="0.25">
      <c r="A8" s="38" t="s">
        <v>590</v>
      </c>
      <c r="B8" s="220"/>
      <c r="C8" s="63"/>
      <c r="D8" s="63"/>
      <c r="E8" s="63"/>
      <c r="F8" s="64"/>
      <c r="G8" s="145">
        <f t="array" ref="G8">IFERROR(INDEX($D$3:$D$5, MATCH(0,IF(ISBLANK($D$3:$D$5),1,COUNTIF($F$8:F8, $D$3:$D$5)), 0)),"")</f>
        <v>43108</v>
      </c>
      <c r="H8" s="145" t="str">
        <f t="array" ref="H8">IFERROR(INDEX($D$3:$D$5, MATCH(0,IF(ISBLANK($D$3:$D$5),1,COUNTIF($F$8:G8, $D$3:$D$5)), 0)),"")</f>
        <v>08-31-2018</v>
      </c>
    </row>
    <row r="9" spans="1:8" ht="27.75" customHeight="1" x14ac:dyDescent="0.25">
      <c r="A9" s="38" t="s">
        <v>590</v>
      </c>
      <c r="B9" s="221"/>
      <c r="C9" s="65"/>
      <c r="D9" s="65"/>
      <c r="E9" s="65"/>
      <c r="F9" s="66"/>
      <c r="G9" s="71" t="s">
        <v>582</v>
      </c>
      <c r="H9" s="71" t="s">
        <v>582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NewDelhi</v>
      </c>
      <c r="C10" s="49"/>
      <c r="D10" s="49"/>
      <c r="E10" s="49"/>
      <c r="F10" s="58"/>
      <c r="G10" s="93">
        <f t="array" ref="G10">IFERROR(PERCENTILE(IF($B$3:$B$5=$B10,IF($D$3:$D$5=G$8,IF($F$3:$F$5&lt;&gt;"",$F$3:$F$5))),0.95),"")</f>
        <v>50.11</v>
      </c>
      <c r="H10" s="93" t="str">
        <f t="array" ref="H10">IFERROR(PERCENTILE(IF($B$3:$B$5=$B10,IF($D$3:$D$5=H$8,IF($F$3:$F$5&lt;&gt;"",$F$3:$F$5))),0.95),"")</f>
        <v/>
      </c>
    </row>
    <row r="11" spans="1:8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Gurugram</v>
      </c>
      <c r="C11" s="49"/>
      <c r="D11" s="49"/>
      <c r="E11" s="49"/>
      <c r="F11" s="58"/>
      <c r="G11" s="93" t="str">
        <f t="array" ref="G11">IFERROR(PERCENTILE(IF($B$3:$B$5=$B11,IF($D$3:$D$5=G$8,IF($F$3:$F$5&lt;&gt;"",$F$3:$F$5))),0.95),"")</f>
        <v/>
      </c>
      <c r="H11" s="93">
        <f t="array" ref="H11">IFERROR(PERCENTILE(IF($B$3:$B$5=$B11,IF($D$3:$D$5=H$8,IF($F$3:$F$5&lt;&gt;"",$F$3:$F$5))),0.95),"")</f>
        <v>100.11</v>
      </c>
    </row>
    <row r="12" spans="1:8" ht="9" customHeight="1" x14ac:dyDescent="0.25">
      <c r="G12" s="94"/>
      <c r="H12" s="94"/>
    </row>
    <row r="13" spans="1:8" ht="9" customHeight="1" x14ac:dyDescent="0.25">
      <c r="A13" s="38" t="s">
        <v>545</v>
      </c>
      <c r="G13" s="94"/>
      <c r="H13" s="94"/>
    </row>
    <row r="14" spans="1:8" ht="15" hidden="1" customHeight="1" x14ac:dyDescent="0.25">
      <c r="G14" s="72">
        <f>G8</f>
        <v>43108</v>
      </c>
      <c r="H14" s="72" t="str">
        <f>H8</f>
        <v>08-31-2018</v>
      </c>
    </row>
    <row r="15" spans="1:8" ht="20.25" customHeight="1" x14ac:dyDescent="0.25">
      <c r="B15" s="55" t="s">
        <v>579</v>
      </c>
      <c r="C15" s="56"/>
      <c r="D15" s="56"/>
      <c r="E15" s="56"/>
      <c r="F15" s="57"/>
      <c r="G15" s="95">
        <f>IFERROR(AVERAGE(G10:G13),0)</f>
        <v>50.11</v>
      </c>
      <c r="H15" s="95">
        <f>IFERROR(AVERAGE(H10:H13),0)</f>
        <v>100.11</v>
      </c>
    </row>
    <row r="16" spans="1:8" ht="24.75" customHeight="1" x14ac:dyDescent="0.25"/>
    <row r="17" spans="1:5" ht="28.5" hidden="1" customHeight="1" x14ac:dyDescent="0.25">
      <c r="A17" s="38">
        <v>10</v>
      </c>
      <c r="B17" s="50" t="s">
        <v>580</v>
      </c>
      <c r="C17" s="50"/>
      <c r="D17" s="50"/>
      <c r="E17" s="67"/>
    </row>
    <row r="18" spans="1:5" ht="15" hidden="1" customHeight="1" x14ac:dyDescent="0.25">
      <c r="A18" s="37">
        <f>IFERROR(IF(D18="",1,0),1)</f>
        <v>0</v>
      </c>
      <c r="B18" s="52">
        <f>INDEX(Dates,1,E18)</f>
        <v>43108</v>
      </c>
      <c r="C18" s="52">
        <f t="shared" ref="C18" si="1">B18</f>
        <v>43108</v>
      </c>
      <c r="D18" s="53">
        <f>HLOOKUP(B18,ReadingTable,2,FALSE)</f>
        <v>50.11</v>
      </c>
      <c r="E18" s="68">
        <f>IF(E17="",7,E17+1)</f>
        <v>7</v>
      </c>
    </row>
    <row r="19" spans="1:5" hidden="1" x14ac:dyDescent="0.25"/>
    <row r="20" spans="1:5" hidden="1" x14ac:dyDescent="0.25">
      <c r="B20" s="51" t="s">
        <v>578</v>
      </c>
      <c r="C20" s="51"/>
    </row>
    <row r="21" spans="1:5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0" t="s">
        <v>584</v>
      </c>
    </row>
    <row r="24" spans="1:5" ht="15" hidden="1" x14ac:dyDescent="0.25">
      <c r="A24" s="4"/>
      <c r="B24" s="35"/>
      <c r="C24" s="35"/>
      <c r="D24" s="70"/>
      <c r="E24" s="1"/>
    </row>
  </sheetData>
  <sheetProtection algorithmName="SHA-512" hashValue="7uqNlj9QwbWnxwz59BMP/zSbxbib90q699VR5J/0YPzQGvVLjJ6wmBCBdgCh3LZPwx+eQ44dxed8ouy5x/ulvw==" saltValue="3udbytOsuoV7we1Ubm6BYA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4</xdr:row>
                    <xdr:rowOff>152400</xdr:rowOff>
                  </from>
                  <to>
                    <xdr:col>4</xdr:col>
                    <xdr:colOff>962025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0"/>
  <sheetViews>
    <sheetView zoomScaleNormal="100" workbookViewId="0">
      <selection activeCell="B21" sqref="B21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7" t="s">
        <v>563</v>
      </c>
      <c r="C2" s="218"/>
      <c r="D2" s="31" t="s">
        <v>609</v>
      </c>
      <c r="E2" s="1"/>
    </row>
    <row r="3" spans="1:5" x14ac:dyDescent="0.25">
      <c r="A3" s="4" t="s">
        <v>590</v>
      </c>
      <c r="B3" s="215" t="s">
        <v>679</v>
      </c>
      <c r="C3" s="216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12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>INDEX(DatesVOC,1,E7)</f>
        <v>43110</v>
      </c>
      <c r="C7" s="52">
        <f t="shared" ref="C7" si="0">B7</f>
        <v>43110</v>
      </c>
      <c r="D7" s="53">
        <f t="array" ref="D7">HLOOKUP(B7,ReadingTableVOC,2,FALSE)</f>
        <v>100.11</v>
      </c>
      <c r="E7" s="68">
        <f>IF(E6="",8,E6+1)</f>
        <v>8</v>
      </c>
    </row>
    <row r="8" spans="1:5" ht="15" customHeight="1" x14ac:dyDescent="0.25">
      <c r="A8" s="4" t="s">
        <v>545</v>
      </c>
      <c r="B8" s="34"/>
      <c r="C8" s="34"/>
      <c r="D8" s="34"/>
      <c r="E8" s="1"/>
    </row>
    <row r="9" spans="1:5" ht="15" hidden="1" customHeight="1" x14ac:dyDescent="0.25">
      <c r="A9" s="4"/>
      <c r="B9" s="34"/>
      <c r="C9" s="34"/>
      <c r="D9" s="34"/>
      <c r="E9" s="1"/>
    </row>
    <row r="10" spans="1:5" ht="33.6" customHeight="1" x14ac:dyDescent="0.25">
      <c r="A10" s="4" t="s">
        <v>545</v>
      </c>
      <c r="B10" s="34"/>
      <c r="C10" s="34"/>
      <c r="D10" s="34"/>
      <c r="E10" s="1"/>
    </row>
  </sheetData>
  <sheetProtection algorithmName="SHA-512" hashValue="NCuhh6pUZ4CqXYd++yg2icAVl6AnGGtGUDJrvR99THS7Vm9U5sNo9wnyEmw+5d7/ch6H4hXmNVlTyH2VG4GKKg==" saltValue="2edP4g9PctHCEmjoJ9J8c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8:D10" xr:uid="{00000000-0002-0000-0700-000000000000}"/>
    <dataValidation type="decimal" allowBlank="1" showInputMessage="1" showErrorMessage="1" error="Please enter a valid reading." sqref="D7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7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9</xdr:row>
                    <xdr:rowOff>28575</xdr:rowOff>
                  </from>
                  <to>
                    <xdr:col>2</xdr:col>
                    <xdr:colOff>466725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9</xdr:row>
                    <xdr:rowOff>352425</xdr:rowOff>
                  </from>
                  <to>
                    <xdr:col>3</xdr:col>
                    <xdr:colOff>990600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"/>
  <sheetViews>
    <sheetView showGridLines="0" zoomScale="90" zoomScaleNormal="90" workbookViewId="0">
      <pane ySplit="2" topLeftCell="A3" activePane="bottomLeft" state="frozen"/>
      <selection activeCell="D7" sqref="D7"/>
      <selection pane="bottomLeft" activeCell="H6" sqref="H6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9" ht="36" customHeight="1" x14ac:dyDescent="0.25">
      <c r="A1" s="38" t="s">
        <v>590</v>
      </c>
      <c r="B1" s="40" t="s">
        <v>613</v>
      </c>
    </row>
    <row r="2" spans="1:9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9" x14ac:dyDescent="0.25">
      <c r="B3" s="75" t="s">
        <v>746</v>
      </c>
      <c r="C3" s="224">
        <v>43374</v>
      </c>
      <c r="D3" s="91">
        <v>43110</v>
      </c>
      <c r="E3" s="97">
        <v>0.375</v>
      </c>
      <c r="F3" s="98">
        <v>0.5</v>
      </c>
      <c r="G3" s="92">
        <v>100.11</v>
      </c>
    </row>
    <row r="4" spans="1:9" x14ac:dyDescent="0.25">
      <c r="B4" s="75" t="s">
        <v>747</v>
      </c>
      <c r="C4" s="224">
        <v>43435</v>
      </c>
      <c r="D4" s="91">
        <v>43111</v>
      </c>
      <c r="E4" s="97">
        <v>0.41666666666666669</v>
      </c>
      <c r="F4" s="98">
        <v>0.5</v>
      </c>
      <c r="G4" s="92">
        <v>80.11</v>
      </c>
      <c r="H4" s="46"/>
    </row>
    <row r="5" spans="1:9" ht="39" customHeight="1" x14ac:dyDescent="0.25"/>
    <row r="6" spans="1:9" s="59" customFormat="1" ht="51" customHeight="1" x14ac:dyDescent="0.2">
      <c r="A6" s="38" t="s">
        <v>581</v>
      </c>
      <c r="B6" s="40"/>
      <c r="G6" s="60"/>
      <c r="H6" s="69">
        <f>IF(H8="",1,0)</f>
        <v>0</v>
      </c>
      <c r="I6" s="69">
        <f>IF(I8="",1,0)</f>
        <v>0</v>
      </c>
    </row>
    <row r="7" spans="1:9" ht="21" customHeight="1" x14ac:dyDescent="0.25">
      <c r="A7" s="38" t="s">
        <v>590</v>
      </c>
      <c r="B7" s="219"/>
      <c r="C7" s="61"/>
      <c r="D7" s="61"/>
      <c r="E7" s="61"/>
      <c r="F7" s="61"/>
      <c r="G7" s="62"/>
      <c r="H7" s="47" t="s">
        <v>576</v>
      </c>
      <c r="I7" s="47" t="s">
        <v>576</v>
      </c>
    </row>
    <row r="8" spans="1:9" ht="15" customHeight="1" x14ac:dyDescent="0.25">
      <c r="A8" s="38" t="s">
        <v>590</v>
      </c>
      <c r="B8" s="220"/>
      <c r="C8" s="63"/>
      <c r="D8" s="63"/>
      <c r="E8" s="63"/>
      <c r="F8" s="63"/>
      <c r="G8" s="64"/>
      <c r="H8" s="145">
        <f t="array" ref="H8">IFERROR(INDEX($D$3:$D$5, MATCH(0,IF(ISBLANK($D$3:$D$5),1,COUNTIF($G$8:G8, $D$3:$D$5)), 0)),"")</f>
        <v>43110</v>
      </c>
      <c r="I8" s="145">
        <f t="array" ref="I8">IFERROR(INDEX($D$3:$D$5, MATCH(0,IF(ISBLANK($D$3:$D$5),1,COUNTIF($G$8:H8, $D$3:$D$5)), 0)),"")</f>
        <v>43111</v>
      </c>
    </row>
    <row r="9" spans="1:9" ht="27.75" customHeight="1" x14ac:dyDescent="0.25">
      <c r="A9" s="38" t="s">
        <v>590</v>
      </c>
      <c r="B9" s="221"/>
      <c r="C9" s="65"/>
      <c r="D9" s="65"/>
      <c r="E9" s="65"/>
      <c r="F9" s="65"/>
      <c r="G9" s="66"/>
      <c r="H9" s="74" t="s">
        <v>587</v>
      </c>
      <c r="I9" s="74" t="s">
        <v>587</v>
      </c>
    </row>
    <row r="10" spans="1:9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Goa</v>
      </c>
      <c r="C10" s="49"/>
      <c r="D10" s="49"/>
      <c r="E10" s="49"/>
      <c r="F10" s="49"/>
      <c r="G10" s="58"/>
      <c r="H10" s="93">
        <f t="array" ref="H10">IFERROR(AVERAGE(IF($B$3:$B$5=$B10,IF($D$3:$D$5=H$8,IF($G$3:$G$5&lt;&gt;"",$G$3:$G$5)))),"")</f>
        <v>100.11</v>
      </c>
      <c r="I10" s="93" t="str">
        <f t="array" ref="I10">IFERROR(AVERAGE(IF($B$3:$B$5=$B10,IF($D$3:$D$5=I$8,IF($G$3:$G$5&lt;&gt;"",$G$3:$G$5)))),"")</f>
        <v/>
      </c>
    </row>
    <row r="11" spans="1:9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Hyd</v>
      </c>
      <c r="C11" s="49"/>
      <c r="D11" s="49"/>
      <c r="E11" s="49"/>
      <c r="F11" s="49"/>
      <c r="G11" s="58"/>
      <c r="H11" s="93" t="str">
        <f t="array" ref="H11">IFERROR(AVERAGE(IF($B$3:$B$5=$B11,IF($D$3:$D$5=H$8,IF($G$3:$G$5&lt;&gt;"",$G$3:$G$5)))),"")</f>
        <v/>
      </c>
      <c r="I11" s="93">
        <f t="array" ref="I11">IFERROR(AVERAGE(IF($B$3:$B$5=$B11,IF($D$3:$D$5=I$8,IF($G$3:$G$5&lt;&gt;"",$G$3:$G$5)))),"")</f>
        <v>80.11</v>
      </c>
    </row>
    <row r="12" spans="1:9" ht="9" customHeight="1" x14ac:dyDescent="0.25">
      <c r="H12" s="94"/>
      <c r="I12" s="94"/>
    </row>
    <row r="13" spans="1:9" ht="9" customHeight="1" x14ac:dyDescent="0.25">
      <c r="A13" s="38" t="s">
        <v>545</v>
      </c>
      <c r="H13" s="94"/>
      <c r="I13" s="94"/>
    </row>
    <row r="14" spans="1:9" ht="15" hidden="1" customHeight="1" x14ac:dyDescent="0.25">
      <c r="H14" s="96">
        <f>H8</f>
        <v>43110</v>
      </c>
      <c r="I14" s="96">
        <f>I8</f>
        <v>43111</v>
      </c>
    </row>
    <row r="15" spans="1:9" ht="20.25" customHeight="1" x14ac:dyDescent="0.25">
      <c r="B15" s="55" t="s">
        <v>588</v>
      </c>
      <c r="C15" s="56"/>
      <c r="D15" s="56"/>
      <c r="E15" s="56"/>
      <c r="F15" s="56"/>
      <c r="G15" s="57"/>
      <c r="H15" s="95">
        <f>IFERROR(MAX(H10:H13),0)</f>
        <v>100.11</v>
      </c>
      <c r="I15" s="95">
        <f>IFERROR(MAX(I10:I13),0)</f>
        <v>80.11</v>
      </c>
    </row>
    <row r="16" spans="1:9" ht="24.75" customHeight="1" x14ac:dyDescent="0.25"/>
    <row r="17" spans="1:6" ht="28.5" hidden="1" customHeight="1" x14ac:dyDescent="0.25">
      <c r="A17" s="38">
        <v>10</v>
      </c>
      <c r="B17" s="50" t="s">
        <v>580</v>
      </c>
      <c r="C17" s="50"/>
      <c r="D17" s="50"/>
      <c r="E17" s="67"/>
      <c r="F17" s="67"/>
    </row>
    <row r="18" spans="1:6" ht="15" hidden="1" customHeight="1" x14ac:dyDescent="0.25">
      <c r="A18" s="37">
        <f>IFERROR(IF(D18="",1,0),1)</f>
        <v>0</v>
      </c>
      <c r="B18" s="52">
        <f>INDEX(DatesVOC,1,E18)</f>
        <v>43110</v>
      </c>
      <c r="C18" s="52">
        <f t="shared" ref="C18" si="1">B18</f>
        <v>43110</v>
      </c>
      <c r="D18" s="53">
        <f t="array" ref="D18">HLOOKUP(B18,ReadingTableVOC,2,FALSE)</f>
        <v>100.11</v>
      </c>
      <c r="E18" s="68">
        <f>IF(E17="",8,E17+1)</f>
        <v>8</v>
      </c>
      <c r="F18" s="68"/>
    </row>
    <row r="19" spans="1:6" hidden="1" x14ac:dyDescent="0.25"/>
    <row r="20" spans="1:6" hidden="1" x14ac:dyDescent="0.25">
      <c r="B20" s="51" t="s">
        <v>578</v>
      </c>
      <c r="C20" s="51"/>
    </row>
    <row r="21" spans="1:6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6" hidden="1" x14ac:dyDescent="0.25"/>
  </sheetData>
  <sheetProtection algorithmName="SHA-512" hashValue="/y2WTbWuSYHYKIe23DBQfnKCf9gs+HSqno9ghUQdFs/xoMIdDTvdQC//BZP7p5cTXrry4Y7jnTWH+YIjXZrYZg==" saltValue="YRmm6bi9mSbXN2D9DCQHkA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4</xdr:row>
                    <xdr:rowOff>133350</xdr:rowOff>
                  </from>
                  <to>
                    <xdr:col>4</xdr:col>
                    <xdr:colOff>885825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C16" sqref="C16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590</v>
      </c>
      <c r="B1" s="1"/>
      <c r="C1" s="1"/>
      <c r="D1" s="1"/>
      <c r="E1" s="1"/>
      <c r="F1" s="1"/>
    </row>
    <row r="2" spans="1:9" x14ac:dyDescent="0.25">
      <c r="A2" s="4" t="s">
        <v>590</v>
      </c>
      <c r="B2" s="217" t="s">
        <v>563</v>
      </c>
      <c r="C2" s="222"/>
      <c r="D2" s="218"/>
      <c r="E2" s="33" t="s">
        <v>569</v>
      </c>
      <c r="F2" s="1"/>
    </row>
    <row r="3" spans="1:9" ht="15" customHeight="1" x14ac:dyDescent="0.25">
      <c r="A3" s="4" t="s">
        <v>590</v>
      </c>
      <c r="B3" s="215" t="s">
        <v>679</v>
      </c>
      <c r="C3" s="223"/>
      <c r="D3" s="216"/>
      <c r="E3" s="33" t="s">
        <v>555</v>
      </c>
      <c r="F3" s="1"/>
    </row>
    <row r="4" spans="1:9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9" x14ac:dyDescent="0.25">
      <c r="A5" s="4" t="s">
        <v>590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5">
        <v>43112</v>
      </c>
      <c r="C7" s="35" t="s">
        <v>748</v>
      </c>
      <c r="D7" s="21">
        <v>111</v>
      </c>
      <c r="E7" s="21">
        <v>99</v>
      </c>
      <c r="F7" s="1"/>
    </row>
    <row r="8" spans="1:9" x14ac:dyDescent="0.25">
      <c r="A8" s="4"/>
      <c r="B8" s="23"/>
      <c r="C8" s="23"/>
      <c r="D8" s="26"/>
      <c r="E8" s="27"/>
      <c r="F8" s="1"/>
    </row>
    <row r="9" spans="1:9" hidden="1" x14ac:dyDescent="0.25">
      <c r="A9" s="5">
        <v>0</v>
      </c>
      <c r="B9" s="25"/>
      <c r="C9" s="25"/>
      <c r="D9" s="28"/>
      <c r="E9" s="29"/>
      <c r="F9" s="1"/>
    </row>
    <row r="10" spans="1:9" ht="25.5" customHeight="1" x14ac:dyDescent="0.25">
      <c r="A10" s="4" t="s">
        <v>545</v>
      </c>
      <c r="B10" s="24"/>
      <c r="C10" s="24"/>
      <c r="D10" s="24"/>
      <c r="E10" s="30"/>
      <c r="F10" s="1"/>
    </row>
    <row r="12" spans="1:9" x14ac:dyDescent="0.25">
      <c r="I12" s="2" t="s">
        <v>559</v>
      </c>
    </row>
    <row r="13" spans="1:9" x14ac:dyDescent="0.25">
      <c r="I13" s="2" t="s">
        <v>554</v>
      </c>
    </row>
    <row r="14" spans="1:9" x14ac:dyDescent="0.25">
      <c r="I14" s="2" t="s">
        <v>539</v>
      </c>
    </row>
  </sheetData>
  <sheetProtection algorithmName="SHA-512" hashValue="0LyETJeRTpGzcPfcyCPPGEhKb0jh8stunKU6Rx1FUbcsYWcxBL5rWOsW9Ft2dZEb+9EPU8K1B8EH5UzglrmsrA==" saltValue="oS3KQr5wiOJvzzGCrKcyY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9</xdr:row>
                    <xdr:rowOff>9525</xdr:rowOff>
                  </from>
                  <to>
                    <xdr:col>3</xdr:col>
                    <xdr:colOff>1200150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59BDD-2192-4587-9ECC-2072584F3299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6" sqref="D16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AnalyticsEnergyMeter</v>
      </c>
      <c r="C1" s="1"/>
      <c r="D1" s="4" t="str">
        <f ca="1">B1</f>
        <v>AnalyticsEnergyMeter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749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43112</v>
      </c>
      <c r="C7" s="35" t="s">
        <v>748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kKNvUpkC/4HYmPfs7I6HJ6s+nn6GglWEg6E9ztYFtJZP+q9jKwSA+J2qeZ1RWzW3rIydjMKwZeiHj9fyLwUGAg==" saltValue="Ck72keGScDGd0yDwYQs/1w==" spinCount="100000" sheet="1" objects="1" scenarios="1"/>
  <dataValidations count="6">
    <dataValidation type="textLength" allowBlank="1" showInputMessage="1" showErrorMessage="1" errorTitle="Data Source" error="It can only accept 40 characters." sqref="D5" xr:uid="{AB386AE6-C590-46CC-8C61-2B14972169C6}">
      <formula1>0</formula1>
      <formula2>40</formula2>
    </dataValidation>
    <dataValidation type="decimal" allowBlank="1" showInputMessage="1" showErrorMessage="1" error="Please enter a valid reading." sqref="D7" xr:uid="{D122D57D-41A7-47C5-A671-4FD37B7EF2BD}">
      <formula1>0</formula1>
      <formula2>9999999999</formula2>
    </dataValidation>
    <dataValidation type="date" allowBlank="1" showInputMessage="1" showErrorMessage="1" error="Please enter a valid date in mm/dd/yyyy format." sqref="B7:C7" xr:uid="{A9703CAB-A788-4045-B4D9-A2CAFB67562A}">
      <formula1>1</formula1>
      <formula2>73415</formula2>
    </dataValidation>
    <dataValidation allowBlank="1" showInputMessage="1" showErrorMessage="1" error="Please enter a valid date in mm/dd/yyyy format." sqref="B8:D10" xr:uid="{A97CA985-EA30-4821-BA8E-DA8E2035B6BE}"/>
    <dataValidation type="list" allowBlank="1" showInputMessage="1" showErrorMessage="1" sqref="D3" xr:uid="{E2896DCF-7A70-4A0D-A417-05EA331D7C38}">
      <formula1>ElectricityDrp</formula1>
    </dataValidation>
    <dataValidation type="list" allowBlank="1" showInputMessage="1" showErrorMessage="1" error="Units cannot edit." sqref="D4" xr:uid="{B0CF1D64-0C7E-4550-941E-99F6F9704A34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14D0C-A60A-4A47-89AB-3942289686DA}">
  <sheetPr codeName="Sheet2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C16" sqref="C16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 xml:space="preserve">AnalyticsWaterMeter </v>
      </c>
      <c r="C1" s="1"/>
      <c r="D1" s="155" t="str">
        <f ca="1">B1</f>
        <v xml:space="preserve">AnalyticsWaterMeter </v>
      </c>
      <c r="E1" s="1"/>
    </row>
    <row r="2" spans="1:9" x14ac:dyDescent="0.25">
      <c r="A2" s="4" t="s">
        <v>590</v>
      </c>
      <c r="B2" s="196" t="s">
        <v>563</v>
      </c>
      <c r="C2" s="152"/>
      <c r="D2" s="148" t="s">
        <v>750</v>
      </c>
      <c r="E2" s="1"/>
    </row>
    <row r="3" spans="1:9" x14ac:dyDescent="0.25">
      <c r="A3" s="4" t="s">
        <v>590</v>
      </c>
      <c r="B3" s="195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95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>
        <v>43112</v>
      </c>
      <c r="C7" s="35" t="s">
        <v>748</v>
      </c>
      <c r="D7" s="21">
        <v>5.46</v>
      </c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XPzWGqvb7lT5KZ8RhIuzaZCz9POvWdNuqjevgl6v3G/klVlckoSsm6innxHhViNXka0ESflDDlztSTbym4JdmA==" saltValue="UTsdNAbRU7qTQcEgbhTI5Q==" spinCount="100000" sheet="1" objects="1" scenarios="1"/>
  <dataValidations count="6">
    <dataValidation type="textLength" allowBlank="1" showInputMessage="1" showErrorMessage="1" errorTitle="Data Source" error="It can only accept 40 characters." sqref="D5" xr:uid="{89A6E39B-5063-4506-97B0-FC356DFBCD98}">
      <formula1>0</formula1>
      <formula2>40</formula2>
    </dataValidation>
    <dataValidation type="decimal" allowBlank="1" showInputMessage="1" showErrorMessage="1" error="Please enter a valid reading." sqref="D7" xr:uid="{49EF1D58-2896-4596-A647-5BD7BD64B152}">
      <formula1>0</formula1>
      <formula2>9999999999</formula2>
    </dataValidation>
    <dataValidation type="date" allowBlank="1" showInputMessage="1" showErrorMessage="1" error="Please enter a valid date in mm/dd/yyyy format." sqref="B7:C7" xr:uid="{DA22EEAA-D640-4C00-AC52-87501D89FCB0}">
      <formula1>1</formula1>
      <formula2>73415</formula2>
    </dataValidation>
    <dataValidation allowBlank="1" showInputMessage="1" showErrorMessage="1" error="Please enter a valid date in mm/dd/yyyy format." sqref="B8:D10" xr:uid="{8B1726AA-10F8-485D-B97C-777D6FC8838E}"/>
    <dataValidation type="list" allowBlank="1" showInputMessage="1" showErrorMessage="1" sqref="D3" xr:uid="{5ED3DE46-2187-417A-911D-A9C44B543A12}">
      <formula1>WaterDrp</formula1>
    </dataValidation>
    <dataValidation type="list" allowBlank="1" showInputMessage="1" showErrorMessage="1" error="Units cannot edit." sqref="D4" xr:uid="{6342222F-7EF9-4758-ADD9-51B55492790D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7465B-92E1-4A71-9AC0-44B2D8DFD5CE}">
  <sheetPr codeName="Sheet25"/>
  <dimension ref="A1:K21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3" sqref="D13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Generated onsite Solar</v>
      </c>
      <c r="C1" s="1"/>
      <c r="D1" s="4" t="str">
        <f ca="1">B1</f>
        <v>Generated onsite Solar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751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681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43112</v>
      </c>
      <c r="C7" s="35" t="s">
        <v>748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hC6B++PDnd9VZTnY/g9RRzITQlU5AmJkqohaScwzVzWB2AsZzbMkoHF5N2u2QLvnZPo2iDnYTjIUyPfI5/5w==" saltValue="zB+aXEo2U5FrZ0AJlN0pMA==" spinCount="100000" sheet="1" objects="1" scenarios="1"/>
  <dataValidations count="6">
    <dataValidation type="textLength" allowBlank="1" showInputMessage="1" showErrorMessage="1" errorTitle="Data Source" error="It can only accept 40 characters." sqref="D5" xr:uid="{41E6E8F4-9BFE-43ED-9CA0-FDD247EB4090}">
      <formula1>0</formula1>
      <formula2>40</formula2>
    </dataValidation>
    <dataValidation type="decimal" allowBlank="1" showInputMessage="1" showErrorMessage="1" error="Please enter a valid reading." sqref="D7" xr:uid="{A44A7FF7-FA8F-4B26-850A-EF0623309692}">
      <formula1>0</formula1>
      <formula2>9999999999</formula2>
    </dataValidation>
    <dataValidation type="date" allowBlank="1" showInputMessage="1" showErrorMessage="1" error="Please enter a valid date in mm/dd/yyyy format." sqref="B7:C7" xr:uid="{2D93063A-7C34-4F4F-8F44-E88FC5C0B674}">
      <formula1>1</formula1>
      <formula2>73415</formula2>
    </dataValidation>
    <dataValidation allowBlank="1" showInputMessage="1" showErrorMessage="1" error="Please enter a valid date in mm/dd/yyyy format." sqref="B8:D10" xr:uid="{A7A61D5A-9D75-4630-A599-7680AF9CCF3D}"/>
    <dataValidation type="list" allowBlank="1" showInputMessage="1" showErrorMessage="1" sqref="D3" xr:uid="{C2C8180C-31CB-4F5C-A53E-9A8911422549}">
      <formula1>ElectricityDrp</formula1>
    </dataValidation>
    <dataValidation type="list" allowBlank="1" showInputMessage="1" showErrorMessage="1" error="Units cannot edit." sqref="D4" xr:uid="{F451A1B7-427B-4BF2-9B13-61DAB795980A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3" sqref="D1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2" sqref="D1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2" sqref="D1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2" sqref="D1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5" sqref="D15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2" sqref="D1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20" sqref="D2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8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6" sqref="D1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1" sqref="D1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/>
      <c r="C7" s="35"/>
      <c r="D7" s="22"/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360</vt:i4>
      </vt:variant>
    </vt:vector>
  </HeadingPairs>
  <TitlesOfParts>
    <vt:vector size="385" baseType="lpstr">
      <vt:lpstr>Instructions</vt:lpstr>
      <vt:lpstr>Building Settings</vt:lpstr>
      <vt:lpstr>base_w</vt:lpstr>
      <vt:lpstr>base_e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AnalyticsEnergyMeter</vt:lpstr>
      <vt:lpstr>AnalyticsWaterMeter </vt:lpstr>
      <vt:lpstr>Generated onsite Solar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AnalyticsEnergyMeter!elecName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'Generated onsite Solar'!elecName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AnalyticsEnergyMeter!ElectricityDrp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'Generated onsite Solar'!ElectricityDrp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'AnalyticsWaterMeter '!water_meter_type</vt:lpstr>
      <vt:lpstr>water_meter_type</vt:lpstr>
      <vt:lpstr>'AnalyticsWaterMeter '!water_type</vt:lpstr>
      <vt:lpstr>water_type</vt:lpstr>
      <vt:lpstr>'AnalyticsWaterMeter '!water_units</vt:lpstr>
      <vt:lpstr>water_units</vt:lpstr>
      <vt:lpstr>Acetaldehyde!WaterDrp</vt:lpstr>
      <vt:lpstr>'AnalyticsWaterMeter '!WaterDrp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'AnalyticsWaterMeter '!waterType</vt:lpstr>
      <vt:lpstr>waterType</vt:lpstr>
      <vt:lpstr>'AnalyticsWaterMeter '!waterUnits</vt:lpstr>
      <vt:lpstr>waterUnits</vt:lpstr>
      <vt:lpstr>'AnalyticsWaterMeter '!watUn</vt:lpstr>
      <vt:lpstr>watUn</vt:lpstr>
      <vt:lpstr>Acetaldehyde!watUni</vt:lpstr>
      <vt:lpstr>'AnalyticsWaterMeter '!watUni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'AnalyticsWaterMeter 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cp:lastPrinted>2017-09-22T06:24:12Z</cp:lastPrinted>
  <dcterms:created xsi:type="dcterms:W3CDTF">2014-11-12T06:32:08Z</dcterms:created>
  <dcterms:modified xsi:type="dcterms:W3CDTF">2019-07-04T05:21:38Z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