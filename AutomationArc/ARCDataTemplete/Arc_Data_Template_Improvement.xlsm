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2.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3.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7.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8.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9.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20.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2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bhi\Downloads\"/>
    </mc:Choice>
  </mc:AlternateContent>
  <workbookProtection workbookAlgorithmName="SHA-512" workbookHashValue="nfGKryGbXkvC3LoYbNdGoM4OBQAG2pMXolH3mkpPakeoDHsaRqzqZ9VwK0rI6YN4xK3kleYAl9u6WMENgozraA==" workbookSaltValue="ZYkpI38+Raae7CbscYgAOg==" workbookSpinCount="100000" lockStructure="1"/>
  <bookViews>
    <workbookView xWindow="0" yWindow="0" windowWidth="20490" windowHeight="9060" firstSheet="17" activeTab="21"/>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Carbon Monoxide" sheetId="17" r:id="rId11"/>
    <sheet name="Ozone" sheetId="18" r:id="rId12"/>
    <sheet name="Atmospheric Particulate Matter" sheetId="19" r:id="rId13"/>
    <sheet name="Acetaldehyde" sheetId="20" r:id="rId14"/>
    <sheet name="Benzene" sheetId="21" r:id="rId15"/>
    <sheet name="Styrene" sheetId="22" r:id="rId16"/>
    <sheet name="Toluene" sheetId="23" r:id="rId17"/>
    <sheet name="Naphthalene " sheetId="24" r:id="rId18"/>
    <sheet name="Dichlorobenzene" sheetId="25" r:id="rId19"/>
    <sheet name="Xylenes-total" sheetId="26" r:id="rId20"/>
    <sheet name="Formaldehyde" sheetId="27" r:id="rId21"/>
    <sheet name="Test Energy Meter" sheetId="28" r:id="rId22"/>
    <sheet name="Test Water Meter" sheetId="29"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Readings'!$7:$7</definedName>
    <definedName name="columnDeleteVOC">'TVOC Readings'!$8:$8</definedName>
    <definedName name="Countries">Instructions!$L$36:$M$291</definedName>
    <definedName name="CountriesDetails">Instructions!$L$36:$L$291</definedName>
    <definedName name="countryName">Instructions!$L$34:$L$291</definedName>
    <definedName name="DataCopy">'CO2 Readings'!$A$18:$E$18</definedName>
    <definedName name="DataCopyVOC">'TVOC Readings'!$A$19:$E$19</definedName>
    <definedName name="Dates" localSheetId="13">'CO2 Readings'!$14:$14</definedName>
    <definedName name="Dates" localSheetId="12">'CO2 Readings'!$14:$14</definedName>
    <definedName name="Dates" localSheetId="14">'CO2 Readings'!$14:$14</definedName>
    <definedName name="Dates" localSheetId="10">'CO2 Readings'!$14:$14</definedName>
    <definedName name="Dates" localSheetId="18">'CO2 Readings'!$14:$14</definedName>
    <definedName name="Dates" localSheetId="20">'CO2 Readings'!$14:$14</definedName>
    <definedName name="Dates" localSheetId="17">'CO2 Readings'!$14:$14</definedName>
    <definedName name="Dates" localSheetId="11">'CO2 Readings'!$14:$14</definedName>
    <definedName name="Dates" localSheetId="15">'CO2 Readings'!$14:$14</definedName>
    <definedName name="Dates" localSheetId="16">'CO2 Readings'!$14:$14</definedName>
    <definedName name="Dates" localSheetId="19">'CO2 Readings'!$14:$14</definedName>
    <definedName name="Dates">'CO2 Readings'!$14:$14</definedName>
    <definedName name="DatesVOC" localSheetId="13">'TVOC Readings'!$15:$15</definedName>
    <definedName name="DatesVOC" localSheetId="12">'TVOC Readings'!$15:$15</definedName>
    <definedName name="DatesVOC" localSheetId="14">'TVOC Readings'!$15:$15</definedName>
    <definedName name="DatesVOC" localSheetId="10">'TVOC Readings'!$15:$15</definedName>
    <definedName name="DatesVOC" localSheetId="18">'TVOC Readings'!$15:$15</definedName>
    <definedName name="DatesVOC" localSheetId="20">'TVOC Readings'!$15:$15</definedName>
    <definedName name="DatesVOC" localSheetId="17">'TVOC Readings'!$15:$15</definedName>
    <definedName name="DatesVOC" localSheetId="11">'TVOC Readings'!$15:$15</definedName>
    <definedName name="DatesVOC" localSheetId="15">'TVOC Readings'!$15:$15</definedName>
    <definedName name="DatesVOC" localSheetId="16">'TVOC Readings'!$15:$15</definedName>
    <definedName name="DatesVOC" localSheetId="19">'TVOC Readings'!$15:$15</definedName>
    <definedName name="DatesVOC">'TVOC Readings'!$15:$15</definedName>
    <definedName name="DelRwNmEnd">'CO2 Reading for Upload'!$A$12:$E$12</definedName>
    <definedName name="DelRwNmEndVOC">'TVOC Reading for Upload'!$A$12:$E$12</definedName>
    <definedName name="DelRwNmStart">'CO2 Reading for Upload'!$A$6:$E$6</definedName>
    <definedName name="DelRwNmStartVOC">'TVOC Reading for Upload'!$A$6:$E$6</definedName>
    <definedName name="elecName" localSheetId="13">base_e!$G$15:$G$19</definedName>
    <definedName name="elecName" localSheetId="12">base_e!$G$15:$G$19</definedName>
    <definedName name="elecName" localSheetId="14">base_e!$G$15:$G$19</definedName>
    <definedName name="elecName" localSheetId="10">base_e!$G$15:$G$19</definedName>
    <definedName name="elecName" localSheetId="18">base_e!$G$15:$G$19</definedName>
    <definedName name="elecName" localSheetId="20">base_e!$G$15:$G$19</definedName>
    <definedName name="elecName" localSheetId="17">base_e!$G$15:$G$19</definedName>
    <definedName name="elecName" localSheetId="11">base_e!$G$15:$G$19</definedName>
    <definedName name="elecName" localSheetId="15">base_e!$G$15:$G$19</definedName>
    <definedName name="elecName" localSheetId="21">'Test Energy Meter'!$G$44:$G$48</definedName>
    <definedName name="elecName" localSheetId="16">base_e!$G$15:$G$19</definedName>
    <definedName name="elecName" localSheetId="19">base_e!$G$15:$G$19</definedName>
    <definedName name="elecName">base_e!$G$15:$G$19</definedName>
    <definedName name="ElectricityDrp" localSheetId="13">base_e!$J$9:$J$10</definedName>
    <definedName name="ElectricityDrp" localSheetId="12">base_e!$J$9:$J$10</definedName>
    <definedName name="ElectricityDrp" localSheetId="14">base_e!$J$9:$J$10</definedName>
    <definedName name="ElectricityDrp" localSheetId="10">base_e!$J$9:$J$10</definedName>
    <definedName name="ElectricityDrp" localSheetId="18">base_e!$J$9:$J$10</definedName>
    <definedName name="ElectricityDrp" localSheetId="20">base_e!$J$9:$J$10</definedName>
    <definedName name="ElectricityDrp" localSheetId="17">base_e!$J$9:$J$10</definedName>
    <definedName name="ElectricityDrp" localSheetId="11">base_e!$J$9:$J$10</definedName>
    <definedName name="ElectricityDrp" localSheetId="15">base_e!$J$9:$J$10</definedName>
    <definedName name="ElectricityDrp" localSheetId="21">'Test Energy Meter'!$J$38:$J$39</definedName>
    <definedName name="ElectricityDrp" localSheetId="16">base_e!$J$9:$J$10</definedName>
    <definedName name="ElectricityDrp" localSheetId="19">base_e!$J$9:$J$10</definedName>
    <definedName name="ElectricityDrp">base_e!$J$9:$J$10</definedName>
    <definedName name="fdet" localSheetId="13">Acetaldehyde!$H$1:$H$13</definedName>
    <definedName name="fdet" localSheetId="12">'Atmospheric Particulate Matter'!$H$1:$H$13</definedName>
    <definedName name="fdet" localSheetId="14">Benzene!$H$1:$H$13</definedName>
    <definedName name="fdet" localSheetId="10">'Carbon Monoxide'!$H$1:$H$14</definedName>
    <definedName name="fdet" localSheetId="18">Dichlorobenzene!$H$1:$H$13</definedName>
    <definedName name="fdet" localSheetId="20">Formaldehyde!$H$1:$H$13</definedName>
    <definedName name="fdet" localSheetId="17">'Naphthalene '!$H$1:$H$13</definedName>
    <definedName name="fdet" localSheetId="11">Ozone!$H$1:$H$13</definedName>
    <definedName name="fdet" localSheetId="15">Styrene!$H$1:$H$13</definedName>
    <definedName name="fdet" localSheetId="16">Toluene!$H$1:$H$13</definedName>
    <definedName name="fdet" localSheetId="19">'Xylenes-total'!$H$1:$H$13</definedName>
    <definedName name="fdet">base_f!$H$1:$H$13</definedName>
    <definedName name="fude" localSheetId="13">Acetaldehyde!$D$14:$D$31</definedName>
    <definedName name="fude" localSheetId="12">'Atmospheric Particulate Matter'!$D$14:$D$31</definedName>
    <definedName name="fude" localSheetId="14">Benzene!$D$14:$D$31</definedName>
    <definedName name="fude" localSheetId="10">'Carbon Monoxide'!$D$15:$D$32</definedName>
    <definedName name="fude" localSheetId="18">Dichlorobenzene!$D$14:$D$31</definedName>
    <definedName name="fude" localSheetId="20">Formaldehyde!$D$14:$D$31</definedName>
    <definedName name="fude" localSheetId="17">'Naphthalene '!$D$14:$D$31</definedName>
    <definedName name="fude" localSheetId="11">Ozone!$D$14:$D$31</definedName>
    <definedName name="fude" localSheetId="15">Styrene!$D$14:$D$31</definedName>
    <definedName name="fude" localSheetId="16">Toluene!$D$14:$D$31</definedName>
    <definedName name="fude" localSheetId="19">'Xylenes-total'!$D$14:$D$31</definedName>
    <definedName name="fude">base_f!$D$14:$D$31</definedName>
    <definedName name="fuel1" localSheetId="13">Acetaldehyde!$L$16:$L$23</definedName>
    <definedName name="fuel1" localSheetId="12">'Atmospheric Particulate Matter'!$L$16:$L$23</definedName>
    <definedName name="fuel1" localSheetId="14">Benzene!$L$16:$L$23</definedName>
    <definedName name="fuel1" localSheetId="10">'Carbon Monoxide'!$L$17:$L$24</definedName>
    <definedName name="fuel1" localSheetId="18">Dichlorobenzene!$L$16:$L$23</definedName>
    <definedName name="fuel1" localSheetId="20">Formaldehyde!$L$16:$L$23</definedName>
    <definedName name="fuel1" localSheetId="17">'Naphthalene '!$L$16:$L$23</definedName>
    <definedName name="fuel1" localSheetId="11">Ozone!$L$16:$L$23</definedName>
    <definedName name="fuel1" localSheetId="15">Styrene!$L$16:$L$23</definedName>
    <definedName name="fuel1" localSheetId="16">Toluene!$L$16:$L$23</definedName>
    <definedName name="fuel1" localSheetId="19">'Xylenes-total'!$L$16:$L$23</definedName>
    <definedName name="fuel1">base_f!$L$16:$L$23</definedName>
    <definedName name="fuel2" localSheetId="13">Acetaldehyde!$M$16:$M$23</definedName>
    <definedName name="fuel2" localSheetId="12">'Atmospheric Particulate Matter'!$M$16:$M$23</definedName>
    <definedName name="fuel2" localSheetId="14">Benzene!$M$16:$M$23</definedName>
    <definedName name="fuel2" localSheetId="10">'Carbon Monoxide'!$M$17:$M$24</definedName>
    <definedName name="fuel2" localSheetId="18">Dichlorobenzene!$M$16:$M$23</definedName>
    <definedName name="fuel2" localSheetId="20">Formaldehyde!$M$16:$M$23</definedName>
    <definedName name="fuel2" localSheetId="17">'Naphthalene '!$M$16:$M$23</definedName>
    <definedName name="fuel2" localSheetId="11">Ozone!$M$16:$M$23</definedName>
    <definedName name="fuel2" localSheetId="15">Styrene!$M$16:$M$23</definedName>
    <definedName name="fuel2" localSheetId="16">Toluene!$M$16:$M$23</definedName>
    <definedName name="fuel2" localSheetId="19">'Xylenes-total'!$M$16:$M$23</definedName>
    <definedName name="fuel2">base_f!$M$16:$M$23</definedName>
    <definedName name="fuelname" localSheetId="13">Acetaldehyde!#REF!</definedName>
    <definedName name="fuelname" localSheetId="12">'Atmospheric Particulate Matter'!#REF!</definedName>
    <definedName name="fuelname" localSheetId="14">Benzene!#REF!</definedName>
    <definedName name="fuelname" localSheetId="10">'Carbon Monoxide'!#REF!</definedName>
    <definedName name="fuelname" localSheetId="18">Dichlorobenzene!#REF!</definedName>
    <definedName name="fuelname" localSheetId="20">Formaldehyde!#REF!</definedName>
    <definedName name="fuelname" localSheetId="17">'Naphthalene '!#REF!</definedName>
    <definedName name="fuelname" localSheetId="11">Ozone!#REF!</definedName>
    <definedName name="fuelname" localSheetId="15">Styrene!#REF!</definedName>
    <definedName name="fuelname" localSheetId="21">base_f!#REF!</definedName>
    <definedName name="fuelname" localSheetId="22">base_f!#REF!</definedName>
    <definedName name="fuelname" localSheetId="16">Toluene!#REF!</definedName>
    <definedName name="fuelname" localSheetId="19">'Xylenes-total'!#REF!</definedName>
    <definedName name="fuelname">base_f!#REF!</definedName>
    <definedName name="kerosene" localSheetId="13">Acetaldehyde!$K$16:$K$23</definedName>
    <definedName name="kerosene" localSheetId="12">'Atmospheric Particulate Matter'!$K$16:$K$23</definedName>
    <definedName name="kerosene" localSheetId="14">Benzene!$K$16:$K$23</definedName>
    <definedName name="kerosene" localSheetId="10">'Carbon Monoxide'!$K$17:$K$24</definedName>
    <definedName name="kerosene" localSheetId="18">Dichlorobenzene!$K$16:$K$23</definedName>
    <definedName name="kerosene" localSheetId="20">Formaldehyde!$K$16:$K$23</definedName>
    <definedName name="kerosene" localSheetId="17">'Naphthalene '!$K$16:$K$23</definedName>
    <definedName name="kerosene" localSheetId="11">Ozone!$K$16:$K$23</definedName>
    <definedName name="kerosene" localSheetId="15">Styrene!$K$16:$K$23</definedName>
    <definedName name="kerosene" localSheetId="16">Toluene!$K$16:$K$23</definedName>
    <definedName name="kerosene" localSheetId="19">'Xylenes-total'!$K$16:$K$23</definedName>
    <definedName name="kerosene">base_f!$K$16:$K$23</definedName>
    <definedName name="liquid" localSheetId="13">Acetaldehyde!$J$16:$J$25</definedName>
    <definedName name="liquid" localSheetId="12">'Atmospheric Particulate Matter'!$J$16:$J$25</definedName>
    <definedName name="liquid" localSheetId="14">Benzene!$J$16:$J$25</definedName>
    <definedName name="liquid" localSheetId="10">'Carbon Monoxide'!$J$17:$J$26</definedName>
    <definedName name="liquid" localSheetId="18">Dichlorobenzene!$J$16:$J$25</definedName>
    <definedName name="liquid" localSheetId="20">Formaldehyde!$J$16:$J$25</definedName>
    <definedName name="liquid" localSheetId="17">'Naphthalene '!$J$16:$J$25</definedName>
    <definedName name="liquid" localSheetId="11">Ozone!$J$16:$J$25</definedName>
    <definedName name="liquid" localSheetId="15">Styrene!$J$16:$J$25</definedName>
    <definedName name="liquid" localSheetId="16">Toluene!$J$16:$J$25</definedName>
    <definedName name="liquid" localSheetId="19">'Xylenes-total'!$J$16:$J$25</definedName>
    <definedName name="liquid">base_f!$J$16:$J$25</definedName>
    <definedName name="Meter" localSheetId="21">Instructions!#REF!</definedName>
    <definedName name="Meter" localSheetId="22">Instructions!#REF!</definedName>
    <definedName name="Meter">Instructions!#REF!</definedName>
    <definedName name="meterName">Instructions!$O$36:$O$53</definedName>
    <definedName name="MeterTypes">Instructions!$L$294:$L$320</definedName>
    <definedName name="myCategoryH" localSheetId="13">Acetaldehyde!$G$19:$G$36</definedName>
    <definedName name="myCategoryH" localSheetId="12">'Atmospheric Particulate Matter'!$G$19:$G$36</definedName>
    <definedName name="myCategoryH" localSheetId="14">Benzene!$G$19:$G$36</definedName>
    <definedName name="myCategoryH" localSheetId="10">'Carbon Monoxide'!$G$20:$G$37</definedName>
    <definedName name="myCategoryH" localSheetId="18">Dichlorobenzene!$G$19:$G$36</definedName>
    <definedName name="myCategoryH" localSheetId="20">Formaldehyde!$G$19:$G$36</definedName>
    <definedName name="myCategoryH" localSheetId="17">'Naphthalene '!$G$19:$G$36</definedName>
    <definedName name="myCategoryH" localSheetId="11">Ozone!$G$19:$G$36</definedName>
    <definedName name="myCategoryH" localSheetId="15">Styrene!$G$19:$G$36</definedName>
    <definedName name="myCategoryH" localSheetId="16">Toluene!$G$19:$G$36</definedName>
    <definedName name="myCategoryH" localSheetId="19">'Xylenes-total'!$G$19:$G$36</definedName>
    <definedName name="myCategoryH">base_f!$G$19:$G$36</definedName>
    <definedName name="myitem" localSheetId="13">OFFSET(myItemList,0,0,1,COUNTA(myItemList))</definedName>
    <definedName name="myitem" localSheetId="12">OFFSET(myItemList,0,0,1,COUNTA(myItemList))</definedName>
    <definedName name="myitem" localSheetId="14">OFFSET(myItemList,0,0,1,COUNTA(myItemList))</definedName>
    <definedName name="myitem" localSheetId="10">OFFSET(myItemList,0,0,1,COUNTA(myItemList))</definedName>
    <definedName name="myitem" localSheetId="18">OFFSET(myItemList,0,0,1,COUNTA(myItemList))</definedName>
    <definedName name="myitem" localSheetId="20">OFFSET(myItemList,0,0,1,COUNTA(myItemList))</definedName>
    <definedName name="myitem" localSheetId="17">OFFSET(myItemList,0,0,1,COUNTA(myItemList))</definedName>
    <definedName name="myitem" localSheetId="11">OFFSET(myItemList,0,0,1,COUNTA(myItemList))</definedName>
    <definedName name="myitem" localSheetId="15">OFFSET(myItemList,0,0,1,COUNTA(myItemList))</definedName>
    <definedName name="myitem" localSheetId="21">OFFSET(myItemList,0,0,1,COUNTA(myItemList))</definedName>
    <definedName name="myitem" localSheetId="22">OFFSET(myItemList,0,0,1,COUNTA(myItemList))</definedName>
    <definedName name="myitem" localSheetId="16">OFFSET(myItemList,0,0,1,COUNTA(myItemList))</definedName>
    <definedName name="myitem" localSheetId="19">OFFSET(myItemList,0,0,1,COUNTA(myItemList))</definedName>
    <definedName name="myitem">OFFSET(myItemList,0,0,1,COUNTA(myItemList))</definedName>
    <definedName name="myItemListH" localSheetId="13">INDEX(Acetaldehyde!myTableH,MATCH(Acetaldehyde!A1048576,Acetaldehyde!myCategoryH,0),0)</definedName>
    <definedName name="myItemListH" localSheetId="12">INDEX('Atmospheric Particulate Matter'!myTableH,MATCH('Atmospheric Particulate Matter'!A1048576,'Atmospheric Particulate Matter'!myCategoryH,0),0)</definedName>
    <definedName name="myItemListH" localSheetId="14">INDEX(Benzene!myTableH,MATCH(Benzene!A1048576,Benzene!myCategoryH,0),0)</definedName>
    <definedName name="myItemListH" localSheetId="10">INDEX('Carbon Monoxide'!myTableH,MATCH('Carbon Monoxide'!A1048576,'Carbon Monoxide'!myCategoryH,0),0)</definedName>
    <definedName name="myItemListH" localSheetId="18">INDEX(Dichlorobenzene!myTableH,MATCH(Dichlorobenzene!A1048576,Dichlorobenzene!myCategoryH,0),0)</definedName>
    <definedName name="myItemListH" localSheetId="20">INDEX(Formaldehyde!myTableH,MATCH(Formaldehyde!A1048576,Formaldehyde!myCategoryH,0),0)</definedName>
    <definedName name="myItemListH" localSheetId="17">INDEX('Naphthalene '!myTableH,MATCH('Naphthalene '!A1048576,'Naphthalene '!myCategoryH,0),0)</definedName>
    <definedName name="myItemListH" localSheetId="11">INDEX(Ozone!myTableH,MATCH(Ozone!A1048576,Ozone!myCategoryH,0),0)</definedName>
    <definedName name="myItemListH" localSheetId="15">INDEX(Styrene!myTableH,MATCH(Styrene!A1048576,Styrene!myCategoryH,0),0)</definedName>
    <definedName name="myItemListH" localSheetId="16">INDEX(Toluene!myTableH,MATCH(Toluene!A1048576,Toluene!myCategoryH,0),0)</definedName>
    <definedName name="myItemListH" localSheetId="19">INDEX('Xylenes-total'!myTableH,MATCH('Xylenes-total'!A1048576,'Xylenes-total'!myCategoryH,0),0)</definedName>
    <definedName name="myItemListH">INDEX(myTableH,MATCH(base_f!A1048576,myCategoryH,0),0)</definedName>
    <definedName name="myTableH" localSheetId="13">Acetaldehyde!$H$19:$V$36</definedName>
    <definedName name="myTableH" localSheetId="12">'Atmospheric Particulate Matter'!$H$19:$V$36</definedName>
    <definedName name="myTableH" localSheetId="14">Benzene!$H$19:$V$36</definedName>
    <definedName name="myTableH" localSheetId="10">'Carbon Monoxide'!$H$20:$V$37</definedName>
    <definedName name="myTableH" localSheetId="18">Dichlorobenzene!$H$19:$V$36</definedName>
    <definedName name="myTableH" localSheetId="20">Formaldehyde!$H$19:$V$36</definedName>
    <definedName name="myTableH" localSheetId="17">'Naphthalene '!$H$19:$V$36</definedName>
    <definedName name="myTableH" localSheetId="11">Ozone!$H$19:$V$36</definedName>
    <definedName name="myTableH" localSheetId="15">Styrene!$H$19:$V$36</definedName>
    <definedName name="myTableH" localSheetId="16">Toluene!$H$19:$V$36</definedName>
    <definedName name="myTableH" localSheetId="19">'Xylenes-total'!$H$19:$V$36</definedName>
    <definedName name="myTableH">base_f!$H$19:$V$36</definedName>
    <definedName name="newMet" localSheetId="13">Instructions!$Q$36:$Q$37</definedName>
    <definedName name="newMet" localSheetId="12">Instructions!$Q$36:$Q$37</definedName>
    <definedName name="newMet" localSheetId="14">Instructions!$Q$36:$Q$37</definedName>
    <definedName name="newMet" localSheetId="10">Instructions!$Q$36:$Q$37</definedName>
    <definedName name="newMet" localSheetId="18">Instructions!$Q$36:$Q$37</definedName>
    <definedName name="newMet" localSheetId="20">Instructions!$Q$36:$Q$37</definedName>
    <definedName name="newMet" localSheetId="17">Instructions!$Q$36:$Q$37</definedName>
    <definedName name="newMet" localSheetId="11">Instructions!$Q$36:$Q$37</definedName>
    <definedName name="newMet" localSheetId="15">Instructions!$Q$36:$Q$37</definedName>
    <definedName name="newMet" localSheetId="16">Instructions!$Q$36:$Q$37</definedName>
    <definedName name="newMet" localSheetId="19">Instructions!$Q$36:$Q$37</definedName>
    <definedName name="newMet">Instructions!$Q$36:$Q$37</definedName>
    <definedName name="newWaUnit" localSheetId="13">'Waste Stream'!$I$42:$I$44</definedName>
    <definedName name="newWaUnit" localSheetId="12">'Waste Stream'!$I$42:$I$44</definedName>
    <definedName name="newWaUnit" localSheetId="14">'Waste Stream'!$I$42:$I$44</definedName>
    <definedName name="newWaUnit" localSheetId="10">'Waste Stream'!$I$42:$I$44</definedName>
    <definedName name="newWaUnit" localSheetId="18">'Waste Stream'!$I$42:$I$44</definedName>
    <definedName name="newWaUnit" localSheetId="20">'Waste Stream'!$I$42:$I$44</definedName>
    <definedName name="newWaUnit" localSheetId="17">'Waste Stream'!$I$42:$I$44</definedName>
    <definedName name="newWaUnit" localSheetId="11">'Waste Stream'!$I$42:$I$44</definedName>
    <definedName name="newWaUnit" localSheetId="15">'Waste Stream'!$I$42:$I$44</definedName>
    <definedName name="newWaUnit" localSheetId="16">'Waste Stream'!$I$42:$I$44</definedName>
    <definedName name="newWaUnit" localSheetId="19">'Waste Stream'!$I$42:$I$44</definedName>
    <definedName name="newWaUnit">'Waste Stream'!$I$42:$I$44</definedName>
    <definedName name="Other_Fuels_Drp" localSheetId="13">Acetaldehyde!$V$10</definedName>
    <definedName name="Other_Fuels_Drp" localSheetId="12">'Atmospheric Particulate Matter'!$V$10</definedName>
    <definedName name="Other_Fuels_Drp" localSheetId="14">Benzene!$V$10</definedName>
    <definedName name="Other_Fuels_Drp" localSheetId="10">'Carbon Monoxide'!$V$11</definedName>
    <definedName name="Other_Fuels_Drp" localSheetId="18">Dichlorobenzene!$V$10</definedName>
    <definedName name="Other_Fuels_Drp" localSheetId="20">Formaldehyde!$V$10</definedName>
    <definedName name="Other_Fuels_Drp" localSheetId="17">'Naphthalene '!$V$10</definedName>
    <definedName name="Other_Fuels_Drp" localSheetId="11">Ozone!$V$10</definedName>
    <definedName name="Other_Fuels_Drp" localSheetId="15">Styrene!$V$10</definedName>
    <definedName name="Other_Fuels_Drp" localSheetId="16">Toluene!$V$10</definedName>
    <definedName name="Other_Fuels_Drp" localSheetId="19">'Xylenes-total'!$V$10</definedName>
    <definedName name="Other_Fuels_Drp">base_f!$V$10</definedName>
    <definedName name="Period__Start_Date" localSheetId="13">COUNTIF(base_w!$B:$B,base_w!A1)=1</definedName>
    <definedName name="Period__Start_Date" localSheetId="12">COUNTIF(base_w!$B:$B,base_w!A1)=1</definedName>
    <definedName name="Period__Start_Date" localSheetId="14">COUNTIF(base_w!$B:$B,base_w!A1)=1</definedName>
    <definedName name="Period__Start_Date" localSheetId="10">COUNTIF(base_w!$B:$B,base_w!A1)=1</definedName>
    <definedName name="Period__Start_Date" localSheetId="18">COUNTIF(base_w!$B:$B,base_w!A1)=1</definedName>
    <definedName name="Period__Start_Date" localSheetId="20">COUNTIF(base_w!$B:$B,base_w!A1)=1</definedName>
    <definedName name="Period__Start_Date" localSheetId="17">COUNTIF(base_w!$B:$B,base_w!A1)=1</definedName>
    <definedName name="Period__Start_Date" localSheetId="11">COUNTIF(base_w!$B:$B,base_w!A1)=1</definedName>
    <definedName name="Period__Start_Date" localSheetId="15">COUNTIF(base_w!$B:$B,base_w!A1)=1</definedName>
    <definedName name="Period__Start_Date" localSheetId="22">COUNTIF('Test Water Meter'!$B:$B,'Test Water Meter'!A1)=1</definedName>
    <definedName name="Period__Start_Date" localSheetId="16">COUNTIF(base_w!$B:$B,base_w!A1)=1</definedName>
    <definedName name="Period__Start_Date" localSheetId="19">COUNTIF(base_w!$B:$B,base_w!A1)=1</definedName>
    <definedName name="Period__Start_Date">COUNTIF(base_w!$B:$B,base_w!A1)=1</definedName>
    <definedName name="Propane" localSheetId="13">Acetaldehyde!$I$16:$I$27</definedName>
    <definedName name="Propane" localSheetId="12">'Atmospheric Particulate Matter'!$I$16:$I$27</definedName>
    <definedName name="Propane" localSheetId="14">Benzene!$I$16:$I$27</definedName>
    <definedName name="Propane" localSheetId="10">'Carbon Monoxide'!$I$17:$I$28</definedName>
    <definedName name="Propane" localSheetId="18">Dichlorobenzene!$I$16:$I$27</definedName>
    <definedName name="Propane" localSheetId="20">Formaldehyde!$I$16:$I$27</definedName>
    <definedName name="Propane" localSheetId="17">'Naphthalene '!$I$16:$I$27</definedName>
    <definedName name="Propane" localSheetId="11">Ozone!$I$16:$I$27</definedName>
    <definedName name="Propane" localSheetId="15">Styrene!$I$16:$I$27</definedName>
    <definedName name="Propane" localSheetId="16">Toluene!$I$16:$I$27</definedName>
    <definedName name="Propane" localSheetId="19">'Xylenes-total'!$I$16:$I$27</definedName>
    <definedName name="Propane">base_f!$I$16:$I$27</definedName>
    <definedName name="propanes" localSheetId="13">Acetaldehyde!$I$16:$I$25</definedName>
    <definedName name="propanes" localSheetId="12">'Atmospheric Particulate Matter'!$I$16:$I$25</definedName>
    <definedName name="propanes" localSheetId="14">Benzene!$I$16:$I$25</definedName>
    <definedName name="propanes" localSheetId="10">'Carbon Monoxide'!$I$17:$I$26</definedName>
    <definedName name="propanes" localSheetId="18">Dichlorobenzene!$I$16:$I$25</definedName>
    <definedName name="propanes" localSheetId="20">Formaldehyde!$I$16:$I$25</definedName>
    <definedName name="propanes" localSheetId="17">'Naphthalene '!$I$16:$I$25</definedName>
    <definedName name="propanes" localSheetId="11">Ozone!$I$16:$I$25</definedName>
    <definedName name="propanes" localSheetId="15">Styrene!$I$16:$I$25</definedName>
    <definedName name="propanes" localSheetId="16">Toluene!$I$16:$I$25</definedName>
    <definedName name="propanes" localSheetId="19">'Xylenes-total'!$I$16:$I$25</definedName>
    <definedName name="propanes">base_f!$I$16:$I$25</definedName>
    <definedName name="prounit" localSheetId="13">Acetaldehyde!$I$16:$I$25</definedName>
    <definedName name="prounit" localSheetId="12">'Atmospheric Particulate Matter'!$I$16:$I$25</definedName>
    <definedName name="prounit" localSheetId="14">Benzene!$I$16:$I$25</definedName>
    <definedName name="prounit" localSheetId="10">'Carbon Monoxide'!$I$17:$I$26</definedName>
    <definedName name="prounit" localSheetId="18">Dichlorobenzene!$I$16:$I$25</definedName>
    <definedName name="prounit" localSheetId="20">Formaldehyde!$I$16:$I$25</definedName>
    <definedName name="prounit" localSheetId="17">'Naphthalene '!$I$16:$I$25</definedName>
    <definedName name="prounit" localSheetId="11">Ozone!$I$16:$I$25</definedName>
    <definedName name="prounit" localSheetId="15">Styrene!$I$16:$I$25</definedName>
    <definedName name="prounit" localSheetId="16">Toluene!$I$16:$I$25</definedName>
    <definedName name="prounit" localSheetId="19">'Xylenes-total'!$I$16:$I$25</definedName>
    <definedName name="prounit">base_f!$I$16:$I$25</definedName>
    <definedName name="RangeCount">'CO2 Reading for Upload'!$B$6:$B$12</definedName>
    <definedName name="RangeCountVOC">'TVOC Reading for Upload'!$B$6:$B$12</definedName>
    <definedName name="ReadingTable" localSheetId="13">'CO2 Readings'!$14:$15</definedName>
    <definedName name="ReadingTable" localSheetId="12">'CO2 Readings'!$14:$15</definedName>
    <definedName name="ReadingTable" localSheetId="14">'CO2 Readings'!$14:$15</definedName>
    <definedName name="ReadingTable" localSheetId="10">'CO2 Readings'!$14:$15</definedName>
    <definedName name="ReadingTable" localSheetId="18">'CO2 Readings'!$14:$15</definedName>
    <definedName name="ReadingTable" localSheetId="20">'CO2 Readings'!$14:$15</definedName>
    <definedName name="ReadingTable" localSheetId="17">'CO2 Readings'!$14:$15</definedName>
    <definedName name="ReadingTable" localSheetId="11">'CO2 Readings'!$14:$15</definedName>
    <definedName name="ReadingTable" localSheetId="15">'CO2 Readings'!$14:$15</definedName>
    <definedName name="ReadingTable" localSheetId="16">'CO2 Readings'!$14:$15</definedName>
    <definedName name="ReadingTable" localSheetId="19">'CO2 Readings'!$14:$15</definedName>
    <definedName name="ReadingTable">'CO2 Readings'!$14:$15</definedName>
    <definedName name="ReadingTableVOC" localSheetId="13">'TVOC Readings'!$15:$16</definedName>
    <definedName name="ReadingTableVOC" localSheetId="12">'TVOC Readings'!$15:$16</definedName>
    <definedName name="ReadingTableVOC" localSheetId="14">'TVOC Readings'!$15:$16</definedName>
    <definedName name="ReadingTableVOC" localSheetId="10">'TVOC Readings'!$15:$16</definedName>
    <definedName name="ReadingTableVOC" localSheetId="18">'TVOC Readings'!$15:$16</definedName>
    <definedName name="ReadingTableVOC" localSheetId="20">'TVOC Readings'!$15:$16</definedName>
    <definedName name="ReadingTableVOC" localSheetId="17">'TVOC Readings'!$15:$16</definedName>
    <definedName name="ReadingTableVOC" localSheetId="11">'TVOC Readings'!$15:$16</definedName>
    <definedName name="ReadingTableVOC" localSheetId="15">'TVOC Readings'!$15:$16</definedName>
    <definedName name="ReadingTableVOC" localSheetId="16">'TVOC Readings'!$15:$16</definedName>
    <definedName name="ReadingTableVOC" localSheetId="19">'TVOC Readings'!$15:$16</definedName>
    <definedName name="ReadingTableVOC">'TVOC Readings'!$15:$16</definedName>
    <definedName name="Sheets">TRANSPOSE(GET.WORKBOOK(1))&amp;T(NOW())</definedName>
    <definedName name="spacetype" localSheetId="13">Instructions!$S$45:$S$107</definedName>
    <definedName name="spacetype" localSheetId="12">Instructions!$S$45:$S$107</definedName>
    <definedName name="spacetype" localSheetId="14">Instructions!$S$45:$S$107</definedName>
    <definedName name="spacetype" localSheetId="10">Instructions!$S$45:$S$107</definedName>
    <definedName name="spacetype" localSheetId="18">Instructions!$S$45:$S$107</definedName>
    <definedName name="spacetype" localSheetId="20">Instructions!$S$45:$S$107</definedName>
    <definedName name="spacetype" localSheetId="17">Instructions!$S$45:$S$107</definedName>
    <definedName name="spacetype" localSheetId="11">Instructions!$S$45:$S$107</definedName>
    <definedName name="spacetype" localSheetId="15">Instructions!$S$45:$S$107</definedName>
    <definedName name="spacetype" localSheetId="16">Instructions!$S$45:$S$107</definedName>
    <definedName name="spacetype" localSheetId="19">Instructions!$S$45:$S$107</definedName>
    <definedName name="spacetype">Instructions!$S$36:$S$91</definedName>
    <definedName name="sumAnchor">'CO2 Readings'!$F$7:$F$15</definedName>
    <definedName name="sumAnchorVOC">'TVOC Readings'!$G$8:$G$16</definedName>
    <definedName name="sumDate">'CO2 Readings'!$G$7:$G$15</definedName>
    <definedName name="sumDateVOC">'TVOC Readings'!$H$8:$H$16</definedName>
    <definedName name="UniqueDate">'CO2 Readings'!$B$21</definedName>
    <definedName name="UniqueDateVOC">'TVOC Readings'!$B$22</definedName>
    <definedName name="UniqueLoc">'CO2 Readings'!$C$21</definedName>
    <definedName name="UniqueLocVOC">'TVOC Readings'!$C$22</definedName>
    <definedName name="Units">Instructions!$M$6:$M$7</definedName>
    <definedName name="UserFormat">'CO2 Readings'!$A$24:$E$24</definedName>
    <definedName name="validUnits">Instructions!$L$323:$L$341</definedName>
    <definedName name="water_meter_type" localSheetId="22">'Test Water Meter'!$H$64:$I$76</definedName>
    <definedName name="water_meter_type">base_w!$H$27:$I$39</definedName>
    <definedName name="water_type" localSheetId="22">'Test Water Meter'!$H$64:$I$76</definedName>
    <definedName name="water_type">base_w!$H$27:$I$39</definedName>
    <definedName name="water_units" localSheetId="22">'Test Water Meter'!$H$52:$H$60</definedName>
    <definedName name="water_units">base_w!$H$15:$H$23</definedName>
    <definedName name="WaterDrp" localSheetId="13">base_w!$I$9:$I$11</definedName>
    <definedName name="WaterDrp" localSheetId="12">base_w!$I$9:$I$11</definedName>
    <definedName name="WaterDrp" localSheetId="14">base_w!$I$9:$I$11</definedName>
    <definedName name="WaterDrp" localSheetId="10">base_w!$I$9:$I$11</definedName>
    <definedName name="WaterDrp" localSheetId="18">base_w!$I$9:$I$11</definedName>
    <definedName name="WaterDrp" localSheetId="20">base_w!$I$9:$I$11</definedName>
    <definedName name="WaterDrp" localSheetId="17">base_w!$I$9:$I$11</definedName>
    <definedName name="WaterDrp" localSheetId="11">base_w!$I$9:$I$11</definedName>
    <definedName name="WaterDrp" localSheetId="15">base_w!$I$9:$I$11</definedName>
    <definedName name="WaterDrp" localSheetId="22">'Test Water Meter'!$I$46:$I$48</definedName>
    <definedName name="WaterDrp" localSheetId="16">base_w!$I$9:$I$11</definedName>
    <definedName name="WaterDrp" localSheetId="19">base_w!$I$9:$I$11</definedName>
    <definedName name="WaterDrp">base_w!$I$9:$I$11</definedName>
    <definedName name="waterType" localSheetId="22">'Test Water Meter'!$H$64:$H$76</definedName>
    <definedName name="waterType">base_w!$H$27:$H$39</definedName>
    <definedName name="waterUnits" localSheetId="22">'Test Water Meter'!$J$47:$J$51</definedName>
    <definedName name="waterUnits">base_w!$J$10:$J$14</definedName>
    <definedName name="watUn" localSheetId="22">'Test Water Meter'!$H$52:$H$60</definedName>
    <definedName name="watUn">base_w!$H$15:$H$23</definedName>
    <definedName name="watUni" localSheetId="13">base_w!$H$15:$H$29</definedName>
    <definedName name="watUni" localSheetId="12">base_w!$H$15:$H$29</definedName>
    <definedName name="watUni" localSheetId="14">base_w!$H$15:$H$29</definedName>
    <definedName name="watUni" localSheetId="10">base_w!$H$15:$H$29</definedName>
    <definedName name="watUni" localSheetId="18">base_w!$H$15:$H$29</definedName>
    <definedName name="watUni" localSheetId="20">base_w!$H$15:$H$29</definedName>
    <definedName name="watUni" localSheetId="17">base_w!$H$15:$H$29</definedName>
    <definedName name="watUni" localSheetId="11">base_w!$H$15:$H$29</definedName>
    <definedName name="watUni" localSheetId="15">base_w!$H$15:$H$29</definedName>
    <definedName name="watUni" localSheetId="22">'Test Water Meter'!$H$52:$H$66</definedName>
    <definedName name="watUni" localSheetId="16">base_w!$H$15:$H$29</definedName>
    <definedName name="watUni" localSheetId="19">base_w!$H$15:$H$29</definedName>
    <definedName name="watUni">base_w!$H$15:$H$29</definedName>
    <definedName name="waUn">'Waste Stream'!$I$42:$I$48</definedName>
    <definedName name="waunit">'Waste Stream'!$J$39:$J$41</definedName>
    <definedName name="Wood" localSheetId="13">Acetaldehyde!$H$16:$H$27</definedName>
    <definedName name="Wood" localSheetId="12">'Atmospheric Particulate Matter'!$H$16:$H$27</definedName>
    <definedName name="Wood" localSheetId="14">Benzene!$H$16:$H$27</definedName>
    <definedName name="Wood" localSheetId="10">'Carbon Monoxide'!$H$17:$H$28</definedName>
    <definedName name="Wood" localSheetId="18">Dichlorobenzene!$H$16:$H$27</definedName>
    <definedName name="Wood" localSheetId="20">Formaldehyde!$H$16:$H$27</definedName>
    <definedName name="Wood" localSheetId="17">'Naphthalene '!$H$16:$H$27</definedName>
    <definedName name="Wood" localSheetId="11">Ozone!$H$16:$H$27</definedName>
    <definedName name="Wood" localSheetId="15">Styrene!$H$16:$H$27</definedName>
    <definedName name="Wood" localSheetId="16">Toluene!$H$16:$H$27</definedName>
    <definedName name="Wood" localSheetId="19">'Xylenes-total'!$H$16:$H$27</definedName>
    <definedName name="Wood">base_f!$H$16:$H$27</definedName>
    <definedName name="woods" localSheetId="13">Acetaldehyde!$H$16:$H$22</definedName>
    <definedName name="woods" localSheetId="12">'Atmospheric Particulate Matter'!$H$16:$H$22</definedName>
    <definedName name="woods" localSheetId="14">Benzene!$H$16:$H$22</definedName>
    <definedName name="woods" localSheetId="10">'Carbon Monoxide'!$H$17:$H$23</definedName>
    <definedName name="woods" localSheetId="18">Dichlorobenzene!$H$16:$H$22</definedName>
    <definedName name="woods" localSheetId="20">Formaldehyde!$H$16:$H$22</definedName>
    <definedName name="woods" localSheetId="17">'Naphthalene '!$H$16:$H$22</definedName>
    <definedName name="woods" localSheetId="11">Ozone!$H$16:$H$22</definedName>
    <definedName name="woods" localSheetId="15">Styrene!$H$16:$H$22</definedName>
    <definedName name="woods" localSheetId="16">Toluene!$H$16:$H$22</definedName>
    <definedName name="woods" localSheetId="19">'Xylenes-total'!$H$16:$H$22</definedName>
    <definedName name="woods">base_f!$H$16:$H$22</definedName>
    <definedName name="woodunit" localSheetId="13">Acetaldehyde!$H$16:$H$22</definedName>
    <definedName name="woodunit" localSheetId="12">'Atmospheric Particulate Matter'!$H$16:$H$22</definedName>
    <definedName name="woodunit" localSheetId="14">Benzene!$H$16:$H$22</definedName>
    <definedName name="woodunit" localSheetId="10">'Carbon Monoxide'!$H$17:$H$23</definedName>
    <definedName name="woodunit" localSheetId="18">Dichlorobenzene!$H$16:$H$22</definedName>
    <definedName name="woodunit" localSheetId="20">Formaldehyde!$H$16:$H$22</definedName>
    <definedName name="woodunit" localSheetId="17">'Naphthalene '!$H$16:$H$22</definedName>
    <definedName name="woodunit" localSheetId="11">Ozone!$H$16:$H$22</definedName>
    <definedName name="woodunit" localSheetId="15">Styrene!$H$16:$H$22</definedName>
    <definedName name="woodunit" localSheetId="16">Toluene!$H$16:$H$22</definedName>
    <definedName name="woodunit" localSheetId="19">'Xylenes-total'!$H$16:$H$22</definedName>
    <definedName name="woodunit">base_f!$H$16:$H$22</definedName>
    <definedName name="zep" localSheetId="22">'Test Water Meter'!$J$45</definedName>
    <definedName name="zep">base_w!$J$8</definedName>
  </definedNames>
  <calcPr calcId="162913"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4" i="28" l="1"/>
  <c r="D35" i="11"/>
  <c r="D33" i="28"/>
  <c r="E7" i="13"/>
  <c r="E8" i="13"/>
  <c r="B8" i="13"/>
  <c r="D8" i="13" a="1"/>
  <c r="D8" i="13"/>
  <c r="A8" i="13"/>
  <c r="C8" i="13"/>
  <c r="E9" i="13"/>
  <c r="B9" i="13"/>
  <c r="D9" i="13" a="1"/>
  <c r="D9" i="13"/>
  <c r="A9" i="13"/>
  <c r="C9" i="13"/>
  <c r="B7" i="13"/>
  <c r="D7" i="13" a="1"/>
  <c r="D7" i="13"/>
  <c r="C7" i="13"/>
  <c r="A7" i="13"/>
  <c r="J10" i="15" a="1"/>
  <c r="J10" i="15"/>
  <c r="J12" i="15" a="1"/>
  <c r="J12" i="15"/>
  <c r="J16" i="15"/>
  <c r="J15" i="15"/>
  <c r="J8" i="15"/>
  <c r="I10" i="15" a="1"/>
  <c r="I10" i="15"/>
  <c r="I12" i="15" a="1"/>
  <c r="I12" i="15"/>
  <c r="I16" i="15"/>
  <c r="I15" i="15"/>
  <c r="I8" i="15"/>
  <c r="B12" i="15" a="1"/>
  <c r="B12" i="15"/>
  <c r="E7" i="12"/>
  <c r="E8" i="12"/>
  <c r="B8" i="12"/>
  <c r="D8" i="12"/>
  <c r="A8" i="12"/>
  <c r="C8" i="12"/>
  <c r="E9" i="12"/>
  <c r="B9" i="12"/>
  <c r="D9" i="12"/>
  <c r="A9" i="12"/>
  <c r="C9" i="12"/>
  <c r="B7" i="12"/>
  <c r="D7" i="12"/>
  <c r="C7" i="12"/>
  <c r="A7" i="12"/>
  <c r="I9" i="14" a="1"/>
  <c r="I9" i="14"/>
  <c r="I11" i="14" a="1"/>
  <c r="I11" i="14"/>
  <c r="I15" i="14"/>
  <c r="I14" i="14"/>
  <c r="I7" i="14"/>
  <c r="H9" i="14" a="1"/>
  <c r="H9" i="14"/>
  <c r="H11" i="14" a="1"/>
  <c r="H11" i="14"/>
  <c r="H15" i="14"/>
  <c r="H14" i="14"/>
  <c r="H7" i="14"/>
  <c r="B11" i="14" a="1"/>
  <c r="B11" i="14"/>
  <c r="G9" i="14" a="1"/>
  <c r="G9" i="14"/>
  <c r="G14" i="14"/>
  <c r="G11" i="14" a="1"/>
  <c r="G11" i="14"/>
  <c r="G15" i="14"/>
  <c r="D6" i="29"/>
  <c r="B1" i="29"/>
  <c r="D1" i="29"/>
  <c r="D6" i="28"/>
  <c r="B1" i="28"/>
  <c r="D1" i="28"/>
  <c r="B50" i="16"/>
  <c r="B38" i="16"/>
  <c r="B24" i="16"/>
  <c r="D6" i="16"/>
  <c r="J8" i="16"/>
  <c r="J10" i="16"/>
  <c r="J11" i="16"/>
  <c r="J12" i="16"/>
  <c r="J13" i="16"/>
  <c r="J14" i="16"/>
  <c r="J15" i="16"/>
  <c r="J16" i="16"/>
  <c r="J17" i="16"/>
  <c r="J18" i="16"/>
  <c r="I19" i="16"/>
  <c r="F19" i="16"/>
  <c r="K8" i="16"/>
  <c r="K9" i="16"/>
  <c r="J9" i="16"/>
  <c r="K10" i="16"/>
  <c r="K11" i="16"/>
  <c r="K12" i="16"/>
  <c r="K13" i="16"/>
  <c r="K14" i="16"/>
  <c r="K15" i="16"/>
  <c r="K16" i="16"/>
  <c r="K17" i="16"/>
  <c r="K18" i="16"/>
  <c r="K7" i="16"/>
  <c r="J7" i="16"/>
  <c r="G19" i="16"/>
  <c r="B44" i="16"/>
  <c r="D6" i="27" a="1"/>
  <c r="D6" i="27"/>
  <c r="B1" i="27"/>
  <c r="D1" i="27"/>
  <c r="D6" i="26" a="1"/>
  <c r="D6" i="26"/>
  <c r="B1" i="26"/>
  <c r="D1" i="26"/>
  <c r="D6" i="25" a="1"/>
  <c r="D6" i="25"/>
  <c r="B1" i="25"/>
  <c r="D1" i="25"/>
  <c r="D6" i="24" a="1"/>
  <c r="D6" i="24"/>
  <c r="B1" i="24"/>
  <c r="D1" i="24"/>
  <c r="D6" i="23" a="1"/>
  <c r="D6" i="23"/>
  <c r="B1" i="23"/>
  <c r="D1" i="23"/>
  <c r="D6" i="22" a="1"/>
  <c r="D6" i="22"/>
  <c r="B1" i="22"/>
  <c r="D1" i="22"/>
  <c r="D6" i="21"/>
  <c r="D6" i="21" a="1"/>
  <c r="B1" i="21"/>
  <c r="D1" i="21"/>
  <c r="D6" i="20" a="1"/>
  <c r="D6" i="20"/>
  <c r="B1" i="20"/>
  <c r="D1" i="20"/>
  <c r="D6" i="19" a="1"/>
  <c r="D6" i="19"/>
  <c r="B1" i="19"/>
  <c r="D1" i="19"/>
  <c r="D6" i="18" a="1"/>
  <c r="D6" i="18"/>
  <c r="B1" i="18"/>
  <c r="D1" i="18"/>
  <c r="D6" i="17" a="1"/>
  <c r="D6" i="17"/>
  <c r="B1" i="17"/>
  <c r="D1" i="17"/>
  <c r="D19" i="16"/>
  <c r="L8" i="16"/>
  <c r="L9" i="16"/>
  <c r="L10" i="16"/>
  <c r="L11" i="16"/>
  <c r="L12" i="16"/>
  <c r="L13" i="16"/>
  <c r="L14" i="16"/>
  <c r="L15" i="16"/>
  <c r="L16" i="16"/>
  <c r="L7" i="16"/>
  <c r="D25" i="16"/>
  <c r="H19" i="16"/>
  <c r="H10" i="15" a="1"/>
  <c r="H10" i="15"/>
  <c r="E19" i="16"/>
  <c r="L17" i="16"/>
  <c r="L18" i="16"/>
  <c r="D24" i="16"/>
  <c r="D6" i="13"/>
  <c r="D6" i="12"/>
  <c r="E19" i="15"/>
  <c r="C22" i="15" a="1"/>
  <c r="C22" i="15"/>
  <c r="B22" i="15" a="1"/>
  <c r="B22" i="15"/>
  <c r="C21" i="14" a="1"/>
  <c r="C21" i="14"/>
  <c r="B21" i="14" a="1"/>
  <c r="B21" i="14"/>
  <c r="E18" i="14"/>
  <c r="B1" i="6"/>
  <c r="B1" i="8"/>
  <c r="B1" i="4"/>
  <c r="D6" i="8"/>
  <c r="D6" i="6"/>
  <c r="D6" i="4"/>
  <c r="E6" i="11"/>
  <c r="D6" i="11"/>
  <c r="D26" i="16"/>
  <c r="A12" i="15"/>
  <c r="H12" i="15" a="1"/>
  <c r="H12" i="15"/>
  <c r="H8" i="15"/>
  <c r="H15" i="15"/>
  <c r="D1" i="8"/>
  <c r="D1" i="6"/>
  <c r="D1" i="4"/>
  <c r="J19" i="16"/>
  <c r="G7" i="14"/>
  <c r="A11" i="14"/>
  <c r="D28" i="16"/>
  <c r="D27" i="16"/>
  <c r="B19" i="15"/>
  <c r="C19" i="15"/>
  <c r="H16" i="15"/>
  <c r="B18" i="14"/>
  <c r="C18" i="14"/>
  <c r="D19" i="15" a="1"/>
  <c r="D19" i="15"/>
  <c r="A19" i="15"/>
  <c r="D18" i="14"/>
  <c r="A18" i="14"/>
</calcChain>
</file>

<file path=xl/comments1.xml><?xml version="1.0" encoding="utf-8"?>
<comments xmlns="http://schemas.openxmlformats.org/spreadsheetml/2006/main">
  <authors>
    <author>Group10</author>
  </authors>
  <commentList>
    <comment ref="N5" authorId="0" shapeId="0">
      <text>
        <r>
          <rPr>
            <sz val="9"/>
            <color indexed="81"/>
            <rFont val="Century Gothic"/>
            <family val="2"/>
          </rPr>
          <t>Up to 10% of the gross floor area may be excluded from each prerequisite/performance score.</t>
        </r>
      </text>
    </comment>
    <comment ref="B6" authorId="0" shapeId="0">
      <text>
        <r>
          <rPr>
            <sz val="9"/>
            <color indexed="81"/>
            <rFont val="Century Gothic"/>
            <family val="2"/>
          </rPr>
          <t>Spaces with similar characteristics may be grouped.</t>
        </r>
      </text>
    </comment>
    <comment ref="R6" authorId="0" shapeId="0">
      <text>
        <r>
          <rPr>
            <sz val="9"/>
            <color indexed="81"/>
            <rFont val="Century Gothic"/>
            <family val="2"/>
          </rPr>
          <t>Indoor Environmental Quality Performance prerequisite</t>
        </r>
      </text>
    </comment>
    <comment ref="B25" authorId="0" shapeId="0">
      <text>
        <r>
          <rPr>
            <sz val="9"/>
            <color indexed="81"/>
            <rFont val="Century Gothic"/>
            <family val="2"/>
          </rPr>
          <t>operating hours are area-weighted based on space information provided above</t>
        </r>
      </text>
    </comment>
    <comment ref="B32" authorId="0" shapeId="0">
      <text>
        <r>
          <rPr>
            <sz val="9"/>
            <color indexed="81"/>
            <rFont val="Century Gothic"/>
            <family val="2"/>
          </rPr>
          <t>These values are used for the applicable performance score in place of the summary values above to account for the excluded space(s).</t>
        </r>
      </text>
    </comment>
  </commentList>
</comments>
</file>

<file path=xl/sharedStrings.xml><?xml version="1.0" encoding="utf-8"?>
<sst xmlns="http://schemas.openxmlformats.org/spreadsheetml/2006/main" count="3896" uniqueCount="747">
  <si>
    <t>Step 1.</t>
  </si>
  <si>
    <t>Enable macros</t>
  </si>
  <si>
    <t>Note: This calculator is for use with Excel for Mac 2011 and Excel 2007 or later.</t>
  </si>
  <si>
    <t>Ip Units</t>
  </si>
  <si>
    <t>Si Units</t>
  </si>
  <si>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</si>
  <si>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</si>
  <si>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</si>
  <si>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</si>
  <si>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</si>
  <si>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</si>
  <si>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</si>
  <si>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</si>
  <si>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</si>
  <si>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</si>
  <si>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</si>
  <si>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</si>
  <si>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</si>
  <si>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</si>
  <si>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</si>
  <si>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</si>
  <si>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</si>
  <si>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</si>
  <si>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</si>
  <si>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</si>
  <si>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</si>
  <si>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</si>
  <si>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</si>
  <si>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</si>
  <si>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</si>
  <si>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</si>
  <si>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</si>
  <si>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</si>
  <si>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</si>
  <si>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</si>
  <si>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</si>
  <si>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</si>
  <si>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</si>
  <si>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</si>
  <si>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</si>
  <si>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</si>
  <si>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</si>
  <si>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</si>
  <si>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</si>
  <si>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</si>
  <si>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</si>
  <si>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</si>
  <si>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</si>
  <si>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</si>
  <si>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</si>
  <si>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</si>
  <si>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</si>
  <si>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</si>
  <si>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</si>
  <si>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</si>
  <si>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</si>
  <si>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</si>
  <si>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</si>
  <si>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</si>
  <si>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</si>
  <si>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</si>
  <si>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</si>
  <si>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</si>
  <si>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</si>
  <si>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</si>
  <si>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</si>
  <si>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</si>
  <si>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</si>
  <si>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</si>
  <si>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</si>
  <si>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</si>
  <si>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</si>
  <si>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</si>
  <si>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</si>
  <si>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</si>
  <si>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</si>
  <si>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</si>
  <si>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</si>
  <si>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</si>
  <si>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</si>
  <si>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</si>
  <si>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</si>
  <si>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</si>
  <si>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</si>
  <si>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</si>
  <si>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</si>
  <si>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</si>
  <si>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</si>
  <si>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</si>
  <si>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</si>
  <si>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</si>
  <si>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</si>
  <si>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</si>
  <si>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</si>
  <si>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</si>
  <si>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</si>
  <si>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</si>
  <si>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</si>
  <si>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</si>
  <si>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</si>
  <si>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</si>
  <si>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</si>
  <si>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</si>
  <si>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</si>
  <si>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</si>
  <si>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</si>
  <si>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</si>
  <si>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</si>
  <si>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</si>
  <si>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</si>
  <si>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</si>
  <si>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</si>
  <si>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</si>
  <si>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</si>
  <si>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</si>
  <si>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</si>
  <si>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</si>
  <si>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</si>
  <si>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</si>
  <si>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</si>
  <si>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</si>
  <si>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</si>
  <si>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</si>
  <si>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</si>
  <si>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</si>
  <si>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</si>
  <si>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</si>
  <si>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</si>
  <si>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</si>
  <si>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</si>
  <si>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</si>
  <si>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</si>
  <si>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</si>
  <si>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</si>
  <si>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</si>
  <si>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</si>
  <si>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</si>
  <si>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</si>
  <si>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</si>
  <si>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</si>
  <si>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</si>
  <si>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</si>
  <si>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</si>
  <si>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</si>
  <si>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</si>
  <si>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</si>
  <si>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</si>
  <si>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</si>
  <si>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</si>
  <si>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</si>
  <si>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</si>
  <si>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</si>
  <si>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</si>
  <si>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</si>
  <si>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</si>
  <si>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</si>
  <si>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</si>
  <si>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</si>
  <si>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</si>
  <si>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</si>
  <si>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</si>
  <si>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</si>
  <si>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</si>
  <si>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</si>
  <si>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</si>
  <si>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</si>
  <si>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</si>
  <si>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</si>
  <si>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</si>
  <si>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</si>
  <si>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</si>
  <si>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</si>
  <si>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</si>
  <si>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</si>
  <si>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</si>
  <si>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</si>
  <si>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</si>
  <si>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</si>
  <si>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</si>
  <si>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</si>
  <si>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</si>
  <si>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</si>
  <si>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</si>
  <si>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</si>
  <si>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</si>
  <si>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</si>
  <si>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</si>
  <si>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</si>
  <si>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</si>
  <si>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</si>
  <si>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</si>
  <si>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</si>
  <si>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</si>
  <si>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</si>
  <si>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</si>
  <si>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</si>
  <si>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</si>
  <si>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</si>
  <si>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</si>
  <si>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</si>
  <si>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</si>
  <si>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</si>
  <si>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</si>
  <si>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</si>
  <si>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</si>
  <si>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</si>
  <si>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</si>
  <si>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</si>
  <si>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</si>
  <si>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</si>
  <si>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</si>
  <si>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</si>
  <si>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</si>
  <si>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</si>
  <si>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</si>
  <si>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</si>
  <si>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</si>
  <si>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</si>
  <si>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</si>
  <si>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</si>
  <si>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</si>
  <si>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</si>
  <si>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</si>
  <si>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</si>
  <si>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</si>
  <si>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</si>
  <si>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</si>
  <si>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</si>
  <si>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</si>
  <si>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</si>
  <si>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</si>
  <si>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</si>
  <si>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</si>
  <si>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</si>
  <si>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</si>
  <si>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</si>
  <si>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</si>
  <si>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</si>
  <si>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</si>
  <si>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</si>
  <si>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</si>
  <si>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</si>
  <si>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</si>
  <si>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</si>
  <si>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</si>
  <si>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</si>
  <si>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</si>
  <si>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</si>
  <si>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</si>
  <si>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</si>
  <si>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</si>
  <si>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</si>
  <si>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</si>
  <si>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</si>
  <si>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</si>
  <si>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</si>
  <si>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</si>
  <si>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</si>
  <si>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</si>
  <si>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</si>
  <si>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</si>
  <si>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</si>
  <si>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</si>
  <si>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</si>
  <si>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</si>
  <si>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</si>
  <si>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</si>
  <si>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</si>
  <si>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</si>
  <si>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</si>
  <si>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</si>
  <si>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</si>
  <si>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</si>
  <si>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</si>
  <si>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</si>
  <si>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</si>
  <si>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</si>
  <si>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</si>
  <si>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</si>
  <si>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</si>
  <si>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</si>
  <si>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</si>
  <si>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</si>
  <si>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</si>
  <si>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</si>
  <si>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</si>
  <si>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</si>
  <si>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</si>
  <si>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</si>
  <si>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</si>
  <si>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</si>
  <si>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</si>
  <si>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</si>
  <si>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</si>
  <si>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</si>
  <si>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</si>
  <si>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</si>
  <si>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</si>
  <si>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</si>
  <si>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</si>
  <si>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</si>
  <si>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</si>
  <si>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</si>
  <si>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</si>
  <si>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</si>
  <si>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</si>
  <si>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</si>
  <si>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</si>
  <si>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</si>
  <si>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</si>
  <si>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</si>
  <si>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</si>
  <si>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</si>
  <si>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</si>
  <si>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</si>
  <si>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</si>
  <si>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</si>
  <si>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</si>
  <si>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</si>
  <si>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</si>
  <si>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</si>
  <si>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</si>
  <si>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</si>
  <si>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</si>
  <si>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</si>
  <si>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</si>
  <si>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</si>
  <si>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</si>
  <si>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</si>
  <si>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</si>
  <si>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</si>
  <si>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</si>
  <si>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</si>
  <si>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</si>
  <si>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</si>
  <si>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</si>
  <si>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</si>
  <si>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</si>
  <si>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</si>
  <si>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</si>
  <si>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</si>
  <si>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</si>
  <si>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</si>
  <si>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</si>
  <si>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</si>
  <si>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</si>
  <si>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</si>
  <si>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</si>
  <si>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</si>
  <si>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</si>
  <si>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</si>
  <si>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</si>
  <si>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</si>
  <si>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</si>
  <si>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</si>
  <si>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</si>
  <si>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</si>
  <si>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</si>
  <si>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</si>
  <si>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</si>
  <si>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</si>
  <si>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</si>
  <si>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</si>
  <si>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</si>
  <si>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</si>
  <si>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</si>
  <si>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</si>
  <si>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</si>
  <si>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</si>
  <si>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</si>
  <si>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</si>
  <si>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</si>
  <si>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</si>
  <si>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</si>
  <si>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</si>
  <si>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</si>
  <si>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</si>
  <si>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</si>
  <si>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</si>
  <si>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</si>
  <si>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</si>
  <si>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</si>
  <si>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</si>
  <si>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</si>
  <si>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</si>
  <si>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</si>
  <si>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</si>
  <si>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</si>
  <si>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</si>
  <si>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</si>
  <si>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</si>
  <si>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</si>
  <si>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</si>
  <si>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</si>
  <si>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</si>
  <si>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</si>
  <si>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</si>
  <si>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</si>
  <si>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</si>
  <si>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</si>
  <si>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</si>
  <si>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</si>
  <si>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</si>
  <si>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</si>
  <si>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</si>
  <si>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</si>
  <si>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</si>
  <si>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</si>
  <si>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</si>
  <si>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</si>
  <si>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</si>
  <si>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</si>
  <si>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</si>
  <si>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</si>
  <si>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</si>
  <si>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</si>
  <si>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</si>
  <si>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</si>
  <si>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</si>
  <si>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</si>
  <si>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</si>
  <si>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</si>
  <si>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</si>
  <si>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</si>
  <si>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</si>
  <si>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</si>
  <si>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</si>
  <si>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</si>
  <si>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</si>
  <si>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</si>
  <si>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</si>
  <si>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</si>
  <si>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</si>
  <si>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</si>
  <si>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</si>
  <si>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</si>
  <si>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</si>
  <si>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</si>
  <si>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</si>
  <si>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</si>
  <si>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</si>
  <si>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</si>
  <si>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</si>
  <si>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</si>
  <si>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</si>
  <si>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</si>
  <si>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</si>
  <si>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</si>
  <si>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</si>
  <si>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</si>
  <si>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</si>
  <si>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</si>
  <si>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</si>
  <si>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</si>
  <si>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</si>
  <si>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</si>
  <si>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</si>
  <si>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</si>
  <si>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</si>
  <si>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</si>
  <si>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</si>
  <si>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</si>
  <si>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</si>
  <si>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</si>
  <si>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</si>
  <si>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</si>
  <si>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</si>
  <si>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</si>
  <si>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</si>
  <si>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</si>
  <si>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</si>
  <si>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</si>
  <si>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</si>
  <si>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</si>
  <si>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</si>
  <si>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</si>
  <si>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</si>
  <si>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</si>
  <si>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</si>
  <si>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</si>
  <si>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</si>
  <si>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</si>
  <si>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</si>
  <si>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</si>
  <si>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</si>
  <si>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</si>
  <si>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</si>
  <si>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</si>
  <si>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</si>
  <si>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</si>
  <si>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</si>
  <si>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</si>
  <si>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</si>
  <si>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</si>
  <si>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</si>
  <si>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</si>
  <si>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</si>
  <si>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</si>
  <si>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</si>
  <si>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</si>
  <si>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</si>
  <si>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</si>
  <si>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</si>
  <si>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</si>
  <si>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</si>
  <si>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</si>
  <si>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</si>
  <si>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</si>
  <si>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</si>
  <si>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</si>
  <si>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</si>
  <si>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</si>
  <si>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</si>
  <si>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</si>
  <si>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</si>
  <si>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</si>
  <si>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</si>
  <si>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</si>
  <si>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</si>
  <si>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</si>
  <si>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</si>
  <si>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</si>
  <si>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</si>
  <si>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</si>
  <si>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</si>
  <si>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</si>
  <si>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</si>
  <si>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</si>
  <si>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</si>
  <si>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</si>
  <si>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</si>
  <si>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</si>
  <si>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</si>
  <si>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</si>
  <si>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</si>
  <si>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</si>
  <si>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</si>
  <si>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</si>
  <si>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</si>
  <si>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</si>
  <si>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</si>
  <si>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</si>
  <si>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</si>
  <si>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</si>
  <si>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</si>
  <si>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</si>
  <si>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</si>
  <si>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</si>
  <si>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</si>
  <si>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</si>
  <si>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</si>
  <si>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</si>
  <si>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</si>
  <si>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</si>
  <si>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</si>
  <si>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</si>
  <si>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</si>
  <si>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</si>
  <si>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</si>
  <si>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</si>
  <si>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</si>
  <si>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</si>
  <si>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</si>
  <si>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</si>
  <si>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</si>
  <si>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</si>
  <si>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</si>
  <si>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</si>
  <si>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</si>
  <si>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</si>
  <si>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</si>
  <si>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</si>
  <si>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</si>
  <si>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</si>
  <si>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</si>
  <si>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</si>
  <si>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</si>
  <si>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</si>
  <si>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</si>
  <si>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</si>
  <si>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</si>
  <si>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</si>
  <si>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</si>
  <si>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</si>
  <si>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</si>
  <si>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</si>
  <si>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</si>
  <si>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</si>
  <si>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</si>
  <si>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</si>
  <si>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</si>
  <si>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</si>
  <si>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</si>
  <si>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</si>
  <si>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</si>
  <si>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</si>
  <si>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Step 2.</t>
  </si>
  <si>
    <t>Note: This selection must match the unit of measurement chosen during project registration.</t>
  </si>
  <si>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</si>
  <si>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</si>
  <si>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</si>
  <si>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</si>
  <si>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</si>
  <si>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</si>
  <si>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</si>
  <si>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</si>
  <si>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</si>
  <si>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</si>
  <si>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</si>
  <si>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</si>
  <si>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</si>
  <si>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</si>
  <si>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</si>
  <si>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</si>
  <si>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</si>
  <si>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</si>
  <si>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</si>
  <si>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</si>
  <si>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</si>
  <si>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</si>
  <si>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</si>
  <si>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</si>
  <si>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</si>
  <si>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</si>
  <si>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</si>
  <si>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</si>
  <si>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</si>
  <si>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</si>
  <si>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</si>
  <si>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</si>
  <si>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</si>
  <si>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</si>
  <si>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</si>
  <si>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</si>
  <si>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</si>
  <si>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</si>
  <si>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</si>
  <si>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</si>
  <si>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</si>
  <si>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</si>
  <si>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</si>
  <si>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</si>
  <si>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</si>
  <si>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</si>
  <si>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</si>
  <si>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</si>
  <si>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</si>
  <si>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</si>
  <si>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</si>
  <si>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</si>
  <si>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</si>
  <si>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</si>
  <si>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</si>
  <si>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</si>
  <si>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</si>
  <si>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</si>
  <si>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</si>
  <si>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</si>
  <si>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</si>
  <si>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</si>
  <si>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</si>
  <si>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</si>
  <si>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</si>
  <si>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</si>
  <si>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</si>
  <si>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</si>
  <si>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</si>
  <si>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</si>
  <si>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</si>
  <si>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</si>
  <si>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</si>
  <si>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</si>
  <si>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</si>
  <si>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</si>
  <si>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</si>
  <si>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</si>
  <si>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</si>
  <si>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</si>
  <si>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</si>
  <si>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</si>
  <si>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</si>
  <si>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</si>
  <si>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</si>
  <si>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</si>
  <si>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</si>
  <si>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</si>
  <si>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</si>
  <si>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</si>
  <si>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</si>
  <si>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</si>
  <si>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</si>
  <si>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</si>
  <si>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</si>
  <si>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</si>
  <si>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</si>
  <si>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</si>
  <si>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</si>
  <si>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</si>
  <si>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</si>
  <si>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</si>
  <si>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</si>
  <si>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</si>
  <si>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</si>
  <si>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Include</t>
  </si>
  <si>
    <t>Effective date</t>
  </si>
  <si>
    <t>v4.4</t>
  </si>
  <si>
    <t>LEED v4.1 Tenant space exclusion: Indicate whether the space is being excluded from the specific prerequisite/performance score</t>
  </si>
  <si>
    <t>Totals</t>
  </si>
  <si>
    <t>Year Built</t>
  </si>
  <si>
    <t>Energy - Electricity</t>
  </si>
  <si>
    <t>Energy - Other fuels</t>
  </si>
  <si>
    <t>Complete the required information for each selected tab.</t>
  </si>
  <si>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</si>
  <si>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</si>
  <si>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</si>
  <si>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</si>
  <si>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</si>
  <si>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Arc Skoru</t>
  </si>
  <si>
    <t>Building Settings</t>
  </si>
  <si>
    <t>Weekly Operating Hours</t>
  </si>
  <si>
    <t># visitors each day</t>
  </si>
  <si>
    <t>Summary Building Settings for Upload</t>
  </si>
  <si>
    <t>Operating Hours</t>
  </si>
  <si>
    <t>Total Building Occupants</t>
  </si>
  <si>
    <t>Building Settings (Project size, occupants, and operating hours)</t>
  </si>
  <si>
    <t>Visitor Information</t>
  </si>
  <si>
    <t>Human Experience Performance</t>
  </si>
  <si>
    <t>Adjusted Values</t>
  </si>
  <si>
    <t>Regular building occupants are habitual users of the building (Examples are:  employees or staff, volunteers who regularly use the building, residents including residents of a dormitory, primary and secondary school students, hotel guests, and inpatients.) 
Enter a daily, time-weighted average: the typical number of occupants in the space at any given time. Count full time employees based on a standard eight-hour occupancy period.  Ensure part time employee hours are included in the total count as appropriate. For example: employees = sum of all employee hours in a 24 hour period / 8</t>
  </si>
  <si>
    <r>
      <rPr>
        <b/>
        <sz val="16"/>
        <rFont val="Century Gothic"/>
        <family val="2"/>
      </rPr>
      <t>Performance Data Upload Calculator</t>
    </r>
    <r>
      <rPr>
        <b/>
        <sz val="14"/>
        <rFont val="Century Gothic"/>
        <family val="2"/>
      </rPr>
      <t xml:space="preserve">
</t>
    </r>
    <r>
      <rPr>
        <sz val="10"/>
        <rFont val="Century Gothic"/>
        <family val="2"/>
      </rPr>
      <t>for Buildings and Spaces</t>
    </r>
  </si>
  <si>
    <r>
      <rPr>
        <b/>
        <sz val="10"/>
        <rFont val="Century Gothic"/>
        <family val="2"/>
      </rPr>
      <t>Step 3.</t>
    </r>
    <r>
      <rPr>
        <sz val="10"/>
        <rFont val="Century Gothic"/>
        <family val="2"/>
      </rPr>
      <t xml:space="preserve"> </t>
    </r>
  </si>
  <si>
    <r>
      <rPr>
        <b/>
        <sz val="10"/>
        <rFont val="Century Gothic"/>
        <family val="2"/>
      </rPr>
      <t>Step 4.</t>
    </r>
    <r>
      <rPr>
        <sz val="10"/>
        <rFont val="Century Gothic"/>
        <family val="2"/>
      </rPr>
      <t xml:space="preserve"> </t>
    </r>
  </si>
  <si>
    <r>
      <t xml:space="preserve">Regular Building Occupants 
</t>
    </r>
    <r>
      <rPr>
        <i/>
        <sz val="10"/>
        <rFont val="Century Gothic"/>
        <family val="2"/>
      </rPr>
      <t>(daily average)</t>
    </r>
  </si>
  <si>
    <r>
      <t xml:space="preserve">Visitors 
</t>
    </r>
    <r>
      <rPr>
        <i/>
        <sz val="10"/>
        <rFont val="Century Gothic"/>
        <family val="2"/>
      </rPr>
      <t>(daily average)</t>
    </r>
  </si>
  <si>
    <t>Duration of Visit (in hours/day) (HH:MM)</t>
  </si>
  <si>
    <t>F</t>
  </si>
  <si>
    <t>Visitors (also called “transients”) intermittently use the building. (Examples are: retail customers, outpatients, volunteers who periodically use the building, and higher-education students.)</t>
  </si>
  <si>
    <r>
      <t xml:space="preserve">Use this calculator to upload data into the platform. </t>
    </r>
    <r>
      <rPr>
        <b/>
        <sz val="10"/>
        <rFont val="Century Gothic"/>
        <family val="2"/>
      </rPr>
      <t xml:space="preserve">To ensure proper upload, refer to detailed steps below and the </t>
    </r>
  </si>
  <si>
    <r>
      <t xml:space="preserve">Select the data you would like to upload. </t>
    </r>
    <r>
      <rPr>
        <i/>
        <sz val="10"/>
        <color rgb="FFFF0000"/>
        <rFont val="Century Gothic"/>
        <family val="2"/>
      </rPr>
      <t xml:space="preserve">Note: the data must not conflict or overlap with data already in the platform </t>
    </r>
  </si>
  <si>
    <t xml:space="preserve">Upload the completed file to the platform. Note: After we accept your file, we will scan it for errors and enter your data into the platform. You will receive a report explaining that all of your data were successfully entered into the platform or that all or some of your data could not be entered into the platform (Learn about avoiding error messages </t>
  </si>
  <si>
    <r>
      <t xml:space="preserve">Use this tab to determine key parameters for your project.  Definitions are included on the instructions tab.  These values are used in conjunction with your performance data to calculate the performance score(s)                                
</t>
    </r>
    <r>
      <rPr>
        <b/>
        <sz val="10"/>
        <color theme="1"/>
        <rFont val="Century Gothic"/>
        <family val="2"/>
      </rPr>
      <t>You must enter an "effective date"</t>
    </r>
    <r>
      <rPr>
        <sz val="10"/>
        <color theme="1"/>
        <rFont val="Century Gothic"/>
        <family val="2"/>
      </rPr>
      <t xml:space="preserve">,  which is the date this project information came into effect. If this is the first time you are uploading this information for your project, use the project registration date. Otherwise, enter the date this information changed </t>
    </r>
  </si>
  <si>
    <t>US tons</t>
  </si>
  <si>
    <t>Test Energy Meter</t>
  </si>
  <si>
    <t>Test Water Meter</t>
  </si>
  <si>
    <t xml:space="preserve">Test1 </t>
  </si>
  <si>
    <t>Gurgaon</t>
  </si>
  <si>
    <t>IP units (feet)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</si>
</sst>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46"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sz val="8"/>
      <name val="Arial"/>
      <family val="2"/>
    </font>
    <font>
      <sz val="9"/>
      <color theme="1"/>
      <name val="Arial"/>
      <family val="2"/>
    </font>
    <font>
      <sz val="11"/>
      <color rgb="FF000000"/>
      <name val="Calibri"/>
      <family val="2"/>
    </font>
    <font>
      <sz val="11"/>
      <color theme="0"/>
      <name val="Calibri"/>
      <family val="2"/>
      <scheme val="minor"/>
    </font>
    <font>
      <sz val="10"/>
      <color rgb="FF000000"/>
      <name val="Arial"/>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rgb="FF000000"/>
      <name val="Segoe UI"/>
      <family val="2"/>
    </font>
    <font>
      <sz val="9"/>
      <color indexed="81"/>
      <name val="Century Gothic"/>
      <family val="2"/>
    </font>
    <font>
      <b/>
      <sz val="14"/>
      <name val="Century Gothic"/>
      <family val="2"/>
    </font>
    <font>
      <b/>
      <sz val="16"/>
      <name val="Century Gothic"/>
      <family val="2"/>
    </font>
    <font>
      <sz val="10"/>
      <name val="Century Gothic"/>
      <family val="2"/>
    </font>
    <font>
      <b/>
      <sz val="12"/>
      <name val="Century Gothic"/>
      <family val="2"/>
    </font>
    <font>
      <b/>
      <sz val="10"/>
      <name val="Century Gothic"/>
      <family val="2"/>
    </font>
    <font>
      <sz val="9"/>
      <name val="Century Gothic"/>
      <family val="2"/>
    </font>
    <font>
      <sz val="8"/>
      <name val="Century Gothic"/>
      <family val="2"/>
    </font>
    <font>
      <i/>
      <sz val="10"/>
      <color rgb="FFFF0000"/>
      <name val="Century Gothic"/>
      <family val="2"/>
    </font>
    <font>
      <sz val="10"/>
      <color theme="1"/>
      <name val="Century Gothic"/>
      <family val="2"/>
    </font>
    <font>
      <sz val="10"/>
      <color rgb="FF000000"/>
      <name val="Century Gothic"/>
      <family val="2"/>
    </font>
    <font>
      <i/>
      <sz val="10"/>
      <name val="Century Gothic"/>
      <family val="2"/>
    </font>
    <font>
      <sz val="9.5"/>
      <name val="Century Gothic"/>
      <family val="2"/>
    </font>
    <font>
      <b/>
      <sz val="11"/>
      <color theme="1"/>
      <name val="Century Gothic"/>
      <family val="2"/>
    </font>
    <font>
      <b/>
      <sz val="10"/>
      <color theme="1"/>
      <name val="Century Gothic"/>
      <family val="2"/>
    </font>
    <font>
      <sz val="11"/>
      <color theme="1"/>
      <name val="Century Gothic"/>
      <family val="2"/>
    </font>
    <font>
      <sz val="8"/>
      <color theme="0" tint="-0.499984740745262"/>
      <name val="Century Gothic"/>
      <family val="2"/>
    </font>
    <font>
      <b/>
      <sz val="18"/>
      <color theme="0"/>
      <name val="Century Gothic"/>
      <family val="2"/>
    </font>
    <font>
      <sz val="9"/>
      <color theme="1"/>
      <name val="Century Gothic"/>
      <family val="2"/>
    </font>
    <font>
      <sz val="10"/>
      <color theme="0"/>
      <name val="Century Gothic"/>
      <family val="2"/>
    </font>
    <font>
      <sz val="8"/>
      <color theme="1"/>
      <name val="Century Gothic"/>
      <family val="2"/>
    </font>
    <font>
      <sz val="9"/>
      <color rgb="FF000000"/>
      <name val="Century Gothic"/>
      <family val="2"/>
    </font>
    <font>
      <b/>
      <sz val="11"/>
      <name val="Century Gothic"/>
      <family val="2"/>
    </font>
    <font>
      <sz val="11"/>
      <color rgb="FF000000"/>
      <name val="Century Gothic"/>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60">
    <xf numFmtId="0" fontId="0" fillId="0" borderId="0" xfId="0"/>
    <xf numFmtId="0" fontId="0" fillId="2" borderId="0" xfId="0" applyFill="1"/>
    <xf numFmtId="0" fontId="0" fillId="5" borderId="0" xfId="0" applyFill="1"/>
    <xf numFmtId="0" fontId="8" fillId="2" borderId="0" xfId="0" applyFont="1" applyFill="1"/>
    <xf numFmtId="0" fontId="8" fillId="2" borderId="0" xfId="0" applyFont="1" applyFill="1" applyProtection="1">
      <protection locked="0"/>
    </xf>
    <xf numFmtId="0" fontId="8"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5" fillId="2" borderId="0" xfId="3" applyFont="1"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2" fontId="3" fillId="2" borderId="0" xfId="0" applyNumberFormat="1" applyFont="1" applyFill="1" applyAlignment="1">
      <alignment horizontal="left" vertical="center"/>
    </xf>
    <xf numFmtId="2" fontId="11"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1" fillId="2" borderId="0" xfId="0" applyFont="1" applyFill="1"/>
    <xf numFmtId="2" fontId="0" fillId="2" borderId="0" xfId="0" applyNumberFormat="1" applyFill="1"/>
    <xf numFmtId="165" fontId="6" fillId="3" borderId="1" xfId="0" applyNumberFormat="1" applyFont="1" applyFill="1" applyBorder="1" applyAlignment="1" applyProtection="1">
      <alignment horizontal="left" vertical="center"/>
      <protection locked="0"/>
    </xf>
    <xf numFmtId="0" fontId="14" fillId="5" borderId="0" xfId="0" applyFont="1" applyFill="1"/>
    <xf numFmtId="0" fontId="13" fillId="2" borderId="0" xfId="0" applyFont="1" applyFill="1" applyAlignment="1">
      <alignment horizontal="center" vertical="center"/>
    </xf>
    <xf numFmtId="0" fontId="13" fillId="0" borderId="0" xfId="0" applyFont="1" applyAlignment="1">
      <alignment horizontal="left" vertical="center"/>
    </xf>
    <xf numFmtId="0" fontId="3" fillId="0" borderId="0" xfId="0" applyFont="1" applyAlignment="1">
      <alignment horizontal="left" vertical="center"/>
    </xf>
    <xf numFmtId="0" fontId="15" fillId="0" borderId="0" xfId="0" applyFont="1" applyAlignment="1">
      <alignment horizontal="left" vertical="center"/>
    </xf>
    <xf numFmtId="14" fontId="3" fillId="0" borderId="0" xfId="0" applyNumberFormat="1" applyFont="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16" fillId="0" borderId="0" xfId="0" applyFont="1" applyAlignment="1">
      <alignment horizontal="left" vertical="center"/>
    </xf>
    <xf numFmtId="0" fontId="17" fillId="0" borderId="0" xfId="0" applyFont="1" applyAlignment="1">
      <alignment horizontal="center"/>
    </xf>
    <xf numFmtId="0" fontId="18" fillId="0" borderId="0" xfId="0" applyFont="1" applyAlignment="1">
      <alignment horizontal="center" vertical="center"/>
    </xf>
    <xf numFmtId="0" fontId="19" fillId="2" borderId="0" xfId="0" applyFont="1" applyFill="1" applyAlignment="1">
      <alignment horizontal="center" vertical="center"/>
    </xf>
    <xf numFmtId="0" fontId="20" fillId="0" borderId="0" xfId="0" applyFont="1" applyAlignment="1">
      <alignment horizontal="center"/>
    </xf>
    <xf numFmtId="168" fontId="6" fillId="3" borderId="1" xfId="0" applyNumberFormat="1" applyFont="1" applyFill="1" applyBorder="1" applyAlignment="1" applyProtection="1">
      <alignment horizontal="right" vertical="center"/>
      <protection locked="0"/>
    </xf>
    <xf numFmtId="0" fontId="0" fillId="3" borderId="0" xfId="0" applyFill="1" applyProtection="1">
      <protection locked="0"/>
    </xf>
    <xf numFmtId="0" fontId="0" fillId="3" borderId="0" xfId="0" applyFill="1"/>
    <xf numFmtId="0" fontId="10" fillId="3" borderId="0" xfId="0" applyFont="1" applyFill="1"/>
    <xf numFmtId="0" fontId="6"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1" fillId="3" borderId="0" xfId="0" applyFont="1" applyFill="1"/>
    <xf numFmtId="0" fontId="0" fillId="2" borderId="20" xfId="0" applyFill="1" applyBorder="1"/>
    <xf numFmtId="0" fontId="8"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 fillId="8" borderId="0" xfId="1" applyFont="1" applyFill="1"/>
    <xf numFmtId="0" fontId="2" fillId="0" borderId="0" xfId="1" applyFont="1"/>
    <xf numFmtId="0" fontId="13"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13" fillId="0" borderId="0" xfId="0" applyFont="1" applyProtection="1">
      <protection hidden="1"/>
    </xf>
    <xf numFmtId="0" fontId="3" fillId="0" borderId="0" xfId="5" applyFont="1" applyAlignment="1">
      <alignment horizontal="left" vertical="top" wrapText="1"/>
    </xf>
    <xf numFmtId="0" fontId="3" fillId="0" borderId="0" xfId="4"/>
    <xf numFmtId="0" fontId="3" fillId="0" borderId="0" xfId="3"/>
    <xf numFmtId="0" fontId="4" fillId="0" borderId="0" xfId="5" applyFont="1" applyAlignment="1">
      <alignment vertical="center"/>
    </xf>
    <xf numFmtId="0" fontId="2" fillId="0" borderId="0" xfId="3" applyFont="1" applyAlignment="1">
      <alignment vertical="center"/>
    </xf>
    <xf numFmtId="0" fontId="3" fillId="0" borderId="0" xfId="2" applyAlignment="1">
      <alignment vertical="top"/>
    </xf>
    <xf numFmtId="0" fontId="10" fillId="0" borderId="0" xfId="0" applyFont="1"/>
    <xf numFmtId="0" fontId="0" fillId="0" borderId="35" xfId="0" applyBorder="1"/>
    <xf numFmtId="0" fontId="0" fillId="0" borderId="62" xfId="0" applyBorder="1"/>
    <xf numFmtId="0" fontId="6" fillId="3" borderId="64" xfId="1" applyFont="1" applyFill="1" applyBorder="1" applyAlignment="1">
      <alignment horizontal="left" vertical="center"/>
    </xf>
    <xf numFmtId="0" fontId="0" fillId="0" borderId="63" xfId="0" applyBorder="1"/>
    <xf numFmtId="0" fontId="3" fillId="0" borderId="0" xfId="2" applyAlignment="1">
      <alignment horizontal="center" vertical="center" wrapText="1"/>
    </xf>
    <xf numFmtId="0" fontId="13" fillId="8" borderId="0" xfId="1" applyFont="1" applyFill="1"/>
    <xf numFmtId="0" fontId="13" fillId="0" borderId="0" xfId="0" applyFont="1"/>
    <xf numFmtId="0" fontId="13" fillId="0" borderId="43" xfId="0" applyFont="1" applyBorder="1"/>
    <xf numFmtId="2" fontId="2" fillId="0" borderId="0" xfId="0" applyNumberFormat="1" applyFont="1"/>
    <xf numFmtId="0" fontId="20" fillId="0" borderId="1" xfId="0" applyFont="1" applyBorder="1" applyAlignment="1">
      <alignment horizontal="left"/>
    </xf>
    <xf numFmtId="165" fontId="6"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0" borderId="0" xfId="8" applyNumberFormat="1" applyFont="1" applyBorder="1" applyAlignment="1">
      <alignment horizontal="right" vertical="center" indent="1"/>
    </xf>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170" fontId="13" fillId="0" borderId="43" xfId="1" applyNumberFormat="1" applyFont="1" applyBorder="1"/>
    <xf numFmtId="0" fontId="0" fillId="0" borderId="0" xfId="0" applyFill="1" applyBorder="1"/>
    <xf numFmtId="0" fontId="10" fillId="0" borderId="0" xfId="0" applyFont="1" applyFill="1" applyBorder="1"/>
    <xf numFmtId="0" fontId="0" fillId="0" borderId="20" xfId="0" applyFill="1" applyBorder="1"/>
    <xf numFmtId="0" fontId="0" fillId="0" borderId="34" xfId="0" applyFill="1" applyBorder="1"/>
    <xf numFmtId="0" fontId="10" fillId="0" borderId="34" xfId="0" applyFont="1" applyFill="1" applyBorder="1"/>
    <xf numFmtId="0" fontId="11" fillId="0" borderId="22" xfId="0" applyFont="1" applyFill="1" applyBorder="1"/>
    <xf numFmtId="0" fontId="0" fillId="0" borderId="21" xfId="0" applyFill="1" applyBorder="1"/>
    <xf numFmtId="0" fontId="11" fillId="0" borderId="18" xfId="0" applyFont="1" applyFill="1" applyBorder="1"/>
    <xf numFmtId="0" fontId="0" fillId="0" borderId="28" xfId="0" applyFill="1" applyBorder="1"/>
    <xf numFmtId="0" fontId="0" fillId="0" borderId="35" xfId="0" applyFill="1" applyBorder="1"/>
    <xf numFmtId="0" fontId="10" fillId="0" borderId="35" xfId="0" applyFont="1" applyFill="1" applyBorder="1"/>
    <xf numFmtId="0" fontId="11" fillId="0" borderId="29" xfId="0" applyFont="1" applyFill="1" applyBorder="1"/>
    <xf numFmtId="0" fontId="2" fillId="0" borderId="42" xfId="0" applyFont="1" applyBorder="1" applyAlignment="1">
      <alignment vertical="center" wrapText="1"/>
    </xf>
    <xf numFmtId="0" fontId="27" fillId="2" borderId="0" xfId="3" applyFont="1" applyFill="1" applyAlignment="1">
      <alignment vertical="center"/>
    </xf>
    <xf numFmtId="0" fontId="25" fillId="2" borderId="0" xfId="3" applyFont="1" applyFill="1" applyAlignment="1">
      <alignment vertical="center"/>
    </xf>
    <xf numFmtId="0" fontId="28" fillId="2" borderId="0" xfId="5" applyFont="1" applyFill="1" applyAlignment="1">
      <alignment vertical="center"/>
    </xf>
    <xf numFmtId="0" fontId="27" fillId="0" borderId="0" xfId="5" applyFont="1" applyAlignment="1">
      <alignment horizontal="left" vertical="top"/>
    </xf>
    <xf numFmtId="0" fontId="25" fillId="0" borderId="0" xfId="5" applyFont="1" applyAlignment="1">
      <alignment vertical="top"/>
    </xf>
    <xf numFmtId="0" fontId="29" fillId="0" borderId="0" xfId="5" applyFont="1" applyAlignment="1">
      <alignment vertical="top"/>
    </xf>
    <xf numFmtId="0" fontId="28" fillId="3" borderId="12" xfId="5" applyFont="1" applyFill="1" applyBorder="1" applyAlignment="1" applyProtection="1">
      <alignment horizontal="left" vertical="center" indent="1"/>
      <protection locked="0"/>
    </xf>
    <xf numFmtId="0" fontId="25" fillId="2" borderId="0" xfId="2" applyFont="1" applyFill="1" applyAlignment="1">
      <alignment vertical="top"/>
    </xf>
    <xf numFmtId="0" fontId="31" fillId="2" borderId="0" xfId="0" applyFont="1" applyFill="1"/>
    <xf numFmtId="0" fontId="27" fillId="0" borderId="0" xfId="2" applyFont="1" applyAlignment="1">
      <alignment vertical="top"/>
    </xf>
    <xf numFmtId="0" fontId="35" fillId="0" borderId="0" xfId="0" applyFont="1" applyFill="1" applyBorder="1"/>
    <xf numFmtId="0" fontId="36" fillId="0" borderId="0" xfId="0" applyFont="1" applyFill="1" applyBorder="1"/>
    <xf numFmtId="0" fontId="38" fillId="3" borderId="0" xfId="0" applyFont="1" applyFill="1" applyAlignment="1">
      <alignment horizontal="right"/>
    </xf>
    <xf numFmtId="0" fontId="37" fillId="3" borderId="0" xfId="0" applyFont="1" applyFill="1"/>
    <xf numFmtId="0" fontId="39" fillId="8" borderId="0" xfId="1" applyFont="1" applyFill="1" applyAlignment="1">
      <alignment vertical="center"/>
    </xf>
    <xf numFmtId="0" fontId="31" fillId="6" borderId="45" xfId="1" applyFont="1" applyFill="1" applyBorder="1" applyAlignment="1">
      <alignment horizontal="center" vertical="top"/>
    </xf>
    <xf numFmtId="0" fontId="25" fillId="6" borderId="45" xfId="2" applyFont="1" applyFill="1" applyBorder="1" applyAlignment="1">
      <alignment horizontal="center" vertical="top" wrapText="1"/>
    </xf>
    <xf numFmtId="0" fontId="25" fillId="6" borderId="46" xfId="2" applyFont="1" applyFill="1" applyBorder="1" applyAlignment="1">
      <alignment horizontal="center" vertical="top" wrapText="1"/>
    </xf>
    <xf numFmtId="0" fontId="25" fillId="6" borderId="47" xfId="2" applyFont="1" applyFill="1" applyBorder="1" applyAlignment="1">
      <alignment horizontal="center" vertical="top" wrapText="1"/>
    </xf>
    <xf numFmtId="0" fontId="25" fillId="6" borderId="48" xfId="2" applyFont="1" applyFill="1" applyBorder="1" applyAlignment="1">
      <alignment horizontal="center" vertical="top" wrapText="1"/>
    </xf>
    <xf numFmtId="0" fontId="40" fillId="3" borderId="49" xfId="0" applyFont="1" applyFill="1" applyBorder="1" applyAlignment="1" applyProtection="1">
      <alignment horizontal="left" vertical="center"/>
      <protection locked="0"/>
    </xf>
    <xf numFmtId="0" fontId="28" fillId="3" borderId="10" xfId="8" applyNumberFormat="1" applyFont="1" applyFill="1" applyBorder="1" applyAlignment="1" applyProtection="1">
      <alignment horizontal="left" vertical="center"/>
      <protection locked="0"/>
    </xf>
    <xf numFmtId="4" fontId="28" fillId="3" borderId="50" xfId="8" applyNumberFormat="1" applyFont="1" applyFill="1" applyBorder="1" applyAlignment="1" applyProtection="1">
      <alignment horizontal="right" vertical="center" indent="1"/>
      <protection locked="0"/>
    </xf>
    <xf numFmtId="3" fontId="28" fillId="3" borderId="50" xfId="8" applyNumberFormat="1" applyFont="1" applyFill="1" applyBorder="1" applyAlignment="1" applyProtection="1">
      <alignment horizontal="right" vertical="center" indent="1"/>
      <protection locked="0"/>
    </xf>
    <xf numFmtId="171" fontId="28" fillId="3" borderId="10" xfId="8" applyNumberFormat="1" applyFont="1" applyFill="1" applyBorder="1" applyAlignment="1" applyProtection="1">
      <alignment horizontal="right" vertical="center" indent="1"/>
      <protection locked="0" hidden="1"/>
    </xf>
    <xf numFmtId="0" fontId="31" fillId="9" borderId="69" xfId="0" applyFont="1" applyFill="1" applyBorder="1" applyAlignment="1">
      <alignment horizontal="left" vertical="center" wrapText="1"/>
    </xf>
    <xf numFmtId="0" fontId="31" fillId="6" borderId="46" xfId="0" applyFont="1" applyFill="1" applyBorder="1" applyAlignment="1">
      <alignment horizontal="left" vertical="center" wrapText="1"/>
    </xf>
    <xf numFmtId="0" fontId="31" fillId="6" borderId="31" xfId="0" applyFont="1" applyFill="1" applyBorder="1"/>
    <xf numFmtId="0" fontId="31" fillId="0" borderId="72" xfId="0" applyFont="1" applyFill="1" applyBorder="1"/>
    <xf numFmtId="0" fontId="25" fillId="6" borderId="47" xfId="2" applyFont="1" applyFill="1" applyBorder="1" applyAlignment="1">
      <alignment horizontal="center" vertical="center" wrapText="1"/>
    </xf>
    <xf numFmtId="0" fontId="25" fillId="6" borderId="32" xfId="2" applyFont="1" applyFill="1" applyBorder="1" applyAlignment="1">
      <alignment horizontal="center" vertical="center" wrapText="1"/>
    </xf>
    <xf numFmtId="0" fontId="25" fillId="0" borderId="72" xfId="2" applyFont="1" applyFill="1" applyBorder="1" applyAlignment="1">
      <alignment horizontal="center" vertical="center" wrapText="1"/>
    </xf>
    <xf numFmtId="4" fontId="28" fillId="2" borderId="51" xfId="8" applyNumberFormat="1" applyFont="1" applyFill="1" applyBorder="1" applyAlignment="1">
      <alignment horizontal="right" vertical="center" indent="1"/>
    </xf>
    <xf numFmtId="3" fontId="28" fillId="2" borderId="0" xfId="8" applyNumberFormat="1" applyFont="1" applyFill="1" applyBorder="1" applyAlignment="1">
      <alignment horizontal="right" vertical="center" indent="1"/>
    </xf>
    <xf numFmtId="0" fontId="31" fillId="0" borderId="0" xfId="0" applyFont="1"/>
    <xf numFmtId="0" fontId="31" fillId="0" borderId="0" xfId="0" applyFont="1" applyAlignment="1">
      <alignment horizontal="right"/>
    </xf>
    <xf numFmtId="0" fontId="31" fillId="0" borderId="50" xfId="0" applyFont="1" applyBorder="1" applyAlignment="1" applyProtection="1">
      <alignment horizontal="left"/>
      <protection locked="0"/>
    </xf>
    <xf numFmtId="0" fontId="31" fillId="0" borderId="10" xfId="0" applyFont="1" applyBorder="1" applyAlignment="1" applyProtection="1">
      <alignment horizontal="left"/>
      <protection locked="0"/>
    </xf>
    <xf numFmtId="4" fontId="28" fillId="0" borderId="52" xfId="8" applyNumberFormat="1" applyFont="1" applyBorder="1" applyAlignment="1">
      <alignment horizontal="right" vertical="center" indent="1"/>
    </xf>
    <xf numFmtId="3" fontId="28" fillId="0" borderId="52" xfId="8" applyNumberFormat="1" applyFont="1" applyBorder="1" applyAlignment="1">
      <alignment horizontal="right" vertical="center" indent="1"/>
    </xf>
    <xf numFmtId="172" fontId="28" fillId="0" borderId="52" xfId="8" applyNumberFormat="1" applyFont="1" applyBorder="1" applyAlignment="1" applyProtection="1">
      <alignment horizontal="right" vertical="center" indent="1"/>
      <protection hidden="1"/>
    </xf>
    <xf numFmtId="4" fontId="28" fillId="0" borderId="38" xfId="8" applyNumberFormat="1" applyFont="1" applyBorder="1" applyAlignment="1">
      <alignment horizontal="right" vertical="center" indent="1"/>
    </xf>
    <xf numFmtId="0" fontId="41" fillId="0" borderId="0" xfId="0" applyFont="1"/>
    <xf numFmtId="0" fontId="36" fillId="0" borderId="0" xfId="0" applyFont="1"/>
    <xf numFmtId="0" fontId="41" fillId="0" borderId="53" xfId="0" applyFont="1" applyBorder="1"/>
    <xf numFmtId="4" fontId="28" fillId="0" borderId="56" xfId="8" applyNumberFormat="1" applyFont="1" applyBorder="1" applyAlignment="1">
      <alignment horizontal="right" vertical="center" indent="1"/>
    </xf>
    <xf numFmtId="3" fontId="28" fillId="0" borderId="59" xfId="8" applyNumberFormat="1" applyFont="1" applyBorder="1" applyAlignment="1">
      <alignment horizontal="right" vertical="center" indent="1"/>
    </xf>
    <xf numFmtId="0" fontId="31" fillId="6" borderId="67" xfId="0" applyFont="1" applyFill="1" applyBorder="1" applyAlignment="1">
      <alignment horizontal="left" vertical="center" indent="1"/>
    </xf>
    <xf numFmtId="0" fontId="31" fillId="6" borderId="57" xfId="0" applyFont="1" applyFill="1" applyBorder="1" applyAlignment="1">
      <alignment horizontal="left" vertical="center" indent="1"/>
    </xf>
    <xf numFmtId="3" fontId="28" fillId="0" borderId="60" xfId="8" applyNumberFormat="1" applyFont="1" applyBorder="1" applyAlignment="1">
      <alignment horizontal="right" vertical="center" indent="1"/>
    </xf>
    <xf numFmtId="0" fontId="31" fillId="0" borderId="0" xfId="0" applyFont="1" applyBorder="1"/>
    <xf numFmtId="0" fontId="31" fillId="0" borderId="61" xfId="0" applyFont="1" applyBorder="1"/>
    <xf numFmtId="165" fontId="31" fillId="3" borderId="12" xfId="0" applyNumberFormat="1" applyFont="1" applyFill="1" applyBorder="1" applyProtection="1">
      <protection locked="0"/>
    </xf>
    <xf numFmtId="0" fontId="31" fillId="6" borderId="66" xfId="0" applyFont="1" applyFill="1" applyBorder="1" applyAlignment="1">
      <alignment horizontal="left" vertical="center" indent="1"/>
    </xf>
    <xf numFmtId="0" fontId="40" fillId="2" borderId="1" xfId="0" applyFont="1" applyFill="1" applyBorder="1"/>
    <xf numFmtId="0" fontId="31" fillId="2" borderId="7" xfId="0" applyFont="1" applyFill="1" applyBorder="1" applyAlignment="1">
      <alignment horizontal="left" vertical="center" indent="1"/>
    </xf>
    <xf numFmtId="0" fontId="31" fillId="2" borderId="9" xfId="0" applyFont="1" applyFill="1" applyBorder="1" applyAlignment="1">
      <alignment horizontal="left" vertical="center" indent="1"/>
    </xf>
    <xf numFmtId="0" fontId="42" fillId="2" borderId="0" xfId="0" applyFont="1" applyFill="1" applyAlignment="1">
      <alignment horizontal="left" vertical="center" indent="1"/>
    </xf>
    <xf numFmtId="0" fontId="31" fillId="2" borderId="0" xfId="0" applyFont="1" applyFill="1" applyAlignment="1">
      <alignment horizontal="left" vertical="center" indent="1"/>
    </xf>
    <xf numFmtId="0" fontId="40" fillId="2" borderId="0" xfId="0" applyFont="1" applyFill="1"/>
    <xf numFmtId="0" fontId="31" fillId="4" borderId="1" xfId="0" applyFont="1" applyFill="1" applyBorder="1" applyAlignment="1">
      <alignment horizontal="center" vertical="center" wrapText="1"/>
    </xf>
    <xf numFmtId="0" fontId="41" fillId="0" borderId="0" xfId="0" applyFont="1" applyAlignment="1">
      <alignment horizontal="left" vertical="center"/>
    </xf>
    <xf numFmtId="0" fontId="44" fillId="0" borderId="0" xfId="0" applyFont="1" applyAlignment="1">
      <alignment horizontal="left" vertical="center"/>
    </xf>
    <xf numFmtId="0" fontId="25" fillId="0" borderId="0" xfId="0" applyFont="1" applyAlignment="1">
      <alignment horizontal="left" vertical="center"/>
    </xf>
    <xf numFmtId="0" fontId="25" fillId="6" borderId="14" xfId="0" applyFont="1" applyFill="1" applyBorder="1" applyAlignment="1">
      <alignment horizontal="center" vertical="center"/>
    </xf>
    <xf numFmtId="0" fontId="25" fillId="6" borderId="24" xfId="0" applyFont="1" applyFill="1" applyBorder="1" applyAlignment="1">
      <alignment horizontal="center" vertical="center"/>
    </xf>
    <xf numFmtId="14" fontId="25" fillId="6" borderId="24" xfId="0" applyNumberFormat="1" applyFont="1" applyFill="1" applyBorder="1" applyAlignment="1">
      <alignment horizontal="center" vertical="center"/>
    </xf>
    <xf numFmtId="166" fontId="25" fillId="6" borderId="24" xfId="0" applyNumberFormat="1" applyFont="1" applyFill="1" applyBorder="1" applyAlignment="1">
      <alignment horizontal="center" vertical="center"/>
    </xf>
    <xf numFmtId="0" fontId="25" fillId="6" borderId="15" xfId="0" applyFont="1" applyFill="1" applyBorder="1" applyAlignment="1">
      <alignment horizontal="center" vertical="center" wrapText="1"/>
    </xf>
    <xf numFmtId="0" fontId="40" fillId="3" borderId="16" xfId="0" applyFont="1" applyFill="1" applyBorder="1" applyAlignment="1" applyProtection="1">
      <alignment horizontal="left" vertical="center"/>
      <protection locked="0"/>
    </xf>
    <xf numFmtId="0" fontId="40" fillId="3" borderId="10" xfId="0" applyFont="1" applyFill="1" applyBorder="1" applyAlignment="1" applyProtection="1">
      <alignment horizontal="left" vertical="center"/>
      <protection locked="0"/>
    </xf>
    <xf numFmtId="165" fontId="40" fillId="3" borderId="10" xfId="0" applyNumberFormat="1" applyFont="1" applyFill="1" applyBorder="1" applyAlignment="1" applyProtection="1">
      <alignment horizontal="left" vertical="center"/>
      <protection locked="0"/>
    </xf>
    <xf numFmtId="20" fontId="40" fillId="3" borderId="10" xfId="0" applyNumberFormat="1" applyFont="1" applyFill="1" applyBorder="1" applyAlignment="1" applyProtection="1">
      <alignment horizontal="left" vertical="center"/>
      <protection locked="0"/>
    </xf>
    <xf numFmtId="169" fontId="40" fillId="3" borderId="17" xfId="0" applyNumberFormat="1" applyFont="1" applyFill="1" applyBorder="1" applyAlignment="1" applyProtection="1">
      <alignment horizontal="right" vertical="center"/>
      <protection locked="0"/>
    </xf>
    <xf numFmtId="0" fontId="25" fillId="6" borderId="34" xfId="0" applyFont="1" applyFill="1" applyBorder="1" applyAlignment="1">
      <alignment vertical="center"/>
    </xf>
    <xf numFmtId="0" fontId="25" fillId="6" borderId="22" xfId="0" applyFont="1" applyFill="1" applyBorder="1" applyAlignment="1">
      <alignment vertical="center"/>
    </xf>
    <xf numFmtId="0" fontId="25" fillId="6" borderId="19" xfId="0" applyFont="1" applyFill="1" applyBorder="1" applyAlignment="1">
      <alignment horizontal="center" vertical="center"/>
    </xf>
    <xf numFmtId="0" fontId="25" fillId="6" borderId="0" xfId="0" applyFont="1" applyFill="1" applyAlignment="1">
      <alignment vertical="center"/>
    </xf>
    <xf numFmtId="0" fontId="25" fillId="6" borderId="18" xfId="0" applyFont="1" applyFill="1" applyBorder="1" applyAlignment="1">
      <alignment vertical="center"/>
    </xf>
    <xf numFmtId="165" fontId="28" fillId="0" borderId="23" xfId="0" applyNumberFormat="1" applyFont="1" applyBorder="1" applyAlignment="1">
      <alignment horizontal="center" vertical="center"/>
    </xf>
    <xf numFmtId="0" fontId="25" fillId="6" borderId="35" xfId="0" applyFont="1" applyFill="1" applyBorder="1" applyAlignment="1">
      <alignment vertical="center"/>
    </xf>
    <xf numFmtId="0" fontId="25" fillId="6" borderId="29" xfId="0" applyFont="1" applyFill="1" applyBorder="1" applyAlignment="1">
      <alignment vertical="center"/>
    </xf>
    <xf numFmtId="0" fontId="25" fillId="6" borderId="30" xfId="0" applyFont="1" applyFill="1" applyBorder="1" applyAlignment="1">
      <alignment horizontal="center" vertical="center"/>
    </xf>
    <xf numFmtId="0" fontId="28" fillId="0" borderId="26" xfId="0" applyFont="1" applyBorder="1" applyAlignment="1">
      <alignment horizontal="left" vertical="center" indent="1"/>
    </xf>
    <xf numFmtId="0" fontId="25" fillId="0" borderId="27" xfId="0" applyFont="1" applyBorder="1" applyAlignment="1">
      <alignment horizontal="left" vertical="center"/>
    </xf>
    <xf numFmtId="0" fontId="25" fillId="0" borderId="33" xfId="0" applyFont="1" applyBorder="1" applyAlignment="1">
      <alignment horizontal="left" vertical="center"/>
    </xf>
    <xf numFmtId="169" fontId="28" fillId="0" borderId="23" xfId="0" applyNumberFormat="1" applyFont="1" applyBorder="1" applyAlignment="1">
      <alignment horizontal="right" vertical="center"/>
    </xf>
    <xf numFmtId="169" fontId="25" fillId="0" borderId="0" xfId="0" applyNumberFormat="1" applyFont="1" applyAlignment="1">
      <alignment horizontal="left" vertical="center"/>
    </xf>
    <xf numFmtId="14" fontId="28" fillId="0" borderId="0" xfId="0" applyNumberFormat="1" applyFont="1" applyAlignment="1">
      <alignment horizontal="center" vertical="center"/>
    </xf>
    <xf numFmtId="0" fontId="25" fillId="7" borderId="13" xfId="0" applyFont="1" applyFill="1" applyBorder="1" applyAlignment="1">
      <alignment horizontal="left" vertical="center" indent="1"/>
    </xf>
    <xf numFmtId="0" fontId="25" fillId="7" borderId="31" xfId="0" applyFont="1" applyFill="1" applyBorder="1" applyAlignment="1">
      <alignment horizontal="left" vertical="center"/>
    </xf>
    <xf numFmtId="0" fontId="25" fillId="7" borderId="32" xfId="0" applyFont="1" applyFill="1" applyBorder="1" applyAlignment="1">
      <alignment horizontal="left" vertical="center" indent="1"/>
    </xf>
    <xf numFmtId="169" fontId="28" fillId="0" borderId="12" xfId="0" applyNumberFormat="1" applyFont="1" applyBorder="1" applyAlignment="1">
      <alignment horizontal="right" vertical="center"/>
    </xf>
    <xf numFmtId="0" fontId="40" fillId="2" borderId="1" xfId="0" applyFont="1" applyFill="1" applyBorder="1" applyAlignment="1">
      <alignment horizontal="left"/>
    </xf>
    <xf numFmtId="166" fontId="25" fillId="6" borderId="36" xfId="0" applyNumberFormat="1" applyFont="1" applyFill="1" applyBorder="1" applyAlignment="1">
      <alignment horizontal="center" vertical="center"/>
    </xf>
    <xf numFmtId="20" fontId="40" fillId="3" borderId="37" xfId="0" applyNumberFormat="1" applyFont="1" applyFill="1" applyBorder="1" applyAlignment="1" applyProtection="1">
      <alignment horizontal="left" vertical="center"/>
      <protection locked="0"/>
    </xf>
    <xf numFmtId="0" fontId="25" fillId="6" borderId="30" xfId="0" applyFont="1" applyFill="1" applyBorder="1" applyAlignment="1">
      <alignment horizontal="center" vertical="center" wrapText="1"/>
    </xf>
    <xf numFmtId="169" fontId="28" fillId="0" borderId="0" xfId="0" applyNumberFormat="1" applyFont="1" applyAlignment="1">
      <alignment horizontal="center" vertical="center"/>
    </xf>
    <xf numFmtId="0" fontId="40" fillId="2" borderId="11" xfId="0" applyFont="1" applyFill="1" applyBorder="1" applyAlignment="1">
      <alignment horizontal="left"/>
    </xf>
    <xf numFmtId="0" fontId="31" fillId="2" borderId="8" xfId="0" applyFont="1" applyFill="1" applyBorder="1" applyAlignment="1">
      <alignment horizontal="left" vertical="center" indent="1"/>
    </xf>
    <xf numFmtId="0" fontId="40" fillId="3" borderId="1" xfId="0" applyFont="1" applyFill="1" applyBorder="1" applyAlignment="1" applyProtection="1">
      <alignment horizontal="left"/>
      <protection locked="0"/>
    </xf>
    <xf numFmtId="0" fontId="37" fillId="2" borderId="0" xfId="0" applyFont="1" applyFill="1"/>
    <xf numFmtId="165" fontId="40" fillId="3" borderId="1" xfId="0" applyNumberFormat="1" applyFont="1" applyFill="1" applyBorder="1" applyAlignment="1" applyProtection="1">
      <alignment horizontal="left" vertical="center"/>
      <protection locked="0"/>
    </xf>
    <xf numFmtId="164" fontId="40" fillId="3" borderId="1" xfId="0" applyNumberFormat="1" applyFont="1" applyFill="1" applyBorder="1" applyAlignment="1" applyProtection="1">
      <alignment horizontal="right" vertical="center"/>
      <protection locked="0"/>
    </xf>
    <xf numFmtId="0" fontId="31" fillId="2" borderId="2" xfId="0" applyFont="1" applyFill="1" applyBorder="1" applyAlignment="1">
      <alignment horizontal="left" vertical="center" indent="1"/>
    </xf>
    <xf numFmtId="0" fontId="37" fillId="2" borderId="4" xfId="0" applyFont="1" applyFill="1" applyBorder="1"/>
    <xf numFmtId="0" fontId="40" fillId="3" borderId="11" xfId="0" applyFont="1" applyFill="1" applyBorder="1" applyAlignment="1">
      <alignment horizontal="left"/>
    </xf>
    <xf numFmtId="0" fontId="31" fillId="2" borderId="5" xfId="0" applyFont="1" applyFill="1" applyBorder="1" applyAlignment="1">
      <alignment horizontal="left" vertical="center" indent="1"/>
    </xf>
    <xf numFmtId="0" fontId="37" fillId="2" borderId="6" xfId="0" applyFont="1" applyFill="1" applyBorder="1"/>
    <xf numFmtId="4" fontId="40" fillId="3" borderId="11" xfId="0" applyNumberFormat="1" applyFont="1" applyFill="1" applyBorder="1" applyAlignment="1" applyProtection="1">
      <alignment horizontal="left" vertical="center"/>
      <protection locked="0"/>
    </xf>
    <xf numFmtId="0" fontId="37" fillId="2" borderId="9" xfId="0" applyFont="1" applyFill="1" applyBorder="1"/>
    <xf numFmtId="0" fontId="40" fillId="3" borderId="11" xfId="0" applyFont="1" applyFill="1" applyBorder="1" applyAlignment="1" applyProtection="1">
      <alignment horizontal="left"/>
      <protection locked="0"/>
    </xf>
    <xf numFmtId="0" fontId="31" fillId="4" borderId="65" xfId="0" applyFont="1" applyFill="1" applyBorder="1" applyAlignment="1">
      <alignment horizontal="center" vertical="center" wrapText="1"/>
    </xf>
    <xf numFmtId="4" fontId="40" fillId="3" borderId="1" xfId="0" applyNumberFormat="1" applyFont="1" applyFill="1" applyBorder="1" applyAlignment="1" applyProtection="1">
      <alignment horizontal="right" vertical="center"/>
      <protection locked="0"/>
    </xf>
    <xf numFmtId="4" fontId="40" fillId="3" borderId="11" xfId="0" applyNumberFormat="1" applyFont="1" applyFill="1" applyBorder="1" applyAlignment="1">
      <alignment horizontal="left" vertical="center"/>
    </xf>
    <xf numFmtId="0" fontId="31" fillId="4" borderId="1" xfId="0" applyFont="1" applyFill="1" applyBorder="1" applyAlignment="1" applyProtection="1">
      <alignment horizontal="center" vertical="center" wrapTex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4" fontId="31" fillId="2" borderId="6" xfId="0" applyNumberFormat="1" applyFont="1" applyFill="1" applyBorder="1" applyAlignment="1">
      <alignment horizontal="right" vertical="center"/>
    </xf>
    <xf numFmtId="0" fontId="40" fillId="3" borderId="11" xfId="0" applyFont="1" applyFill="1" applyBorder="1" applyAlignment="1" applyProtection="1">
      <alignment horizontal="left" vertical="center" wrapText="1" shrinkToFi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0" fontId="25" fillId="0" borderId="40" xfId="5" applyFont="1" applyBorder="1" applyAlignment="1">
      <alignment horizontal="left" vertical="center"/>
    </xf>
    <xf numFmtId="0" fontId="25" fillId="0" borderId="31" xfId="5" applyFont="1" applyBorder="1" applyAlignment="1">
      <alignment horizontal="left" vertical="center"/>
    </xf>
    <xf numFmtId="0" fontId="25" fillId="0" borderId="32" xfId="5" applyFont="1" applyBorder="1" applyAlignment="1">
      <alignment horizontal="left" vertical="center"/>
    </xf>
    <xf numFmtId="0" fontId="23" fillId="2" borderId="0" xfId="1" applyFont="1" applyFill="1" applyAlignment="1">
      <alignment horizontal="left" vertical="top" wrapText="1"/>
    </xf>
    <xf numFmtId="0" fontId="26" fillId="2" borderId="0" xfId="1" applyFont="1" applyFill="1" applyAlignment="1">
      <alignment horizontal="left" vertical="top" wrapText="1"/>
    </xf>
    <xf numFmtId="0" fontId="31" fillId="2" borderId="0" xfId="0" applyFont="1" applyFill="1" applyAlignment="1">
      <alignment horizontal="left" wrapText="1"/>
    </xf>
    <xf numFmtId="0" fontId="25" fillId="2" borderId="0" xfId="1" applyFont="1" applyFill="1" applyAlignment="1">
      <alignment horizontal="left" vertical="top" wrapText="1"/>
    </xf>
    <xf numFmtId="0" fontId="25" fillId="2" borderId="0" xfId="2" applyFont="1" applyFill="1" applyAlignment="1">
      <alignment horizontal="left" vertical="top" wrapText="1"/>
    </xf>
    <xf numFmtId="0" fontId="31" fillId="0" borderId="0" xfId="0" applyFont="1" applyFill="1" applyBorder="1" applyAlignment="1">
      <alignment horizontal="left" vertical="top" wrapText="1"/>
    </xf>
    <xf numFmtId="0" fontId="34" fillId="0" borderId="0" xfId="2" applyFont="1" applyAlignment="1">
      <alignment horizontal="left" vertical="top" wrapText="1"/>
    </xf>
    <xf numFmtId="0" fontId="31" fillId="6" borderId="58" xfId="0" applyFont="1" applyFill="1" applyBorder="1" applyAlignment="1">
      <alignment horizontal="left" vertical="center" indent="1"/>
    </xf>
    <xf numFmtId="0" fontId="31" fillId="6" borderId="70" xfId="0" applyFont="1" applyFill="1" applyBorder="1" applyAlignment="1">
      <alignment horizontal="left" vertical="center" indent="1"/>
    </xf>
    <xf numFmtId="0" fontId="31" fillId="6" borderId="71" xfId="0" applyFont="1" applyFill="1" applyBorder="1" applyAlignment="1">
      <alignment horizontal="left" vertical="center" indent="1"/>
    </xf>
    <xf numFmtId="0" fontId="31" fillId="6" borderId="54" xfId="0" applyFont="1" applyFill="1" applyBorder="1" applyAlignment="1">
      <alignment horizontal="left" vertical="center" indent="1"/>
    </xf>
    <xf numFmtId="0" fontId="31" fillId="6" borderId="55" xfId="0" applyFont="1" applyFill="1" applyBorder="1" applyAlignment="1">
      <alignment horizontal="left" vertical="center" indent="1"/>
    </xf>
    <xf numFmtId="0" fontId="31" fillId="6" borderId="40" xfId="0" applyFont="1" applyFill="1" applyBorder="1" applyAlignment="1">
      <alignment horizontal="left" vertical="center" indent="1"/>
    </xf>
    <xf numFmtId="0" fontId="31"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31" fillId="6" borderId="57" xfId="0" applyFont="1" applyFill="1" applyBorder="1" applyAlignment="1">
      <alignment horizontal="left" vertical="center" indent="1"/>
    </xf>
    <xf numFmtId="0" fontId="31" fillId="0" borderId="42" xfId="0" applyFont="1" applyBorder="1" applyAlignment="1">
      <alignment horizontal="left" vertical="center" wrapText="1"/>
    </xf>
    <xf numFmtId="0" fontId="31" fillId="6" borderId="46" xfId="0" applyFont="1" applyFill="1" applyBorder="1" applyAlignment="1">
      <alignment horizontal="center" wrapText="1"/>
    </xf>
    <xf numFmtId="0" fontId="31" fillId="6" borderId="68" xfId="0" applyFont="1" applyFill="1" applyBorder="1" applyAlignment="1">
      <alignment horizontal="center" wrapText="1"/>
    </xf>
    <xf numFmtId="0" fontId="31" fillId="6" borderId="69" xfId="0" applyFont="1" applyFill="1" applyBorder="1" applyAlignment="1">
      <alignment horizontal="center" wrapText="1"/>
    </xf>
    <xf numFmtId="0" fontId="36" fillId="7" borderId="40" xfId="0" applyFont="1" applyFill="1" applyBorder="1" applyAlignment="1">
      <alignment horizontal="left" indent="1"/>
    </xf>
    <xf numFmtId="0" fontId="36" fillId="7" borderId="32" xfId="0" applyFont="1" applyFill="1" applyBorder="1" applyAlignment="1">
      <alignment horizontal="left" indent="1"/>
    </xf>
    <xf numFmtId="0" fontId="31" fillId="4" borderId="68" xfId="0" applyFont="1" applyFill="1" applyBorder="1" applyAlignment="1">
      <alignment horizontal="center" vertical="center" wrapText="1"/>
    </xf>
    <xf numFmtId="0" fontId="31" fillId="2" borderId="5" xfId="0" applyFont="1" applyFill="1" applyBorder="1" applyAlignment="1">
      <alignment horizontal="left" vertical="center" indent="1"/>
    </xf>
    <xf numFmtId="0" fontId="31" fillId="2" borderId="6" xfId="0" applyFont="1" applyFill="1" applyBorder="1" applyAlignment="1">
      <alignment horizontal="left" vertical="center" indent="1"/>
    </xf>
    <xf numFmtId="0" fontId="31" fillId="2" borderId="2" xfId="0" applyFont="1" applyFill="1" applyBorder="1" applyAlignment="1">
      <alignment horizontal="left" vertical="center" indent="1"/>
    </xf>
    <xf numFmtId="0" fontId="31" fillId="2" borderId="4" xfId="0" applyFont="1" applyFill="1" applyBorder="1" applyAlignment="1">
      <alignment horizontal="left" vertical="center" indent="1"/>
    </xf>
    <xf numFmtId="0" fontId="25" fillId="6" borderId="20" xfId="0" applyFont="1" applyFill="1" applyBorder="1" applyAlignment="1">
      <alignment horizontal="left" vertical="center" indent="1"/>
    </xf>
    <xf numFmtId="0" fontId="25" fillId="6" borderId="21" xfId="0" applyFont="1" applyFill="1" applyBorder="1" applyAlignment="1">
      <alignment horizontal="left" vertical="center" indent="1"/>
    </xf>
    <xf numFmtId="0" fontId="25" fillId="6" borderId="28" xfId="0" applyFont="1" applyFill="1" applyBorder="1" applyAlignment="1">
      <alignment horizontal="left" vertical="center" indent="1"/>
    </xf>
    <xf numFmtId="0" fontId="31" fillId="2" borderId="3" xfId="0" applyFont="1" applyFill="1" applyBorder="1" applyAlignment="1">
      <alignment horizontal="left" vertical="center" indent="1"/>
    </xf>
    <xf numFmtId="0" fontId="31" fillId="2" borderId="0" xfId="0" applyFont="1" applyFill="1" applyAlignment="1">
      <alignment horizontal="left" vertical="center" indent="1"/>
    </xf>
  </cellXfs>
  <cellStyles count="9">
    <cellStyle name="Comma" xfId="8" builtinId="3"/>
    <cellStyle name="Normal" xfId="0" builtinId="0"/>
    <cellStyle name="Normal 2" xfId="1"/>
    <cellStyle name="Normal 2 2" xfId="2"/>
    <cellStyle name="Normal 2 2 2" xfId="5"/>
    <cellStyle name="Normal 2 3" xfId="4"/>
    <cellStyle name="Normal 4" xfId="6"/>
    <cellStyle name="Normal 5" xfId="3"/>
    <cellStyle name="Percent 2" xfId="7"/>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171450</xdr:rowOff>
        </xdr:from>
        <xdr:to>
          <xdr:col>3</xdr:col>
          <xdr:colOff>104775</xdr:colOff>
          <xdr:row>22</xdr:row>
          <xdr:rowOff>9525</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95250</xdr:colOff>
          <xdr:row>21</xdr:row>
          <xdr:rowOff>0</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Tab(s)</a:t>
              </a:r>
            </a:p>
          </xdr:txBody>
        </xdr:sp>
        <xdr:clientData fPrintsWithSheet="0"/>
      </xdr:twoCellAnchor>
    </mc:Choice>
    <mc:Fallback/>
  </mc:AlternateContent>
  <xdr:oneCellAnchor>
    <xdr:from>
      <xdr:col>3</xdr:col>
      <xdr:colOff>455083</xdr:colOff>
      <xdr:row>3</xdr:row>
      <xdr:rowOff>127001</xdr:rowOff>
    </xdr:from>
    <xdr:ext cx="1280584" cy="249555"/>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756833" y="1058334"/>
          <a:ext cx="1280584" cy="24955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b="1" i="1" u="sng">
              <a:latin typeface="Century Gothic" panose="020B0502020202020204" pitchFamily="34" charset="0"/>
            </a:rPr>
            <a:t>Arc tips article</a:t>
          </a:r>
          <a:r>
            <a:rPr lang="en-US" sz="1000" b="1" i="1" u="none">
              <a:latin typeface="Century Gothic" panose="020B0502020202020204" pitchFamily="34" charset="0"/>
            </a:rPr>
            <a:t>.</a:t>
          </a:r>
        </a:p>
      </xdr:txBody>
    </xdr:sp>
    <xdr:clientData/>
  </xdr:oneCellAnchor>
  <xdr:twoCellAnchor>
    <xdr:from>
      <xdr:col>3</xdr:col>
      <xdr:colOff>635000</xdr:colOff>
      <xdr:row>14</xdr:row>
      <xdr:rowOff>127001</xdr:rowOff>
    </xdr:from>
    <xdr:to>
      <xdr:col>3</xdr:col>
      <xdr:colOff>1714500</xdr:colOff>
      <xdr:row>15</xdr:row>
      <xdr:rowOff>21167</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1936750" y="3407834"/>
          <a:ext cx="1079500"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rgbClr val="FF0000"/>
              </a:solidFill>
              <a:latin typeface="Century Gothic" panose="020B0502020202020204" pitchFamily="34" charset="0"/>
            </a:rPr>
            <a:t>(</a:t>
          </a:r>
          <a:r>
            <a:rPr lang="en-US" sz="1000" i="1" u="sng">
              <a:solidFill>
                <a:srgbClr val="FF0000"/>
              </a:solidFill>
              <a:latin typeface="Century Gothic" panose="020B0502020202020204" pitchFamily="34" charset="0"/>
            </a:rPr>
            <a:t>Learn more</a:t>
          </a:r>
          <a:r>
            <a:rPr lang="en-US" sz="1000" i="1">
              <a:solidFill>
                <a:srgbClr val="FF0000"/>
              </a:solidFill>
              <a:latin typeface="Century Gothic" panose="020B0502020202020204" pitchFamily="34" charset="0"/>
            </a:rPr>
            <a:t>).</a:t>
          </a:r>
        </a:p>
      </xdr:txBody>
    </xdr:sp>
    <xdr:clientData/>
  </xdr:twoCellAnchor>
  <xdr:twoCellAnchor>
    <xdr:from>
      <xdr:col>3</xdr:col>
      <xdr:colOff>1883832</xdr:colOff>
      <xdr:row>34</xdr:row>
      <xdr:rowOff>476251</xdr:rowOff>
    </xdr:from>
    <xdr:to>
      <xdr:col>4</xdr:col>
      <xdr:colOff>836082</xdr:colOff>
      <xdr:row>34</xdr:row>
      <xdr:rowOff>698500</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3185582" y="7948084"/>
          <a:ext cx="1005417" cy="22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u="sng">
              <a:latin typeface="Century Gothic" panose="020B0502020202020204" pitchFamily="34" charset="0"/>
            </a:rPr>
            <a:t>here</a:t>
          </a:r>
          <a:r>
            <a:rPr lang="en-US" sz="950">
              <a:latin typeface="Century Gothic" panose="020B0502020202020204"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32</xdr:row>
          <xdr:rowOff>85725</xdr:rowOff>
        </xdr:from>
        <xdr:to>
          <xdr:col>1</xdr:col>
          <xdr:colOff>1752600</xdr:colOff>
          <xdr:row>34</xdr:row>
          <xdr:rowOff>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Refresh Summaries</a:t>
              </a:r>
            </a:p>
          </xdr:txBody>
        </xdr:sp>
        <xdr:clientData fPrintsWithSheet="0"/>
      </xdr:twoCellAnchor>
    </mc:Choice>
    <mc:Fallback/>
  </mc:AlternateContent>
  <xdr:twoCellAnchor>
    <xdr:from>
      <xdr:col>0</xdr:col>
      <xdr:colOff>116416</xdr:colOff>
      <xdr:row>3</xdr:row>
      <xdr:rowOff>433916</xdr:rowOff>
    </xdr:from>
    <xdr:to>
      <xdr:col>1</xdr:col>
      <xdr:colOff>1238249</xdr:colOff>
      <xdr:row>3</xdr:row>
      <xdr:rowOff>656166</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116416" y="1121833"/>
          <a:ext cx="13017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Learn more</a:t>
          </a:r>
          <a:r>
            <a:rPr lang="en-US" sz="1000">
              <a:latin typeface="Century Gothic" panose="020B0502020202020204" pitchFamily="34" charset="0"/>
            </a:rPr>
            <a:t>).</a:t>
          </a:r>
        </a:p>
      </xdr:txBody>
    </xdr:sp>
    <xdr:clientData/>
  </xdr:twoCellAnchor>
  <xdr:twoCellAnchor>
    <xdr:from>
      <xdr:col>1</xdr:col>
      <xdr:colOff>1862667</xdr:colOff>
      <xdr:row>3</xdr:row>
      <xdr:rowOff>952500</xdr:rowOff>
    </xdr:from>
    <xdr:to>
      <xdr:col>2</xdr:col>
      <xdr:colOff>613833</xdr:colOff>
      <xdr:row>3</xdr:row>
      <xdr:rowOff>1185332</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100-000003000000}"/>
            </a:ext>
          </a:extLst>
        </xdr:cNvPr>
        <xdr:cNvSpPr txBox="1"/>
      </xdr:nvSpPr>
      <xdr:spPr>
        <a:xfrm>
          <a:off x="2042584" y="1640417"/>
          <a:ext cx="1322916" cy="232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Need help?</a:t>
          </a:r>
          <a:r>
            <a:rPr lang="en-US" sz="1000">
              <a:latin typeface="Century Gothic" panose="020B0502020202020204"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xdr:row>
          <xdr:rowOff>9525</xdr:rowOff>
        </xdr:from>
        <xdr:to>
          <xdr:col>2</xdr:col>
          <xdr:colOff>447675</xdr:colOff>
          <xdr:row>11</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400050</xdr:rowOff>
        </xdr:from>
        <xdr:to>
          <xdr:col>3</xdr:col>
          <xdr:colOff>981075</xdr:colOff>
          <xdr:row>13</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6</xdr:row>
          <xdr:rowOff>190500</xdr:rowOff>
        </xdr:from>
        <xdr:to>
          <xdr:col>2</xdr:col>
          <xdr:colOff>885825</xdr:colOff>
          <xdr:row>6</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5</xdr:row>
          <xdr:rowOff>114300</xdr:rowOff>
        </xdr:from>
        <xdr:to>
          <xdr:col>2</xdr:col>
          <xdr:colOff>114300</xdr:colOff>
          <xdr:row>5</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5</xdr:row>
          <xdr:rowOff>133350</xdr:rowOff>
        </xdr:from>
        <xdr:to>
          <xdr:col>3</xdr:col>
          <xdr:colOff>600075</xdr:colOff>
          <xdr:row>5</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5</xdr:row>
          <xdr:rowOff>152400</xdr:rowOff>
        </xdr:from>
        <xdr:to>
          <xdr:col>4</xdr:col>
          <xdr:colOff>962025</xdr:colOff>
          <xdr:row>5</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11</xdr:row>
          <xdr:rowOff>28575</xdr:rowOff>
        </xdr:from>
        <xdr:to>
          <xdr:col>2</xdr:col>
          <xdr:colOff>466725</xdr:colOff>
          <xdr:row>11</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11</xdr:row>
          <xdr:rowOff>352425</xdr:rowOff>
        </xdr:from>
        <xdr:to>
          <xdr:col>3</xdr:col>
          <xdr:colOff>990600</xdr:colOff>
          <xdr:row>13</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7</xdr:row>
          <xdr:rowOff>190500</xdr:rowOff>
        </xdr:from>
        <xdr:to>
          <xdr:col>2</xdr:col>
          <xdr:colOff>885825</xdr:colOff>
          <xdr:row>7</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6</xdr:row>
          <xdr:rowOff>114300</xdr:rowOff>
        </xdr:from>
        <xdr:to>
          <xdr:col>2</xdr:col>
          <xdr:colOff>114300</xdr:colOff>
          <xdr:row>6</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6</xdr:row>
          <xdr:rowOff>133350</xdr:rowOff>
        </xdr:from>
        <xdr:to>
          <xdr:col>3</xdr:col>
          <xdr:colOff>600075</xdr:colOff>
          <xdr:row>6</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6</xdr:row>
          <xdr:rowOff>133350</xdr:rowOff>
        </xdr:from>
        <xdr:to>
          <xdr:col>4</xdr:col>
          <xdr:colOff>885825</xdr:colOff>
          <xdr:row>6</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38</xdr:row>
          <xdr:rowOff>0</xdr:rowOff>
        </xdr:from>
        <xdr:to>
          <xdr:col>2</xdr:col>
          <xdr:colOff>9525</xdr:colOff>
          <xdr:row>39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38</xdr:row>
          <xdr:rowOff>0</xdr:rowOff>
        </xdr:from>
        <xdr:to>
          <xdr:col>3</xdr:col>
          <xdr:colOff>9525</xdr:colOff>
          <xdr:row>39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39</xdr:row>
          <xdr:rowOff>9525</xdr:rowOff>
        </xdr:from>
        <xdr:to>
          <xdr:col>3</xdr:col>
          <xdr:colOff>1200150</xdr:colOff>
          <xdr:row>39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10</xdr:row>
          <xdr:rowOff>19050</xdr:rowOff>
        </xdr:from>
        <xdr:to>
          <xdr:col>2</xdr:col>
          <xdr:colOff>9525</xdr:colOff>
          <xdr:row>10</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19050</xdr:rowOff>
        </xdr:from>
        <xdr:to>
          <xdr:col>2</xdr:col>
          <xdr:colOff>1314450</xdr:colOff>
          <xdr:row>10</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A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10</xdr:row>
          <xdr:rowOff>38100</xdr:rowOff>
        </xdr:from>
        <xdr:to>
          <xdr:col>3</xdr:col>
          <xdr:colOff>1133475</xdr:colOff>
          <xdr:row>10</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A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B00-000005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C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C00-000002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C00-000004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D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D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E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E00-000002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E00-000004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0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0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0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1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1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1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2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2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3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3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3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4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400-000002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4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38</xdr:row>
          <xdr:rowOff>9525</xdr:rowOff>
        </xdr:from>
        <xdr:to>
          <xdr:col>2</xdr:col>
          <xdr:colOff>0</xdr:colOff>
          <xdr:row>38</xdr:row>
          <xdr:rowOff>276225</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38</xdr:row>
          <xdr:rowOff>9525</xdr:rowOff>
        </xdr:from>
        <xdr:to>
          <xdr:col>2</xdr:col>
          <xdr:colOff>1304925</xdr:colOff>
          <xdr:row>38</xdr:row>
          <xdr:rowOff>276225</xdr:rowOff>
        </xdr:to>
        <xdr:sp macro="" textlink="">
          <xdr:nvSpPr>
            <xdr:cNvPr id="44035" name="Button 3" hidden="1">
              <a:extLst>
                <a:ext uri="{63B3BB69-23CF-44E3-9099-C40C66FF867C}">
                  <a14:compatExt spid="_x0000_s44035"/>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36</xdr:row>
          <xdr:rowOff>142875</xdr:rowOff>
        </xdr:from>
        <xdr:to>
          <xdr:col>3</xdr:col>
          <xdr:colOff>1104900</xdr:colOff>
          <xdr:row>38</xdr:row>
          <xdr:rowOff>266700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45</xdr:row>
          <xdr:rowOff>0</xdr:rowOff>
        </xdr:from>
        <xdr:to>
          <xdr:col>2</xdr:col>
          <xdr:colOff>0</xdr:colOff>
          <xdr:row>46</xdr:row>
          <xdr:rowOff>190500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45</xdr:row>
          <xdr:rowOff>0</xdr:rowOff>
        </xdr:from>
        <xdr:to>
          <xdr:col>2</xdr:col>
          <xdr:colOff>1295400</xdr:colOff>
          <xdr:row>46</xdr:row>
          <xdr:rowOff>190500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44</xdr:row>
          <xdr:rowOff>180975</xdr:rowOff>
        </xdr:from>
        <xdr:to>
          <xdr:col>3</xdr:col>
          <xdr:colOff>1085850</xdr:colOff>
          <xdr:row>46</xdr:row>
          <xdr:rowOff>209550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3.vml"/><Relationship Id="rId1" Type="http://schemas.openxmlformats.org/officeDocument/2006/relationships/drawing" Target="../drawings/drawing13.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9.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8.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1.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3.xml"/><Relationship Id="rId4" Type="http://schemas.openxmlformats.org/officeDocument/2006/relationships/ctrlProp" Target="../ctrlProps/ctrlProp72.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11.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2:T341"/>
  <sheetViews>
    <sheetView showGridLines="0" zoomScale="90" zoomScaleNormal="90" workbookViewId="0">
      <selection activeCell="U21" sqref="U21"/>
    </sheetView>
  </sheetViews>
  <sheetFormatPr defaultColWidth="9.140625" defaultRowHeight="15" x14ac:dyDescent="0.25"/>
  <cols>
    <col min="1" max="1" width="2.7109375" style="42" customWidth="1"/>
    <col min="2" max="2" width="5.7109375" style="42" customWidth="1"/>
    <col min="3" max="3" width="11.140625" style="42" customWidth="1"/>
    <col min="4" max="4" width="30.85546875" style="42" customWidth="1"/>
    <col min="5" max="5" width="29.140625" style="42" customWidth="1"/>
    <col min="6" max="6" width="21" style="42" customWidth="1"/>
    <col min="7" max="7" width="15.7109375" style="42" hidden="1" customWidth="1"/>
    <col min="8" max="8" width="110.28515625" style="42" hidden="1" customWidth="1"/>
    <col min="9" max="9" width="0.85546875" style="42" hidden="1" customWidth="1"/>
    <col min="10" max="10" width="9.140625" style="42" hidden="1" customWidth="1"/>
    <col min="11" max="11" width="4.5703125" style="42" customWidth="1"/>
    <col min="12" max="12" width="15.5703125" style="42" hidden="1" customWidth="1"/>
    <col min="13" max="18" width="9.140625" style="42" hidden="1" customWidth="1"/>
    <col min="19" max="19" width="26.140625" style="42" hidden="1" customWidth="1"/>
    <col min="20" max="20" width="25.5703125" style="42" hidden="1" customWidth="1"/>
    <col min="21" max="16384" width="9.140625" style="42"/>
  </cols>
  <sheetData>
    <row r="2" spans="2:14" x14ac:dyDescent="0.25">
      <c r="B2" s="47"/>
      <c r="C2" s="48" t="s">
        <v>566</v>
      </c>
      <c r="D2" s="49"/>
      <c r="E2" s="49"/>
      <c r="F2" s="49"/>
      <c r="G2" s="49"/>
      <c r="H2" s="49"/>
      <c r="I2" s="50"/>
      <c r="J2" s="49"/>
      <c r="K2" s="51"/>
      <c r="L2" s="41"/>
      <c r="M2" s="41"/>
      <c r="N2" s="41"/>
    </row>
    <row r="3" spans="2:14" ht="43.5" customHeight="1" x14ac:dyDescent="0.25">
      <c r="B3" s="52"/>
      <c r="C3" s="228" t="s">
        <v>729</v>
      </c>
      <c r="D3" s="229"/>
      <c r="E3" s="229"/>
      <c r="F3" s="229"/>
      <c r="G3" s="1"/>
      <c r="H3" s="1"/>
      <c r="I3" s="8"/>
      <c r="J3" s="1"/>
      <c r="K3" s="53"/>
      <c r="L3" s="41"/>
      <c r="M3" s="41"/>
      <c r="N3" s="41"/>
    </row>
    <row r="4" spans="2:14" ht="36" customHeight="1" x14ac:dyDescent="0.25">
      <c r="B4" s="52"/>
      <c r="C4" s="231" t="s">
        <v>737</v>
      </c>
      <c r="D4" s="231"/>
      <c r="E4" s="231"/>
      <c r="F4" s="231"/>
      <c r="G4" s="1"/>
      <c r="H4" s="1"/>
      <c r="I4" s="8"/>
      <c r="J4" s="1"/>
      <c r="K4" s="53"/>
      <c r="L4" s="41"/>
      <c r="M4" s="41"/>
      <c r="N4" s="41"/>
    </row>
    <row r="5" spans="2:14" x14ac:dyDescent="0.25">
      <c r="B5" s="52"/>
      <c r="C5" s="103" t="s">
        <v>0</v>
      </c>
      <c r="D5" s="9"/>
      <c r="E5" s="9"/>
      <c r="F5" s="1"/>
      <c r="G5" s="1"/>
      <c r="H5" s="1"/>
      <c r="I5" s="8"/>
      <c r="J5" s="1"/>
      <c r="K5" s="53"/>
      <c r="L5" s="41"/>
      <c r="M5" s="41"/>
      <c r="N5" s="41"/>
    </row>
    <row r="6" spans="2:14" x14ac:dyDescent="0.25">
      <c r="B6" s="52"/>
      <c r="C6" s="104" t="s">
        <v>1</v>
      </c>
      <c r="D6" s="9"/>
      <c r="E6" s="9"/>
      <c r="F6" s="1"/>
      <c r="G6" s="1"/>
      <c r="H6" s="1"/>
      <c r="I6" s="8"/>
      <c r="J6" s="1"/>
      <c r="K6" s="53"/>
      <c r="L6" s="41"/>
      <c r="M6" s="41" t="s">
        <v>3</v>
      </c>
      <c r="N6" s="41"/>
    </row>
    <row r="7" spans="2:14" x14ac:dyDescent="0.25">
      <c r="B7" s="52"/>
      <c r="C7" s="105" t="s">
        <v>2</v>
      </c>
      <c r="D7" s="10"/>
      <c r="E7" s="11"/>
      <c r="F7" s="1"/>
      <c r="G7" s="1"/>
      <c r="H7" s="1"/>
      <c r="I7" s="8"/>
      <c r="J7" s="1"/>
      <c r="K7" s="53"/>
      <c r="L7" s="41"/>
      <c r="M7" s="41" t="s">
        <v>4</v>
      </c>
      <c r="N7" s="41"/>
    </row>
    <row r="8" spans="2:14" x14ac:dyDescent="0.25">
      <c r="B8" s="52"/>
      <c r="C8" s="10"/>
      <c r="D8" s="10"/>
      <c r="E8" s="11"/>
      <c r="F8" s="1"/>
      <c r="G8" s="1"/>
      <c r="H8" s="1"/>
      <c r="I8" s="8"/>
      <c r="J8" s="1"/>
      <c r="K8" s="53"/>
      <c r="L8" s="41"/>
      <c r="M8" s="41"/>
      <c r="N8" s="41"/>
    </row>
    <row r="9" spans="2:14" x14ac:dyDescent="0.25">
      <c r="B9" s="52"/>
      <c r="C9" s="106" t="s">
        <v>596</v>
      </c>
      <c r="D9" s="62"/>
      <c r="E9" s="63"/>
      <c r="F9" s="64"/>
      <c r="G9" s="1"/>
      <c r="H9" s="1"/>
      <c r="I9" s="8"/>
      <c r="J9" s="1"/>
      <c r="K9" s="53"/>
      <c r="L9" s="41"/>
      <c r="M9" s="41"/>
      <c r="N9" s="41"/>
    </row>
    <row r="10" spans="2:14" ht="15" customHeight="1" x14ac:dyDescent="0.25">
      <c r="B10" s="52"/>
      <c r="C10" s="107" t="s">
        <v>563</v>
      </c>
      <c r="D10" s="62"/>
      <c r="E10" s="63"/>
      <c r="F10" s="109" t="s">
        <v>746</v>
      </c>
      <c r="G10" s="1"/>
      <c r="H10" s="1"/>
      <c r="I10" s="8"/>
      <c r="J10" s="1"/>
      <c r="K10" s="53"/>
      <c r="L10" s="41"/>
      <c r="M10" s="41"/>
      <c r="N10" s="41"/>
    </row>
    <row r="11" spans="2:14" ht="18.75" customHeight="1" x14ac:dyDescent="0.25">
      <c r="B11" s="52"/>
      <c r="C11" s="108" t="s">
        <v>597</v>
      </c>
      <c r="D11" s="65"/>
      <c r="E11" s="62"/>
      <c r="F11" s="66"/>
      <c r="G11" s="6"/>
      <c r="H11" s="6"/>
      <c r="I11" s="7"/>
      <c r="J11" s="6"/>
      <c r="K11" s="53"/>
      <c r="L11" s="41"/>
      <c r="M11" s="41"/>
      <c r="N11" s="41"/>
    </row>
    <row r="12" spans="2:14" ht="15" customHeight="1" x14ac:dyDescent="0.25">
      <c r="B12" s="52"/>
      <c r="C12" s="225" t="s">
        <v>708</v>
      </c>
      <c r="D12" s="226"/>
      <c r="E12" s="227"/>
      <c r="F12" s="109">
        <v>2017</v>
      </c>
      <c r="G12" s="6"/>
      <c r="H12" s="6"/>
      <c r="I12" s="7"/>
      <c r="J12" s="6"/>
      <c r="K12" s="53"/>
      <c r="L12" s="41"/>
      <c r="M12" s="41"/>
      <c r="N12" s="41"/>
    </row>
    <row r="13" spans="2:14" ht="9.75" customHeight="1" x14ac:dyDescent="0.25">
      <c r="B13" s="52"/>
      <c r="C13" s="65"/>
      <c r="D13" s="65"/>
      <c r="E13" s="62"/>
      <c r="F13" s="66"/>
      <c r="G13" s="6"/>
      <c r="H13" s="6"/>
      <c r="I13" s="7"/>
      <c r="J13" s="6"/>
      <c r="K13" s="53"/>
      <c r="L13" s="41"/>
      <c r="M13" s="41"/>
      <c r="N13" s="41"/>
    </row>
    <row r="14" spans="2:14" ht="15" customHeight="1" x14ac:dyDescent="0.25">
      <c r="B14" s="52"/>
      <c r="C14" s="110" t="s">
        <v>730</v>
      </c>
      <c r="D14" s="1"/>
      <c r="E14" s="1"/>
      <c r="F14" s="1"/>
      <c r="G14" s="6"/>
      <c r="H14" s="6"/>
      <c r="I14" s="7"/>
      <c r="J14" s="6"/>
      <c r="K14" s="53"/>
      <c r="L14" s="41"/>
      <c r="M14" s="41"/>
      <c r="N14" s="41"/>
    </row>
    <row r="15" spans="2:14" ht="27.75" customHeight="1" x14ac:dyDescent="0.25">
      <c r="B15" s="52"/>
      <c r="C15" s="232" t="s">
        <v>738</v>
      </c>
      <c r="D15" s="232"/>
      <c r="E15" s="232"/>
      <c r="F15" s="232"/>
      <c r="G15" s="6"/>
      <c r="H15" s="6"/>
      <c r="I15" s="7"/>
      <c r="J15" s="6"/>
      <c r="K15" s="53"/>
      <c r="L15" s="41"/>
      <c r="M15" s="41"/>
      <c r="N15" s="41"/>
    </row>
    <row r="16" spans="2:14" ht="6.75" customHeight="1" x14ac:dyDescent="0.25">
      <c r="B16" s="52"/>
      <c r="C16" s="12"/>
      <c r="D16" s="1"/>
      <c r="E16" s="1"/>
      <c r="F16" s="1"/>
      <c r="G16" s="6"/>
      <c r="H16" s="6"/>
      <c r="I16" s="7"/>
      <c r="J16" s="6"/>
      <c r="K16" s="53"/>
      <c r="L16" s="41"/>
      <c r="M16" s="41"/>
      <c r="N16" s="41"/>
    </row>
    <row r="17" spans="2:14" ht="15" customHeight="1" x14ac:dyDescent="0.25">
      <c r="B17" s="52"/>
      <c r="C17" s="12"/>
      <c r="D17" s="111" t="s">
        <v>724</v>
      </c>
      <c r="E17" s="1"/>
      <c r="F17" s="1"/>
      <c r="G17" s="6"/>
      <c r="H17" s="6"/>
      <c r="I17" s="7"/>
      <c r="J17" s="6"/>
      <c r="K17" s="53"/>
      <c r="L17" s="41"/>
      <c r="M17" s="41"/>
      <c r="N17" s="41"/>
    </row>
    <row r="18" spans="2:14" ht="15" customHeight="1" x14ac:dyDescent="0.25">
      <c r="B18" s="52"/>
      <c r="C18" s="12"/>
      <c r="D18" s="81"/>
      <c r="E18" s="1"/>
      <c r="F18" s="1"/>
      <c r="G18" s="6"/>
      <c r="H18" s="6"/>
      <c r="I18" s="7"/>
      <c r="J18" s="6"/>
      <c r="K18" s="53"/>
      <c r="L18" s="41"/>
      <c r="M18" s="41"/>
      <c r="N18" s="41"/>
    </row>
    <row r="19" spans="2:14" ht="10.5" customHeight="1" x14ac:dyDescent="0.25">
      <c r="B19" s="52"/>
      <c r="C19" s="12"/>
      <c r="D19" s="81"/>
      <c r="E19" s="1"/>
      <c r="F19" s="1"/>
      <c r="G19" s="6"/>
      <c r="H19" s="6"/>
      <c r="I19" s="7"/>
      <c r="J19" s="6"/>
      <c r="K19" s="53"/>
      <c r="L19" s="41"/>
      <c r="M19" s="41"/>
      <c r="N19" s="41"/>
    </row>
    <row r="20" spans="2:14" ht="15" customHeight="1" x14ac:dyDescent="0.25">
      <c r="B20" s="52"/>
      <c r="C20" s="12"/>
      <c r="D20" s="111" t="s">
        <v>709</v>
      </c>
      <c r="E20" s="1"/>
      <c r="F20" s="1"/>
      <c r="G20" s="6"/>
      <c r="H20" s="6"/>
      <c r="I20" s="7"/>
      <c r="J20" s="6"/>
      <c r="K20" s="53"/>
      <c r="L20" s="41"/>
      <c r="M20" s="41"/>
      <c r="N20" s="41"/>
    </row>
    <row r="21" spans="2:14" ht="15" customHeight="1" x14ac:dyDescent="0.25">
      <c r="B21" s="52"/>
      <c r="C21" s="12"/>
      <c r="D21" s="111" t="s">
        <v>710</v>
      </c>
      <c r="E21" s="1"/>
      <c r="F21" s="1"/>
      <c r="G21" s="6"/>
      <c r="H21" s="6"/>
      <c r="I21" s="7"/>
      <c r="J21" s="6"/>
      <c r="K21" s="53"/>
      <c r="L21" s="41"/>
      <c r="M21" s="41"/>
      <c r="N21" s="41"/>
    </row>
    <row r="22" spans="2:14" ht="15" customHeight="1" x14ac:dyDescent="0.25">
      <c r="B22" s="52"/>
      <c r="C22" s="12"/>
      <c r="D22" s="111" t="s">
        <v>539</v>
      </c>
      <c r="E22" s="1"/>
      <c r="F22" s="1"/>
      <c r="G22" s="6"/>
      <c r="H22" s="6"/>
      <c r="I22" s="7"/>
      <c r="J22" s="6"/>
      <c r="K22" s="53"/>
      <c r="L22" s="41"/>
      <c r="M22" s="41"/>
      <c r="N22" s="41"/>
    </row>
    <row r="23" spans="2:14" ht="15" customHeight="1" x14ac:dyDescent="0.25">
      <c r="B23" s="52"/>
      <c r="C23" s="12"/>
      <c r="D23" s="111" t="s">
        <v>554</v>
      </c>
      <c r="E23" s="1"/>
      <c r="F23" s="1"/>
      <c r="G23" s="6"/>
      <c r="H23" s="6"/>
      <c r="I23" s="7"/>
      <c r="J23" s="6"/>
      <c r="K23" s="53"/>
      <c r="L23" s="41"/>
      <c r="M23" s="41"/>
      <c r="N23" s="41"/>
    </row>
    <row r="24" spans="2:14" ht="15" customHeight="1" x14ac:dyDescent="0.25">
      <c r="B24" s="52"/>
      <c r="C24" s="12"/>
      <c r="D24" s="111" t="s">
        <v>693</v>
      </c>
      <c r="E24" s="1"/>
      <c r="F24" s="1"/>
      <c r="G24" s="6"/>
      <c r="H24" s="6"/>
      <c r="I24" s="7"/>
      <c r="J24" s="6"/>
      <c r="K24" s="53"/>
      <c r="L24" s="41"/>
      <c r="M24" s="41"/>
      <c r="N24" s="41"/>
    </row>
    <row r="25" spans="2:14" ht="15" customHeight="1" x14ac:dyDescent="0.25">
      <c r="B25" s="52"/>
      <c r="C25" s="12"/>
      <c r="D25" s="111" t="s">
        <v>694</v>
      </c>
      <c r="E25" s="1"/>
      <c r="F25" s="1"/>
      <c r="G25" s="6"/>
      <c r="H25" s="6"/>
      <c r="I25" s="7"/>
      <c r="J25" s="6"/>
      <c r="K25" s="53"/>
      <c r="L25" s="41"/>
      <c r="M25" s="41"/>
      <c r="N25" s="41"/>
    </row>
    <row r="26" spans="2:14" ht="30" customHeight="1" x14ac:dyDescent="0.25">
      <c r="B26" s="52"/>
      <c r="C26" s="12"/>
      <c r="D26" s="230" t="s">
        <v>695</v>
      </c>
      <c r="E26" s="230"/>
      <c r="F26" s="230"/>
      <c r="G26" s="6"/>
      <c r="H26" s="6"/>
      <c r="I26" s="7"/>
      <c r="J26" s="6"/>
      <c r="K26" s="53"/>
      <c r="L26" s="41"/>
      <c r="M26" s="41"/>
      <c r="N26" s="41"/>
    </row>
    <row r="27" spans="2:14" ht="30" customHeight="1" x14ac:dyDescent="0.25">
      <c r="B27" s="52"/>
      <c r="C27" s="12"/>
      <c r="D27" s="230" t="s">
        <v>696</v>
      </c>
      <c r="E27" s="230"/>
      <c r="F27" s="230"/>
      <c r="G27" s="6"/>
      <c r="H27" s="6"/>
      <c r="I27" s="7"/>
      <c r="J27" s="6"/>
      <c r="K27" s="53"/>
      <c r="L27" s="41"/>
      <c r="M27" s="41"/>
      <c r="N27" s="41"/>
    </row>
    <row r="28" spans="2:14" ht="15" customHeight="1" x14ac:dyDescent="0.25">
      <c r="B28" s="52"/>
      <c r="C28" s="12"/>
      <c r="D28" s="1"/>
      <c r="E28" s="1"/>
      <c r="F28" s="1"/>
      <c r="G28" s="6"/>
      <c r="H28" s="6"/>
      <c r="I28" s="7"/>
      <c r="J28" s="6"/>
      <c r="K28" s="53"/>
      <c r="L28" s="41"/>
      <c r="M28" s="41"/>
      <c r="N28" s="41"/>
    </row>
    <row r="29" spans="2:14" ht="15" customHeight="1" x14ac:dyDescent="0.25">
      <c r="B29" s="52"/>
      <c r="C29" s="12"/>
      <c r="D29" s="1"/>
      <c r="E29" s="1"/>
      <c r="F29" s="1"/>
      <c r="G29" s="6"/>
      <c r="H29" s="6"/>
      <c r="I29" s="7"/>
      <c r="J29" s="6"/>
      <c r="K29" s="53"/>
      <c r="L29" s="41"/>
      <c r="M29" s="41"/>
      <c r="N29" s="41"/>
    </row>
    <row r="30" spans="2:14" ht="15" customHeight="1" x14ac:dyDescent="0.25">
      <c r="B30" s="52"/>
      <c r="C30" s="12"/>
      <c r="D30" s="1"/>
      <c r="E30" s="1"/>
      <c r="F30" s="1"/>
      <c r="G30" s="6"/>
      <c r="H30" s="6"/>
      <c r="I30" s="7"/>
      <c r="J30" s="6"/>
      <c r="K30" s="53"/>
      <c r="L30" s="41"/>
      <c r="M30" s="41"/>
      <c r="N30" s="41"/>
    </row>
    <row r="31" spans="2:14" ht="15" customHeight="1" x14ac:dyDescent="0.25">
      <c r="B31" s="52"/>
      <c r="C31" s="110" t="s">
        <v>731</v>
      </c>
      <c r="D31" s="1"/>
      <c r="E31" s="1"/>
      <c r="F31" s="1"/>
      <c r="G31" s="1"/>
      <c r="H31" s="1"/>
      <c r="I31" s="8"/>
      <c r="J31" s="1"/>
      <c r="K31" s="53"/>
    </row>
    <row r="32" spans="2:14" ht="15" customHeight="1" x14ac:dyDescent="0.25">
      <c r="B32" s="52"/>
      <c r="C32" s="110" t="s">
        <v>711</v>
      </c>
      <c r="D32" s="1"/>
      <c r="E32" s="1"/>
      <c r="F32" s="1"/>
      <c r="G32" s="1"/>
      <c r="H32" s="1"/>
      <c r="I32" s="80"/>
      <c r="J32" s="1"/>
      <c r="K32" s="53"/>
    </row>
    <row r="33" spans="2:19" ht="15" customHeight="1" x14ac:dyDescent="0.25">
      <c r="B33" s="52"/>
      <c r="C33" s="12"/>
      <c r="D33" s="1"/>
      <c r="E33" s="1"/>
      <c r="F33" s="1"/>
      <c r="G33" s="1"/>
      <c r="H33" s="1"/>
      <c r="I33" s="80"/>
      <c r="J33" s="1"/>
      <c r="K33" s="53"/>
    </row>
    <row r="34" spans="2:19" ht="15" customHeight="1" x14ac:dyDescent="0.25">
      <c r="B34" s="52"/>
      <c r="C34" s="112" t="s">
        <v>598</v>
      </c>
      <c r="D34" s="67"/>
      <c r="E34"/>
      <c r="F34"/>
      <c r="G34" s="68"/>
      <c r="H34" s="68"/>
      <c r="I34" s="68"/>
      <c r="J34" s="68"/>
      <c r="K34" s="53"/>
    </row>
    <row r="35" spans="2:19" ht="59.25" customHeight="1" x14ac:dyDescent="0.25">
      <c r="B35" s="52"/>
      <c r="C35" s="234" t="s">
        <v>739</v>
      </c>
      <c r="D35" s="234"/>
      <c r="E35" s="234"/>
      <c r="F35" s="234"/>
      <c r="G35" s="68"/>
      <c r="H35" s="68"/>
      <c r="I35" s="68"/>
      <c r="J35" s="68"/>
      <c r="K35" s="53"/>
    </row>
    <row r="36" spans="2:19" ht="11.25" customHeight="1" x14ac:dyDescent="0.25">
      <c r="B36" s="70"/>
      <c r="C36" s="69"/>
      <c r="D36" s="69"/>
      <c r="E36" s="69"/>
      <c r="F36" s="69"/>
      <c r="G36" s="68"/>
      <c r="H36" s="68"/>
      <c r="I36" s="68"/>
      <c r="J36" s="68"/>
      <c r="K36" s="72"/>
      <c r="L36" s="71" t="s">
        <v>5</v>
      </c>
      <c r="M36" s="44" t="s">
        <v>6</v>
      </c>
      <c r="O36" s="42" t="s">
        <v>539</v>
      </c>
      <c r="Q36" s="42" t="s">
        <v>539</v>
      </c>
      <c r="S36" s="44" t="s">
        <v>606</v>
      </c>
    </row>
    <row r="37" spans="2:19" ht="11.25" customHeight="1" x14ac:dyDescent="0.25">
      <c r="F37" s="43"/>
      <c r="G37" s="43"/>
      <c r="H37" s="43"/>
      <c r="I37" s="43"/>
      <c r="J37" s="43"/>
      <c r="L37" s="44" t="s">
        <v>7</v>
      </c>
      <c r="M37" s="44" t="s">
        <v>8</v>
      </c>
      <c r="O37" s="42" t="s">
        <v>557</v>
      </c>
      <c r="Q37" s="42" t="s">
        <v>557</v>
      </c>
      <c r="S37" s="44" t="s">
        <v>607</v>
      </c>
    </row>
    <row r="38" spans="2:19" ht="11.25" customHeight="1" x14ac:dyDescent="0.25">
      <c r="F38" s="43"/>
      <c r="K38" s="46"/>
      <c r="L38" s="44" t="s">
        <v>9</v>
      </c>
      <c r="M38" s="44" t="s">
        <v>10</v>
      </c>
      <c r="O38" s="42" t="s">
        <v>554</v>
      </c>
      <c r="S38" s="44" t="s">
        <v>608</v>
      </c>
    </row>
    <row r="39" spans="2:19" x14ac:dyDescent="0.25">
      <c r="B39" s="92"/>
      <c r="C39" s="93"/>
      <c r="D39" s="93"/>
      <c r="E39" s="93"/>
      <c r="F39" s="94"/>
      <c r="G39" s="93"/>
      <c r="H39" s="93"/>
      <c r="I39" s="93"/>
      <c r="J39" s="93"/>
      <c r="K39" s="95"/>
      <c r="L39" s="71"/>
      <c r="M39" s="44"/>
      <c r="S39" s="44" t="s">
        <v>609</v>
      </c>
    </row>
    <row r="40" spans="2:19" x14ac:dyDescent="0.25">
      <c r="B40" s="96"/>
      <c r="C40" s="113" t="s">
        <v>712</v>
      </c>
      <c r="D40" s="90"/>
      <c r="E40" s="90"/>
      <c r="F40" s="91"/>
      <c r="G40" s="90"/>
      <c r="H40" s="90"/>
      <c r="I40" s="90"/>
      <c r="J40" s="90"/>
      <c r="K40" s="97"/>
      <c r="L40" s="71"/>
      <c r="M40" s="44"/>
      <c r="S40" s="44" t="s">
        <v>610</v>
      </c>
    </row>
    <row r="41" spans="2:19" ht="10.5" customHeight="1" x14ac:dyDescent="0.25">
      <c r="B41" s="96"/>
      <c r="C41" s="90"/>
      <c r="D41" s="90"/>
      <c r="E41" s="90"/>
      <c r="F41" s="91"/>
      <c r="G41" s="90"/>
      <c r="H41" s="90"/>
      <c r="I41" s="90"/>
      <c r="J41" s="90"/>
      <c r="K41" s="97"/>
      <c r="L41" s="71"/>
      <c r="M41" s="44"/>
      <c r="S41" s="44" t="s">
        <v>611</v>
      </c>
    </row>
    <row r="42" spans="2:19" x14ac:dyDescent="0.25">
      <c r="B42" s="96"/>
      <c r="C42" s="114" t="s">
        <v>713</v>
      </c>
      <c r="D42" s="90"/>
      <c r="E42" s="90"/>
      <c r="F42" s="91"/>
      <c r="G42" s="90"/>
      <c r="H42" s="90"/>
      <c r="I42" s="90"/>
      <c r="J42" s="90"/>
      <c r="K42" s="97"/>
      <c r="L42" s="71"/>
      <c r="M42" s="44"/>
      <c r="S42" s="44" t="s">
        <v>612</v>
      </c>
    </row>
    <row r="43" spans="2:19" ht="131.25" customHeight="1" x14ac:dyDescent="0.25">
      <c r="B43" s="96"/>
      <c r="C43" s="233" t="s">
        <v>714</v>
      </c>
      <c r="D43" s="233"/>
      <c r="E43" s="233"/>
      <c r="F43" s="233"/>
      <c r="G43" s="90"/>
      <c r="H43" s="90"/>
      <c r="I43" s="90"/>
      <c r="J43" s="90"/>
      <c r="K43" s="97"/>
      <c r="L43" s="71"/>
      <c r="M43" s="44"/>
      <c r="S43" s="44" t="s">
        <v>613</v>
      </c>
    </row>
    <row r="44" spans="2:19" x14ac:dyDescent="0.25">
      <c r="B44" s="96"/>
      <c r="C44" s="114" t="s">
        <v>715</v>
      </c>
      <c r="D44" s="90"/>
      <c r="E44" s="90"/>
      <c r="F44" s="91"/>
      <c r="G44" s="90"/>
      <c r="H44" s="90"/>
      <c r="I44" s="90"/>
      <c r="J44" s="90"/>
      <c r="K44" s="97"/>
      <c r="L44" s="71"/>
      <c r="M44" s="44"/>
      <c r="S44" s="44" t="s">
        <v>614</v>
      </c>
    </row>
    <row r="45" spans="2:19" ht="64.5" customHeight="1" x14ac:dyDescent="0.25">
      <c r="B45" s="96"/>
      <c r="C45" s="233" t="s">
        <v>716</v>
      </c>
      <c r="D45" s="233"/>
      <c r="E45" s="233"/>
      <c r="F45" s="233"/>
      <c r="G45" s="90"/>
      <c r="H45" s="90"/>
      <c r="I45" s="90"/>
      <c r="J45" s="90"/>
      <c r="K45" s="97"/>
      <c r="L45" s="71"/>
      <c r="M45" s="44"/>
      <c r="S45" s="44" t="s">
        <v>615</v>
      </c>
    </row>
    <row r="46" spans="2:19" ht="15" customHeight="1" x14ac:dyDescent="0.25">
      <c r="B46" s="96"/>
      <c r="C46" s="114" t="s">
        <v>594</v>
      </c>
      <c r="D46" s="90"/>
      <c r="E46" s="90"/>
      <c r="F46" s="91"/>
      <c r="G46" s="90"/>
      <c r="H46" s="90"/>
      <c r="I46" s="90"/>
      <c r="J46" s="90"/>
      <c r="K46" s="97"/>
      <c r="L46" s="71"/>
      <c r="M46" s="44"/>
      <c r="S46" s="44" t="s">
        <v>616</v>
      </c>
    </row>
    <row r="47" spans="2:19" ht="118.5" customHeight="1" x14ac:dyDescent="0.25">
      <c r="B47" s="96"/>
      <c r="C47" s="233" t="s">
        <v>728</v>
      </c>
      <c r="D47" s="233"/>
      <c r="E47" s="233"/>
      <c r="F47" s="233"/>
      <c r="G47" s="90"/>
      <c r="H47" s="90"/>
      <c r="I47" s="90"/>
      <c r="J47" s="90"/>
      <c r="K47" s="97"/>
      <c r="L47" s="71"/>
      <c r="M47" s="44"/>
      <c r="S47" s="44" t="s">
        <v>617</v>
      </c>
    </row>
    <row r="48" spans="2:19" x14ac:dyDescent="0.25">
      <c r="B48" s="96"/>
      <c r="C48" s="114" t="s">
        <v>591</v>
      </c>
      <c r="D48" s="90"/>
      <c r="E48" s="90"/>
      <c r="F48" s="91"/>
      <c r="G48" s="90"/>
      <c r="H48" s="90"/>
      <c r="I48" s="90"/>
      <c r="J48" s="90"/>
      <c r="K48" s="97"/>
      <c r="L48" s="71"/>
      <c r="M48" s="44"/>
      <c r="S48" s="44" t="s">
        <v>618</v>
      </c>
    </row>
    <row r="49" spans="2:19" ht="31.5" customHeight="1" x14ac:dyDescent="0.25">
      <c r="B49" s="96"/>
      <c r="C49" s="233" t="s">
        <v>736</v>
      </c>
      <c r="D49" s="233"/>
      <c r="E49" s="233"/>
      <c r="F49" s="233"/>
      <c r="G49" s="90"/>
      <c r="H49" s="90"/>
      <c r="I49" s="90"/>
      <c r="J49" s="90"/>
      <c r="K49" s="97"/>
      <c r="L49" s="71"/>
      <c r="M49" s="44"/>
      <c r="S49" s="44" t="s">
        <v>619</v>
      </c>
    </row>
    <row r="50" spans="2:19" x14ac:dyDescent="0.25">
      <c r="B50" s="98"/>
      <c r="C50" s="99"/>
      <c r="D50" s="99"/>
      <c r="E50" s="99"/>
      <c r="F50" s="100"/>
      <c r="G50" s="99"/>
      <c r="H50" s="99"/>
      <c r="I50" s="99"/>
      <c r="J50" s="99"/>
      <c r="K50" s="101"/>
      <c r="L50" s="71"/>
      <c r="M50" s="44"/>
      <c r="S50" s="44" t="s">
        <v>620</v>
      </c>
    </row>
    <row r="51" spans="2:19" ht="12" customHeight="1" x14ac:dyDescent="0.25">
      <c r="F51" s="43"/>
      <c r="K51" s="46"/>
      <c r="L51" s="44"/>
      <c r="M51" s="44"/>
      <c r="S51" s="44" t="s">
        <v>621</v>
      </c>
    </row>
    <row r="52" spans="2:19" ht="11.25" customHeight="1" x14ac:dyDescent="0.25">
      <c r="F52" s="43"/>
      <c r="K52" s="46"/>
      <c r="L52" s="44" t="s">
        <v>11</v>
      </c>
      <c r="M52" s="44" t="s">
        <v>12</v>
      </c>
      <c r="O52" s="42" t="s">
        <v>556</v>
      </c>
      <c r="S52" s="44" t="s">
        <v>622</v>
      </c>
    </row>
    <row r="53" spans="2:19" ht="16.5" x14ac:dyDescent="0.3">
      <c r="F53" s="115" t="s">
        <v>692</v>
      </c>
      <c r="G53" s="116"/>
      <c r="H53" s="116"/>
      <c r="I53" s="116"/>
      <c r="J53" s="116"/>
      <c r="K53" s="115" t="s">
        <v>705</v>
      </c>
      <c r="L53" s="44" t="s">
        <v>13</v>
      </c>
      <c r="M53" s="44" t="s">
        <v>14</v>
      </c>
      <c r="O53" s="42" t="s">
        <v>555</v>
      </c>
      <c r="S53" s="44" t="s">
        <v>623</v>
      </c>
    </row>
    <row r="54" spans="2:19" ht="16.5" x14ac:dyDescent="0.3">
      <c r="F54" s="116"/>
      <c r="G54" s="116"/>
      <c r="H54" s="116"/>
      <c r="I54" s="116"/>
      <c r="J54" s="116"/>
      <c r="K54" s="115" t="s">
        <v>601</v>
      </c>
      <c r="L54" s="44" t="s">
        <v>15</v>
      </c>
      <c r="M54" s="44" t="s">
        <v>16</v>
      </c>
      <c r="S54" s="44" t="s">
        <v>624</v>
      </c>
    </row>
    <row r="55" spans="2:19" ht="16.5" x14ac:dyDescent="0.3">
      <c r="F55" s="116"/>
      <c r="G55" s="116"/>
      <c r="H55" s="116"/>
      <c r="I55" s="116"/>
      <c r="J55" s="116"/>
      <c r="K55" s="115" t="s">
        <v>717</v>
      </c>
      <c r="L55" s="44" t="s">
        <v>17</v>
      </c>
      <c r="M55" s="44" t="s">
        <v>18</v>
      </c>
      <c r="S55" s="44" t="s">
        <v>625</v>
      </c>
    </row>
    <row r="56" spans="2:19" ht="16.5" x14ac:dyDescent="0.3">
      <c r="F56" s="116"/>
      <c r="G56" s="116"/>
      <c r="H56" s="116"/>
      <c r="I56" s="116"/>
      <c r="J56" s="116"/>
      <c r="K56" s="115" t="s">
        <v>565</v>
      </c>
      <c r="L56" s="44" t="s">
        <v>19</v>
      </c>
      <c r="M56" s="44" t="s">
        <v>20</v>
      </c>
      <c r="S56" s="44" t="s">
        <v>626</v>
      </c>
    </row>
    <row r="57" spans="2:19" x14ac:dyDescent="0.25">
      <c r="L57" s="44" t="s">
        <v>21</v>
      </c>
      <c r="M57" s="44" t="s">
        <v>22</v>
      </c>
      <c r="S57" s="44" t="s">
        <v>627</v>
      </c>
    </row>
    <row r="58" spans="2:19" x14ac:dyDescent="0.25">
      <c r="L58" s="44" t="s">
        <v>23</v>
      </c>
      <c r="M58" s="44" t="s">
        <v>24</v>
      </c>
      <c r="S58" s="44" t="s">
        <v>628</v>
      </c>
    </row>
    <row r="59" spans="2:19" x14ac:dyDescent="0.25">
      <c r="L59" s="44" t="s">
        <v>25</v>
      </c>
      <c r="M59" s="44" t="s">
        <v>26</v>
      </c>
      <c r="S59" s="44" t="s">
        <v>629</v>
      </c>
    </row>
    <row r="60" spans="2:19" x14ac:dyDescent="0.25">
      <c r="L60" s="44" t="s">
        <v>27</v>
      </c>
      <c r="M60" s="44" t="s">
        <v>28</v>
      </c>
      <c r="S60" s="44" t="s">
        <v>630</v>
      </c>
    </row>
    <row r="61" spans="2:19" x14ac:dyDescent="0.25">
      <c r="L61" s="44" t="s">
        <v>29</v>
      </c>
      <c r="M61" s="44" t="s">
        <v>30</v>
      </c>
      <c r="S61" s="44" t="s">
        <v>631</v>
      </c>
    </row>
    <row r="62" spans="2:19" x14ac:dyDescent="0.25">
      <c r="L62" s="44" t="s">
        <v>31</v>
      </c>
      <c r="M62" s="44" t="s">
        <v>32</v>
      </c>
      <c r="S62" s="44" t="s">
        <v>632</v>
      </c>
    </row>
    <row r="63" spans="2:19" x14ac:dyDescent="0.25">
      <c r="L63" s="44" t="s">
        <v>33</v>
      </c>
      <c r="M63" s="44" t="s">
        <v>34</v>
      </c>
      <c r="S63" s="44" t="s">
        <v>633</v>
      </c>
    </row>
    <row r="64" spans="2:19" x14ac:dyDescent="0.25">
      <c r="L64" s="44" t="s">
        <v>35</v>
      </c>
      <c r="M64" s="44" t="s">
        <v>36</v>
      </c>
      <c r="S64" s="44" t="s">
        <v>634</v>
      </c>
    </row>
    <row r="65" spans="12:19" x14ac:dyDescent="0.25">
      <c r="L65" s="44" t="s">
        <v>37</v>
      </c>
      <c r="M65" s="44" t="s">
        <v>38</v>
      </c>
      <c r="S65" s="44" t="s">
        <v>635</v>
      </c>
    </row>
    <row r="66" spans="12:19" x14ac:dyDescent="0.25">
      <c r="L66" s="44" t="s">
        <v>39</v>
      </c>
      <c r="M66" s="44" t="s">
        <v>40</v>
      </c>
      <c r="S66" s="44" t="s">
        <v>636</v>
      </c>
    </row>
    <row r="67" spans="12:19" x14ac:dyDescent="0.25">
      <c r="L67" s="44" t="s">
        <v>41</v>
      </c>
      <c r="M67" s="44" t="s">
        <v>42</v>
      </c>
      <c r="S67" s="44" t="s">
        <v>637</v>
      </c>
    </row>
    <row r="68" spans="12:19" x14ac:dyDescent="0.25">
      <c r="L68" s="44" t="s">
        <v>43</v>
      </c>
      <c r="M68" s="44" t="s">
        <v>44</v>
      </c>
      <c r="S68" s="44" t="s">
        <v>638</v>
      </c>
    </row>
    <row r="69" spans="12:19" x14ac:dyDescent="0.25">
      <c r="L69" s="44" t="s">
        <v>45</v>
      </c>
      <c r="M69" s="44" t="s">
        <v>46</v>
      </c>
      <c r="S69" s="44" t="s">
        <v>639</v>
      </c>
    </row>
    <row r="70" spans="12:19" x14ac:dyDescent="0.25">
      <c r="L70" s="44" t="s">
        <v>47</v>
      </c>
      <c r="M70" s="44" t="s">
        <v>48</v>
      </c>
      <c r="S70" s="44" t="s">
        <v>640</v>
      </c>
    </row>
    <row r="71" spans="12:19" x14ac:dyDescent="0.25">
      <c r="L71" s="44" t="s">
        <v>49</v>
      </c>
      <c r="M71" s="44" t="s">
        <v>50</v>
      </c>
      <c r="S71" s="44" t="s">
        <v>641</v>
      </c>
    </row>
    <row r="72" spans="12:19" x14ac:dyDescent="0.25">
      <c r="L72" s="44" t="s">
        <v>51</v>
      </c>
      <c r="M72" s="44" t="s">
        <v>52</v>
      </c>
      <c r="S72" s="44" t="s">
        <v>642</v>
      </c>
    </row>
    <row r="73" spans="12:19" x14ac:dyDescent="0.25">
      <c r="L73" s="44" t="s">
        <v>53</v>
      </c>
      <c r="M73" s="44" t="s">
        <v>54</v>
      </c>
      <c r="S73" s="44" t="s">
        <v>643</v>
      </c>
    </row>
    <row r="74" spans="12:19" x14ac:dyDescent="0.25">
      <c r="L74" s="44" t="s">
        <v>55</v>
      </c>
      <c r="M74" s="44" t="s">
        <v>56</v>
      </c>
      <c r="S74" s="44" t="s">
        <v>644</v>
      </c>
    </row>
    <row r="75" spans="12:19" x14ac:dyDescent="0.25">
      <c r="L75" s="44" t="s">
        <v>57</v>
      </c>
      <c r="M75" s="44" t="s">
        <v>58</v>
      </c>
      <c r="S75" s="44" t="s">
        <v>645</v>
      </c>
    </row>
    <row r="76" spans="12:19" x14ac:dyDescent="0.25">
      <c r="L76" s="44" t="s">
        <v>59</v>
      </c>
      <c r="M76" s="44" t="s">
        <v>60</v>
      </c>
      <c r="S76" s="44" t="s">
        <v>646</v>
      </c>
    </row>
    <row r="77" spans="12:19" x14ac:dyDescent="0.25">
      <c r="L77" s="44" t="s">
        <v>61</v>
      </c>
      <c r="M77" s="44" t="s">
        <v>62</v>
      </c>
      <c r="S77" s="44" t="s">
        <v>647</v>
      </c>
    </row>
    <row r="78" spans="12:19" x14ac:dyDescent="0.25">
      <c r="L78" s="44" t="s">
        <v>63</v>
      </c>
      <c r="M78" s="44" t="s">
        <v>64</v>
      </c>
      <c r="S78" s="44" t="s">
        <v>648</v>
      </c>
    </row>
    <row r="79" spans="12:19" x14ac:dyDescent="0.25">
      <c r="L79" s="44" t="s">
        <v>65</v>
      </c>
      <c r="M79" s="44" t="s">
        <v>66</v>
      </c>
      <c r="S79" s="44" t="s">
        <v>649</v>
      </c>
    </row>
    <row r="80" spans="12:19" x14ac:dyDescent="0.25">
      <c r="L80" s="44" t="s">
        <v>67</v>
      </c>
      <c r="M80" s="44" t="s">
        <v>68</v>
      </c>
      <c r="S80" s="44" t="s">
        <v>650</v>
      </c>
    </row>
    <row r="81" spans="12:19" x14ac:dyDescent="0.25">
      <c r="L81" s="44" t="s">
        <v>69</v>
      </c>
      <c r="M81" s="44" t="s">
        <v>70</v>
      </c>
      <c r="S81" s="44" t="s">
        <v>651</v>
      </c>
    </row>
    <row r="82" spans="12:19" x14ac:dyDescent="0.25">
      <c r="L82" s="44" t="s">
        <v>71</v>
      </c>
      <c r="M82" s="44" t="s">
        <v>72</v>
      </c>
      <c r="S82" s="44" t="s">
        <v>652</v>
      </c>
    </row>
    <row r="83" spans="12:19" x14ac:dyDescent="0.25">
      <c r="L83" s="44" t="s">
        <v>73</v>
      </c>
      <c r="M83" s="44" t="s">
        <v>74</v>
      </c>
      <c r="S83" s="44" t="s">
        <v>653</v>
      </c>
    </row>
    <row r="84" spans="12:19" x14ac:dyDescent="0.25">
      <c r="L84" s="44" t="s">
        <v>75</v>
      </c>
      <c r="M84" s="44" t="s">
        <v>76</v>
      </c>
      <c r="S84" s="44" t="s">
        <v>654</v>
      </c>
    </row>
    <row r="85" spans="12:19" x14ac:dyDescent="0.25">
      <c r="L85" s="44" t="s">
        <v>77</v>
      </c>
      <c r="M85" s="44" t="s">
        <v>78</v>
      </c>
      <c r="S85" s="44" t="s">
        <v>655</v>
      </c>
    </row>
    <row r="86" spans="12:19" x14ac:dyDescent="0.25">
      <c r="L86" s="44" t="s">
        <v>79</v>
      </c>
      <c r="M86" s="44" t="s">
        <v>80</v>
      </c>
      <c r="S86" s="44" t="s">
        <v>656</v>
      </c>
    </row>
    <row r="87" spans="12:19" x14ac:dyDescent="0.25">
      <c r="L87" s="44" t="s">
        <v>81</v>
      </c>
      <c r="M87" s="44" t="s">
        <v>82</v>
      </c>
      <c r="S87" s="44" t="s">
        <v>657</v>
      </c>
    </row>
    <row r="88" spans="12:19" x14ac:dyDescent="0.25">
      <c r="L88" s="44" t="s">
        <v>83</v>
      </c>
      <c r="M88" s="44" t="s">
        <v>84</v>
      </c>
      <c r="S88" s="44" t="s">
        <v>658</v>
      </c>
    </row>
    <row r="89" spans="12:19" x14ac:dyDescent="0.25">
      <c r="L89" s="44" t="s">
        <v>85</v>
      </c>
      <c r="M89" s="44" t="s">
        <v>86</v>
      </c>
      <c r="S89" s="44" t="s">
        <v>659</v>
      </c>
    </row>
    <row r="90" spans="12:19" x14ac:dyDescent="0.25">
      <c r="L90" s="44" t="s">
        <v>87</v>
      </c>
      <c r="M90" s="44" t="s">
        <v>88</v>
      </c>
      <c r="S90" s="44" t="s">
        <v>660</v>
      </c>
    </row>
    <row r="91" spans="12:19" x14ac:dyDescent="0.25">
      <c r="L91" s="44" t="s">
        <v>89</v>
      </c>
      <c r="M91" s="44" t="s">
        <v>90</v>
      </c>
      <c r="S91" s="44" t="s">
        <v>661</v>
      </c>
    </row>
    <row r="92" spans="12:19" x14ac:dyDescent="0.25">
      <c r="L92" s="44" t="s">
        <v>91</v>
      </c>
      <c r="M92" s="44" t="s">
        <v>92</v>
      </c>
    </row>
    <row r="93" spans="12:19" x14ac:dyDescent="0.25">
      <c r="L93" s="44" t="s">
        <v>93</v>
      </c>
      <c r="M93" s="44" t="s">
        <v>94</v>
      </c>
    </row>
    <row r="94" spans="12:19" x14ac:dyDescent="0.25">
      <c r="L94" s="44" t="s">
        <v>95</v>
      </c>
      <c r="M94" s="44" t="s">
        <v>96</v>
      </c>
    </row>
    <row r="95" spans="12:19" x14ac:dyDescent="0.25">
      <c r="L95" s="44" t="s">
        <v>97</v>
      </c>
      <c r="M95" s="44" t="s">
        <v>98</v>
      </c>
    </row>
    <row r="96" spans="12:19" x14ac:dyDescent="0.25">
      <c r="L96" s="44" t="s">
        <v>99</v>
      </c>
      <c r="M96" s="44" t="s">
        <v>100</v>
      </c>
    </row>
    <row r="97" spans="12:13" x14ac:dyDescent="0.25">
      <c r="L97" s="44" t="s">
        <v>101</v>
      </c>
      <c r="M97" s="44" t="s">
        <v>102</v>
      </c>
    </row>
    <row r="98" spans="12:13" x14ac:dyDescent="0.25">
      <c r="L98" s="44" t="s">
        <v>103</v>
      </c>
      <c r="M98" s="44" t="s">
        <v>104</v>
      </c>
    </row>
    <row r="99" spans="12:13" x14ac:dyDescent="0.25">
      <c r="L99" s="44" t="s">
        <v>105</v>
      </c>
      <c r="M99" s="44" t="s">
        <v>106</v>
      </c>
    </row>
    <row r="100" spans="12:13" x14ac:dyDescent="0.25">
      <c r="L100" s="44" t="s">
        <v>107</v>
      </c>
      <c r="M100" s="44" t="s">
        <v>108</v>
      </c>
    </row>
    <row r="101" spans="12:13" x14ac:dyDescent="0.25">
      <c r="L101" s="44" t="s">
        <v>109</v>
      </c>
      <c r="M101" s="44" t="s">
        <v>110</v>
      </c>
    </row>
    <row r="102" spans="12:13" x14ac:dyDescent="0.25">
      <c r="L102" s="44" t="s">
        <v>111</v>
      </c>
      <c r="M102" s="44" t="s">
        <v>112</v>
      </c>
    </row>
    <row r="103" spans="12:13" x14ac:dyDescent="0.25">
      <c r="L103" s="44" t="s">
        <v>113</v>
      </c>
      <c r="M103" s="44" t="s">
        <v>114</v>
      </c>
    </row>
    <row r="104" spans="12:13" x14ac:dyDescent="0.25">
      <c r="L104" s="44" t="s">
        <v>115</v>
      </c>
      <c r="M104" s="44" t="s">
        <v>116</v>
      </c>
    </row>
    <row r="105" spans="12:13" x14ac:dyDescent="0.25">
      <c r="L105" s="44" t="s">
        <v>117</v>
      </c>
      <c r="M105" s="44" t="s">
        <v>118</v>
      </c>
    </row>
    <row r="106" spans="12:13" x14ac:dyDescent="0.25">
      <c r="L106" s="44" t="s">
        <v>119</v>
      </c>
      <c r="M106" s="44" t="s">
        <v>120</v>
      </c>
    </row>
    <row r="107" spans="12:13" x14ac:dyDescent="0.25">
      <c r="L107" s="44" t="s">
        <v>121</v>
      </c>
      <c r="M107" s="44" t="s">
        <v>122</v>
      </c>
    </row>
    <row r="108" spans="12:13" x14ac:dyDescent="0.25">
      <c r="L108" s="44" t="s">
        <v>123</v>
      </c>
      <c r="M108" s="44" t="s">
        <v>124</v>
      </c>
    </row>
    <row r="109" spans="12:13" x14ac:dyDescent="0.25">
      <c r="L109" s="44" t="s">
        <v>125</v>
      </c>
      <c r="M109" s="44" t="s">
        <v>126</v>
      </c>
    </row>
    <row r="110" spans="12:13" x14ac:dyDescent="0.25">
      <c r="L110" s="44" t="s">
        <v>127</v>
      </c>
      <c r="M110" s="44" t="s">
        <v>128</v>
      </c>
    </row>
    <row r="111" spans="12:13" x14ac:dyDescent="0.25">
      <c r="L111" s="44" t="s">
        <v>129</v>
      </c>
      <c r="M111" s="44" t="s">
        <v>130</v>
      </c>
    </row>
    <row r="112" spans="12:13" x14ac:dyDescent="0.25">
      <c r="L112" s="44" t="s">
        <v>131</v>
      </c>
      <c r="M112" s="44" t="s">
        <v>132</v>
      </c>
    </row>
    <row r="113" spans="12:13" x14ac:dyDescent="0.25">
      <c r="L113" s="44" t="s">
        <v>133</v>
      </c>
      <c r="M113" s="44" t="s">
        <v>134</v>
      </c>
    </row>
    <row r="114" spans="12:13" x14ac:dyDescent="0.25">
      <c r="L114" s="44" t="s">
        <v>135</v>
      </c>
      <c r="M114" s="44" t="s">
        <v>136</v>
      </c>
    </row>
    <row r="115" spans="12:13" x14ac:dyDescent="0.25">
      <c r="L115" s="44" t="s">
        <v>137</v>
      </c>
      <c r="M115" s="44" t="s">
        <v>138</v>
      </c>
    </row>
    <row r="116" spans="12:13" x14ac:dyDescent="0.25">
      <c r="L116" s="44" t="s">
        <v>139</v>
      </c>
      <c r="M116" s="44" t="s">
        <v>140</v>
      </c>
    </row>
    <row r="117" spans="12:13" x14ac:dyDescent="0.25">
      <c r="L117" s="44" t="s">
        <v>141</v>
      </c>
      <c r="M117" s="44" t="s">
        <v>142</v>
      </c>
    </row>
    <row r="118" spans="12:13" x14ac:dyDescent="0.25">
      <c r="L118" s="44" t="s">
        <v>143</v>
      </c>
      <c r="M118" s="44" t="s">
        <v>144</v>
      </c>
    </row>
    <row r="119" spans="12:13" x14ac:dyDescent="0.25">
      <c r="L119" s="44" t="s">
        <v>145</v>
      </c>
      <c r="M119" s="44" t="s">
        <v>146</v>
      </c>
    </row>
    <row r="120" spans="12:13" x14ac:dyDescent="0.25">
      <c r="L120" s="44" t="s">
        <v>147</v>
      </c>
      <c r="M120" s="44" t="s">
        <v>148</v>
      </c>
    </row>
    <row r="121" spans="12:13" x14ac:dyDescent="0.25">
      <c r="L121" s="44" t="s">
        <v>149</v>
      </c>
      <c r="M121" s="44" t="s">
        <v>150</v>
      </c>
    </row>
    <row r="122" spans="12:13" x14ac:dyDescent="0.25">
      <c r="L122" s="44" t="s">
        <v>151</v>
      </c>
      <c r="M122" s="44" t="s">
        <v>152</v>
      </c>
    </row>
    <row r="123" spans="12:13" x14ac:dyDescent="0.25">
      <c r="L123" s="44" t="s">
        <v>153</v>
      </c>
      <c r="M123" s="44" t="s">
        <v>154</v>
      </c>
    </row>
    <row r="124" spans="12:13" x14ac:dyDescent="0.25">
      <c r="L124" s="44" t="s">
        <v>155</v>
      </c>
      <c r="M124" s="44" t="s">
        <v>156</v>
      </c>
    </row>
    <row r="125" spans="12:13" x14ac:dyDescent="0.25">
      <c r="L125" s="44" t="s">
        <v>157</v>
      </c>
      <c r="M125" s="44" t="s">
        <v>158</v>
      </c>
    </row>
    <row r="126" spans="12:13" x14ac:dyDescent="0.25">
      <c r="L126" s="44" t="s">
        <v>159</v>
      </c>
      <c r="M126" s="44" t="s">
        <v>160</v>
      </c>
    </row>
    <row r="127" spans="12:13" x14ac:dyDescent="0.25">
      <c r="L127" s="44" t="s">
        <v>161</v>
      </c>
      <c r="M127" s="44" t="s">
        <v>162</v>
      </c>
    </row>
    <row r="128" spans="12:13" x14ac:dyDescent="0.25">
      <c r="L128" s="44" t="s">
        <v>163</v>
      </c>
      <c r="M128" s="44" t="s">
        <v>164</v>
      </c>
    </row>
    <row r="129" spans="12:13" x14ac:dyDescent="0.25">
      <c r="L129" s="44" t="s">
        <v>165</v>
      </c>
      <c r="M129" s="44" t="s">
        <v>166</v>
      </c>
    </row>
    <row r="130" spans="12:13" x14ac:dyDescent="0.25">
      <c r="L130" s="44" t="s">
        <v>167</v>
      </c>
      <c r="M130" s="44" t="s">
        <v>168</v>
      </c>
    </row>
    <row r="131" spans="12:13" x14ac:dyDescent="0.25">
      <c r="L131" s="44" t="s">
        <v>169</v>
      </c>
      <c r="M131" s="44" t="s">
        <v>170</v>
      </c>
    </row>
    <row r="132" spans="12:13" x14ac:dyDescent="0.25">
      <c r="L132" s="44" t="s">
        <v>171</v>
      </c>
      <c r="M132" s="44" t="s">
        <v>172</v>
      </c>
    </row>
    <row r="133" spans="12:13" x14ac:dyDescent="0.25">
      <c r="L133" s="44" t="s">
        <v>173</v>
      </c>
      <c r="M133" s="44" t="s">
        <v>174</v>
      </c>
    </row>
    <row r="134" spans="12:13" x14ac:dyDescent="0.25">
      <c r="L134" s="44" t="s">
        <v>175</v>
      </c>
      <c r="M134" s="44" t="s">
        <v>176</v>
      </c>
    </row>
    <row r="135" spans="12:13" x14ac:dyDescent="0.25">
      <c r="L135" s="44" t="s">
        <v>177</v>
      </c>
      <c r="M135" s="44" t="s">
        <v>178</v>
      </c>
    </row>
    <row r="136" spans="12:13" x14ac:dyDescent="0.25">
      <c r="L136" s="44" t="s">
        <v>179</v>
      </c>
      <c r="M136" s="44" t="s">
        <v>180</v>
      </c>
    </row>
    <row r="137" spans="12:13" x14ac:dyDescent="0.25">
      <c r="L137" s="44" t="s">
        <v>181</v>
      </c>
      <c r="M137" s="44" t="s">
        <v>182</v>
      </c>
    </row>
    <row r="138" spans="12:13" x14ac:dyDescent="0.25">
      <c r="L138" s="44" t="s">
        <v>183</v>
      </c>
      <c r="M138" s="44" t="s">
        <v>184</v>
      </c>
    </row>
    <row r="139" spans="12:13" x14ac:dyDescent="0.25">
      <c r="L139" s="44" t="s">
        <v>185</v>
      </c>
      <c r="M139" s="44" t="s">
        <v>186</v>
      </c>
    </row>
    <row r="140" spans="12:13" x14ac:dyDescent="0.25">
      <c r="L140" s="44" t="s">
        <v>187</v>
      </c>
      <c r="M140" s="44" t="s">
        <v>188</v>
      </c>
    </row>
    <row r="141" spans="12:13" x14ac:dyDescent="0.25">
      <c r="L141" s="44" t="s">
        <v>189</v>
      </c>
      <c r="M141" s="44" t="s">
        <v>190</v>
      </c>
    </row>
    <row r="142" spans="12:13" x14ac:dyDescent="0.25">
      <c r="L142" s="44" t="s">
        <v>191</v>
      </c>
      <c r="M142" s="44" t="s">
        <v>192</v>
      </c>
    </row>
    <row r="143" spans="12:13" x14ac:dyDescent="0.25">
      <c r="L143" s="44" t="s">
        <v>193</v>
      </c>
      <c r="M143" s="44" t="s">
        <v>194</v>
      </c>
    </row>
    <row r="144" spans="12:13" x14ac:dyDescent="0.25">
      <c r="L144" s="44" t="s">
        <v>195</v>
      </c>
      <c r="M144" s="44" t="s">
        <v>196</v>
      </c>
    </row>
    <row r="145" spans="12:13" x14ac:dyDescent="0.25">
      <c r="L145" s="44" t="s">
        <v>197</v>
      </c>
      <c r="M145" s="44" t="s">
        <v>198</v>
      </c>
    </row>
    <row r="146" spans="12:13" x14ac:dyDescent="0.25">
      <c r="L146" s="44" t="s">
        <v>199</v>
      </c>
      <c r="M146" s="44" t="s">
        <v>200</v>
      </c>
    </row>
    <row r="147" spans="12:13" x14ac:dyDescent="0.25">
      <c r="L147" s="44" t="s">
        <v>201</v>
      </c>
      <c r="M147" s="44" t="s">
        <v>202</v>
      </c>
    </row>
    <row r="148" spans="12:13" x14ac:dyDescent="0.25">
      <c r="L148" s="44" t="s">
        <v>203</v>
      </c>
      <c r="M148" s="44" t="s">
        <v>204</v>
      </c>
    </row>
    <row r="149" spans="12:13" x14ac:dyDescent="0.25">
      <c r="L149" s="44" t="s">
        <v>205</v>
      </c>
      <c r="M149" s="44" t="s">
        <v>206</v>
      </c>
    </row>
    <row r="150" spans="12:13" x14ac:dyDescent="0.25">
      <c r="L150" s="44" t="s">
        <v>207</v>
      </c>
      <c r="M150" s="44" t="s">
        <v>208</v>
      </c>
    </row>
    <row r="151" spans="12:13" x14ac:dyDescent="0.25">
      <c r="L151" s="44" t="s">
        <v>209</v>
      </c>
      <c r="M151" s="44" t="s">
        <v>210</v>
      </c>
    </row>
    <row r="152" spans="12:13" x14ac:dyDescent="0.25">
      <c r="L152" s="44" t="s">
        <v>211</v>
      </c>
      <c r="M152" s="44" t="s">
        <v>212</v>
      </c>
    </row>
    <row r="153" spans="12:13" x14ac:dyDescent="0.25">
      <c r="L153" s="44" t="s">
        <v>213</v>
      </c>
      <c r="M153" s="44" t="s">
        <v>214</v>
      </c>
    </row>
    <row r="154" spans="12:13" x14ac:dyDescent="0.25">
      <c r="L154" s="44" t="s">
        <v>215</v>
      </c>
      <c r="M154" s="44" t="s">
        <v>216</v>
      </c>
    </row>
    <row r="155" spans="12:13" x14ac:dyDescent="0.25">
      <c r="L155" s="44" t="s">
        <v>217</v>
      </c>
      <c r="M155" s="44" t="s">
        <v>218</v>
      </c>
    </row>
    <row r="156" spans="12:13" x14ac:dyDescent="0.25">
      <c r="L156" s="44" t="s">
        <v>219</v>
      </c>
      <c r="M156" s="44" t="s">
        <v>220</v>
      </c>
    </row>
    <row r="157" spans="12:13" x14ac:dyDescent="0.25">
      <c r="L157" s="44" t="s">
        <v>221</v>
      </c>
      <c r="M157" s="44" t="s">
        <v>222</v>
      </c>
    </row>
    <row r="158" spans="12:13" x14ac:dyDescent="0.25">
      <c r="L158" s="44" t="s">
        <v>223</v>
      </c>
      <c r="M158" s="44" t="s">
        <v>224</v>
      </c>
    </row>
    <row r="159" spans="12:13" x14ac:dyDescent="0.25">
      <c r="L159" s="44" t="s">
        <v>225</v>
      </c>
      <c r="M159" s="44" t="s">
        <v>226</v>
      </c>
    </row>
    <row r="160" spans="12:13" x14ac:dyDescent="0.25">
      <c r="L160" s="44" t="s">
        <v>227</v>
      </c>
      <c r="M160" s="44" t="s">
        <v>228</v>
      </c>
    </row>
    <row r="161" spans="12:13" x14ac:dyDescent="0.25">
      <c r="L161" s="44" t="s">
        <v>229</v>
      </c>
      <c r="M161" s="44" t="s">
        <v>230</v>
      </c>
    </row>
    <row r="162" spans="12:13" x14ac:dyDescent="0.25">
      <c r="L162" s="44" t="s">
        <v>231</v>
      </c>
      <c r="M162" s="44" t="s">
        <v>232</v>
      </c>
    </row>
    <row r="163" spans="12:13" x14ac:dyDescent="0.25">
      <c r="L163" s="44" t="s">
        <v>233</v>
      </c>
      <c r="M163" s="44" t="s">
        <v>234</v>
      </c>
    </row>
    <row r="164" spans="12:13" x14ac:dyDescent="0.25">
      <c r="L164" s="44" t="s">
        <v>235</v>
      </c>
      <c r="M164" s="44" t="s">
        <v>236</v>
      </c>
    </row>
    <row r="165" spans="12:13" x14ac:dyDescent="0.25">
      <c r="L165" s="44" t="s">
        <v>237</v>
      </c>
      <c r="M165" s="44" t="s">
        <v>238</v>
      </c>
    </row>
    <row r="166" spans="12:13" x14ac:dyDescent="0.25">
      <c r="L166" s="44" t="s">
        <v>239</v>
      </c>
      <c r="M166" s="44" t="s">
        <v>240</v>
      </c>
    </row>
    <row r="167" spans="12:13" x14ac:dyDescent="0.25">
      <c r="L167" s="44" t="s">
        <v>241</v>
      </c>
      <c r="M167" s="44" t="s">
        <v>242</v>
      </c>
    </row>
    <row r="168" spans="12:13" x14ac:dyDescent="0.25">
      <c r="L168" s="44" t="s">
        <v>243</v>
      </c>
      <c r="M168" s="44" t="s">
        <v>244</v>
      </c>
    </row>
    <row r="169" spans="12:13" x14ac:dyDescent="0.25">
      <c r="L169" s="44" t="s">
        <v>245</v>
      </c>
      <c r="M169" s="44" t="s">
        <v>246</v>
      </c>
    </row>
    <row r="170" spans="12:13" x14ac:dyDescent="0.25">
      <c r="L170" s="44" t="s">
        <v>247</v>
      </c>
      <c r="M170" s="44" t="s">
        <v>248</v>
      </c>
    </row>
    <row r="171" spans="12:13" x14ac:dyDescent="0.25">
      <c r="L171" s="44" t="s">
        <v>249</v>
      </c>
      <c r="M171" s="44" t="s">
        <v>250</v>
      </c>
    </row>
    <row r="172" spans="12:13" x14ac:dyDescent="0.25">
      <c r="L172" s="44" t="s">
        <v>251</v>
      </c>
      <c r="M172" s="44" t="s">
        <v>252</v>
      </c>
    </row>
    <row r="173" spans="12:13" x14ac:dyDescent="0.25">
      <c r="L173" s="44" t="s">
        <v>253</v>
      </c>
      <c r="M173" s="44" t="s">
        <v>254</v>
      </c>
    </row>
    <row r="174" spans="12:13" x14ac:dyDescent="0.25">
      <c r="L174" s="44" t="s">
        <v>255</v>
      </c>
      <c r="M174" s="44" t="s">
        <v>256</v>
      </c>
    </row>
    <row r="175" spans="12:13" x14ac:dyDescent="0.25">
      <c r="L175" s="44" t="s">
        <v>257</v>
      </c>
      <c r="M175" s="44" t="s">
        <v>258</v>
      </c>
    </row>
    <row r="176" spans="12:13" x14ac:dyDescent="0.25">
      <c r="L176" s="44" t="s">
        <v>259</v>
      </c>
      <c r="M176" s="44" t="s">
        <v>260</v>
      </c>
    </row>
    <row r="177" spans="12:13" x14ac:dyDescent="0.25">
      <c r="L177" s="44" t="s">
        <v>261</v>
      </c>
      <c r="M177" s="44" t="s">
        <v>262</v>
      </c>
    </row>
    <row r="178" spans="12:13" x14ac:dyDescent="0.25">
      <c r="L178" s="44" t="s">
        <v>263</v>
      </c>
      <c r="M178" s="44" t="s">
        <v>264</v>
      </c>
    </row>
    <row r="179" spans="12:13" x14ac:dyDescent="0.25">
      <c r="L179" s="44" t="s">
        <v>265</v>
      </c>
      <c r="M179" s="44" t="s">
        <v>266</v>
      </c>
    </row>
    <row r="180" spans="12:13" x14ac:dyDescent="0.25">
      <c r="L180" s="44" t="s">
        <v>267</v>
      </c>
      <c r="M180" s="44" t="s">
        <v>268</v>
      </c>
    </row>
    <row r="181" spans="12:13" x14ac:dyDescent="0.25">
      <c r="L181" s="44" t="s">
        <v>269</v>
      </c>
      <c r="M181" s="44" t="s">
        <v>270</v>
      </c>
    </row>
    <row r="182" spans="12:13" x14ac:dyDescent="0.25">
      <c r="L182" s="44" t="s">
        <v>271</v>
      </c>
      <c r="M182" s="44" t="s">
        <v>272</v>
      </c>
    </row>
    <row r="183" spans="12:13" x14ac:dyDescent="0.25">
      <c r="L183" s="44" t="s">
        <v>273</v>
      </c>
      <c r="M183" s="44" t="s">
        <v>274</v>
      </c>
    </row>
    <row r="184" spans="12:13" x14ac:dyDescent="0.25">
      <c r="L184" s="44" t="s">
        <v>275</v>
      </c>
      <c r="M184" s="44" t="s">
        <v>276</v>
      </c>
    </row>
    <row r="185" spans="12:13" x14ac:dyDescent="0.25">
      <c r="L185" s="44" t="s">
        <v>277</v>
      </c>
      <c r="M185" s="44" t="s">
        <v>278</v>
      </c>
    </row>
    <row r="186" spans="12:13" x14ac:dyDescent="0.25">
      <c r="L186" s="44" t="s">
        <v>279</v>
      </c>
      <c r="M186" s="44" t="s">
        <v>280</v>
      </c>
    </row>
    <row r="187" spans="12:13" x14ac:dyDescent="0.25">
      <c r="L187" s="44" t="s">
        <v>281</v>
      </c>
      <c r="M187" s="44" t="s">
        <v>282</v>
      </c>
    </row>
    <row r="188" spans="12:13" x14ac:dyDescent="0.25">
      <c r="L188" s="44" t="s">
        <v>283</v>
      </c>
      <c r="M188" s="44" t="s">
        <v>284</v>
      </c>
    </row>
    <row r="189" spans="12:13" x14ac:dyDescent="0.25">
      <c r="L189" s="44" t="s">
        <v>285</v>
      </c>
      <c r="M189" s="44" t="s">
        <v>286</v>
      </c>
    </row>
    <row r="190" spans="12:13" x14ac:dyDescent="0.25">
      <c r="L190" s="44" t="s">
        <v>287</v>
      </c>
      <c r="M190" s="44" t="s">
        <v>288</v>
      </c>
    </row>
    <row r="191" spans="12:13" x14ac:dyDescent="0.25">
      <c r="L191" s="44" t="s">
        <v>289</v>
      </c>
      <c r="M191" s="44" t="s">
        <v>290</v>
      </c>
    </row>
    <row r="192" spans="12:13" x14ac:dyDescent="0.25">
      <c r="L192" s="44" t="s">
        <v>291</v>
      </c>
      <c r="M192" s="44" t="s">
        <v>292</v>
      </c>
    </row>
    <row r="193" spans="12:13" x14ac:dyDescent="0.25">
      <c r="L193" s="44" t="s">
        <v>293</v>
      </c>
      <c r="M193" s="44" t="s">
        <v>294</v>
      </c>
    </row>
    <row r="194" spans="12:13" x14ac:dyDescent="0.25">
      <c r="L194" s="44" t="s">
        <v>295</v>
      </c>
      <c r="M194" s="44" t="s">
        <v>296</v>
      </c>
    </row>
    <row r="195" spans="12:13" x14ac:dyDescent="0.25">
      <c r="L195" s="44" t="s">
        <v>297</v>
      </c>
      <c r="M195" s="44" t="s">
        <v>298</v>
      </c>
    </row>
    <row r="196" spans="12:13" x14ac:dyDescent="0.25">
      <c r="L196" s="44" t="s">
        <v>299</v>
      </c>
      <c r="M196" s="44" t="s">
        <v>300</v>
      </c>
    </row>
    <row r="197" spans="12:13" x14ac:dyDescent="0.25">
      <c r="L197" s="44" t="s">
        <v>301</v>
      </c>
      <c r="M197" s="44" t="s">
        <v>302</v>
      </c>
    </row>
    <row r="198" spans="12:13" x14ac:dyDescent="0.25">
      <c r="L198" s="44" t="s">
        <v>303</v>
      </c>
      <c r="M198" s="44" t="s">
        <v>304</v>
      </c>
    </row>
    <row r="199" spans="12:13" x14ac:dyDescent="0.25">
      <c r="L199" s="44" t="s">
        <v>305</v>
      </c>
      <c r="M199" s="44" t="s">
        <v>306</v>
      </c>
    </row>
    <row r="200" spans="12:13" x14ac:dyDescent="0.25">
      <c r="L200" s="44" t="s">
        <v>307</v>
      </c>
      <c r="M200" s="44" t="s">
        <v>308</v>
      </c>
    </row>
    <row r="201" spans="12:13" x14ac:dyDescent="0.25">
      <c r="L201" s="44" t="s">
        <v>309</v>
      </c>
      <c r="M201" s="44" t="s">
        <v>310</v>
      </c>
    </row>
    <row r="202" spans="12:13" x14ac:dyDescent="0.25">
      <c r="L202" s="44" t="s">
        <v>311</v>
      </c>
      <c r="M202" s="44" t="s">
        <v>312</v>
      </c>
    </row>
    <row r="203" spans="12:13" x14ac:dyDescent="0.25">
      <c r="L203" s="44" t="s">
        <v>313</v>
      </c>
      <c r="M203" s="44" t="s">
        <v>314</v>
      </c>
    </row>
    <row r="204" spans="12:13" x14ac:dyDescent="0.25">
      <c r="L204" s="44" t="s">
        <v>315</v>
      </c>
      <c r="M204" s="44" t="s">
        <v>316</v>
      </c>
    </row>
    <row r="205" spans="12:13" x14ac:dyDescent="0.25">
      <c r="L205" s="44" t="s">
        <v>317</v>
      </c>
      <c r="M205" s="44" t="s">
        <v>318</v>
      </c>
    </row>
    <row r="206" spans="12:13" x14ac:dyDescent="0.25">
      <c r="L206" s="44" t="s">
        <v>319</v>
      </c>
      <c r="M206" s="44" t="s">
        <v>320</v>
      </c>
    </row>
    <row r="207" spans="12:13" x14ac:dyDescent="0.25">
      <c r="L207" s="44" t="s">
        <v>321</v>
      </c>
      <c r="M207" s="44" t="s">
        <v>322</v>
      </c>
    </row>
    <row r="208" spans="12:13" x14ac:dyDescent="0.25">
      <c r="L208" s="44" t="s">
        <v>323</v>
      </c>
      <c r="M208" s="44" t="s">
        <v>324</v>
      </c>
    </row>
    <row r="209" spans="12:13" x14ac:dyDescent="0.25">
      <c r="L209" s="44" t="s">
        <v>325</v>
      </c>
      <c r="M209" s="44" t="s">
        <v>326</v>
      </c>
    </row>
    <row r="210" spans="12:13" x14ac:dyDescent="0.25">
      <c r="L210" s="44" t="s">
        <v>327</v>
      </c>
      <c r="M210" s="44" t="s">
        <v>328</v>
      </c>
    </row>
    <row r="211" spans="12:13" x14ac:dyDescent="0.25">
      <c r="L211" s="44" t="s">
        <v>329</v>
      </c>
      <c r="M211" s="44" t="s">
        <v>330</v>
      </c>
    </row>
    <row r="212" spans="12:13" x14ac:dyDescent="0.25">
      <c r="L212" s="44" t="s">
        <v>331</v>
      </c>
      <c r="M212" s="44" t="s">
        <v>332</v>
      </c>
    </row>
    <row r="213" spans="12:13" x14ac:dyDescent="0.25">
      <c r="L213" s="44" t="s">
        <v>333</v>
      </c>
      <c r="M213" s="44" t="s">
        <v>334</v>
      </c>
    </row>
    <row r="214" spans="12:13" x14ac:dyDescent="0.25">
      <c r="L214" s="44" t="s">
        <v>335</v>
      </c>
      <c r="M214" s="44" t="s">
        <v>336</v>
      </c>
    </row>
    <row r="215" spans="12:13" x14ac:dyDescent="0.25">
      <c r="L215" s="44" t="s">
        <v>337</v>
      </c>
      <c r="M215" s="44" t="s">
        <v>338</v>
      </c>
    </row>
    <row r="216" spans="12:13" x14ac:dyDescent="0.25">
      <c r="L216" s="44" t="s">
        <v>339</v>
      </c>
      <c r="M216" s="44" t="s">
        <v>340</v>
      </c>
    </row>
    <row r="217" spans="12:13" x14ac:dyDescent="0.25">
      <c r="L217" s="44" t="s">
        <v>341</v>
      </c>
      <c r="M217" s="44" t="s">
        <v>342</v>
      </c>
    </row>
    <row r="218" spans="12:13" x14ac:dyDescent="0.25">
      <c r="L218" s="44" t="s">
        <v>343</v>
      </c>
      <c r="M218" s="44" t="s">
        <v>344</v>
      </c>
    </row>
    <row r="219" spans="12:13" x14ac:dyDescent="0.25">
      <c r="L219" s="44" t="s">
        <v>345</v>
      </c>
      <c r="M219" s="44" t="s">
        <v>346</v>
      </c>
    </row>
    <row r="220" spans="12:13" x14ac:dyDescent="0.25">
      <c r="L220" s="44" t="s">
        <v>347</v>
      </c>
      <c r="M220" s="44" t="s">
        <v>348</v>
      </c>
    </row>
    <row r="221" spans="12:13" x14ac:dyDescent="0.25">
      <c r="L221" s="44" t="s">
        <v>349</v>
      </c>
      <c r="M221" s="44" t="s">
        <v>350</v>
      </c>
    </row>
    <row r="222" spans="12:13" x14ac:dyDescent="0.25">
      <c r="L222" s="44" t="s">
        <v>351</v>
      </c>
      <c r="M222" s="44" t="s">
        <v>352</v>
      </c>
    </row>
    <row r="223" spans="12:13" x14ac:dyDescent="0.25">
      <c r="L223" s="44" t="s">
        <v>353</v>
      </c>
      <c r="M223" s="44" t="s">
        <v>354</v>
      </c>
    </row>
    <row r="224" spans="12:13" x14ac:dyDescent="0.25">
      <c r="L224" s="44" t="s">
        <v>355</v>
      </c>
      <c r="M224" s="44" t="s">
        <v>356</v>
      </c>
    </row>
    <row r="225" spans="12:13" x14ac:dyDescent="0.25">
      <c r="L225" s="44" t="s">
        <v>357</v>
      </c>
      <c r="M225" s="44" t="s">
        <v>358</v>
      </c>
    </row>
    <row r="226" spans="12:13" x14ac:dyDescent="0.25">
      <c r="L226" s="44" t="s">
        <v>359</v>
      </c>
      <c r="M226" s="44" t="s">
        <v>360</v>
      </c>
    </row>
    <row r="227" spans="12:13" x14ac:dyDescent="0.25">
      <c r="L227" s="44" t="s">
        <v>361</v>
      </c>
      <c r="M227" s="44" t="s">
        <v>362</v>
      </c>
    </row>
    <row r="228" spans="12:13" x14ac:dyDescent="0.25">
      <c r="L228" s="44" t="s">
        <v>363</v>
      </c>
      <c r="M228" s="44" t="s">
        <v>364</v>
      </c>
    </row>
    <row r="229" spans="12:13" x14ac:dyDescent="0.25">
      <c r="L229" s="44" t="s">
        <v>365</v>
      </c>
      <c r="M229" s="44" t="s">
        <v>366</v>
      </c>
    </row>
    <row r="230" spans="12:13" x14ac:dyDescent="0.25">
      <c r="L230" s="44" t="s">
        <v>367</v>
      </c>
      <c r="M230" s="44" t="s">
        <v>368</v>
      </c>
    </row>
    <row r="231" spans="12:13" x14ac:dyDescent="0.25">
      <c r="L231" s="44" t="s">
        <v>369</v>
      </c>
      <c r="M231" s="44" t="s">
        <v>370</v>
      </c>
    </row>
    <row r="232" spans="12:13" x14ac:dyDescent="0.25">
      <c r="L232" s="44" t="s">
        <v>371</v>
      </c>
      <c r="M232" s="44" t="s">
        <v>372</v>
      </c>
    </row>
    <row r="233" spans="12:13" x14ac:dyDescent="0.25">
      <c r="L233" s="44" t="s">
        <v>373</v>
      </c>
      <c r="M233" s="44" t="s">
        <v>374</v>
      </c>
    </row>
    <row r="234" spans="12:13" x14ac:dyDescent="0.25">
      <c r="L234" s="44" t="s">
        <v>375</v>
      </c>
      <c r="M234" s="44" t="s">
        <v>376</v>
      </c>
    </row>
    <row r="235" spans="12:13" x14ac:dyDescent="0.25">
      <c r="L235" s="44" t="s">
        <v>377</v>
      </c>
      <c r="M235" s="44" t="s">
        <v>378</v>
      </c>
    </row>
    <row r="236" spans="12:13" x14ac:dyDescent="0.25">
      <c r="L236" s="44" t="s">
        <v>379</v>
      </c>
      <c r="M236" s="44" t="s">
        <v>380</v>
      </c>
    </row>
    <row r="237" spans="12:13" x14ac:dyDescent="0.25">
      <c r="L237" s="44" t="s">
        <v>381</v>
      </c>
      <c r="M237" s="44" t="s">
        <v>382</v>
      </c>
    </row>
    <row r="238" spans="12:13" x14ac:dyDescent="0.25">
      <c r="L238" s="44" t="s">
        <v>383</v>
      </c>
      <c r="M238" s="44" t="s">
        <v>384</v>
      </c>
    </row>
    <row r="239" spans="12:13" x14ac:dyDescent="0.25">
      <c r="L239" s="44" t="s">
        <v>385</v>
      </c>
      <c r="M239" s="44" t="s">
        <v>386</v>
      </c>
    </row>
    <row r="240" spans="12:13" x14ac:dyDescent="0.25">
      <c r="L240" s="44" t="s">
        <v>387</v>
      </c>
      <c r="M240" s="44" t="s">
        <v>388</v>
      </c>
    </row>
    <row r="241" spans="12:13" x14ac:dyDescent="0.25">
      <c r="L241" s="44" t="s">
        <v>389</v>
      </c>
      <c r="M241" s="44" t="s">
        <v>390</v>
      </c>
    </row>
    <row r="242" spans="12:13" x14ac:dyDescent="0.25">
      <c r="L242" s="44" t="s">
        <v>391</v>
      </c>
      <c r="M242" s="44" t="s">
        <v>392</v>
      </c>
    </row>
    <row r="243" spans="12:13" x14ac:dyDescent="0.25">
      <c r="L243" s="44" t="s">
        <v>393</v>
      </c>
      <c r="M243" s="44" t="s">
        <v>394</v>
      </c>
    </row>
    <row r="244" spans="12:13" x14ac:dyDescent="0.25">
      <c r="L244" s="44" t="s">
        <v>395</v>
      </c>
      <c r="M244" s="44" t="s">
        <v>396</v>
      </c>
    </row>
    <row r="245" spans="12:13" x14ac:dyDescent="0.25">
      <c r="L245" s="44" t="s">
        <v>397</v>
      </c>
      <c r="M245" s="44" t="s">
        <v>398</v>
      </c>
    </row>
    <row r="246" spans="12:13" x14ac:dyDescent="0.25">
      <c r="L246" s="44" t="s">
        <v>399</v>
      </c>
      <c r="M246" s="44" t="s">
        <v>400</v>
      </c>
    </row>
    <row r="247" spans="12:13" x14ac:dyDescent="0.25">
      <c r="L247" s="44" t="s">
        <v>401</v>
      </c>
      <c r="M247" s="44" t="s">
        <v>402</v>
      </c>
    </row>
    <row r="248" spans="12:13" x14ac:dyDescent="0.25">
      <c r="L248" s="44" t="s">
        <v>403</v>
      </c>
      <c r="M248" s="44" t="s">
        <v>404</v>
      </c>
    </row>
    <row r="249" spans="12:13" x14ac:dyDescent="0.25">
      <c r="L249" s="44" t="s">
        <v>405</v>
      </c>
      <c r="M249" s="44" t="s">
        <v>406</v>
      </c>
    </row>
    <row r="250" spans="12:13" x14ac:dyDescent="0.25">
      <c r="L250" s="44" t="s">
        <v>407</v>
      </c>
      <c r="M250" s="44" t="s">
        <v>408</v>
      </c>
    </row>
    <row r="251" spans="12:13" x14ac:dyDescent="0.25">
      <c r="L251" s="44" t="s">
        <v>409</v>
      </c>
      <c r="M251" s="44" t="s">
        <v>410</v>
      </c>
    </row>
    <row r="252" spans="12:13" x14ac:dyDescent="0.25">
      <c r="L252" s="44" t="s">
        <v>411</v>
      </c>
      <c r="M252" s="44" t="s">
        <v>412</v>
      </c>
    </row>
    <row r="253" spans="12:13" x14ac:dyDescent="0.25">
      <c r="L253" s="44" t="s">
        <v>413</v>
      </c>
      <c r="M253" s="44" t="s">
        <v>414</v>
      </c>
    </row>
    <row r="254" spans="12:13" x14ac:dyDescent="0.25">
      <c r="L254" s="44" t="s">
        <v>415</v>
      </c>
      <c r="M254" s="44" t="s">
        <v>416</v>
      </c>
    </row>
    <row r="255" spans="12:13" x14ac:dyDescent="0.25">
      <c r="L255" s="44" t="s">
        <v>417</v>
      </c>
      <c r="M255" s="44" t="s">
        <v>418</v>
      </c>
    </row>
    <row r="256" spans="12:13" x14ac:dyDescent="0.25">
      <c r="L256" s="44" t="s">
        <v>419</v>
      </c>
      <c r="M256" s="44" t="s">
        <v>420</v>
      </c>
    </row>
    <row r="257" spans="12:13" x14ac:dyDescent="0.25">
      <c r="L257" s="44" t="s">
        <v>421</v>
      </c>
      <c r="M257" s="44" t="s">
        <v>422</v>
      </c>
    </row>
    <row r="258" spans="12:13" x14ac:dyDescent="0.25">
      <c r="L258" s="44" t="s">
        <v>423</v>
      </c>
      <c r="M258" s="44" t="s">
        <v>424</v>
      </c>
    </row>
    <row r="259" spans="12:13" x14ac:dyDescent="0.25">
      <c r="L259" s="44" t="s">
        <v>425</v>
      </c>
      <c r="M259" s="44" t="s">
        <v>426</v>
      </c>
    </row>
    <row r="260" spans="12:13" x14ac:dyDescent="0.25">
      <c r="L260" s="44" t="s">
        <v>427</v>
      </c>
      <c r="M260" s="44" t="s">
        <v>428</v>
      </c>
    </row>
    <row r="261" spans="12:13" x14ac:dyDescent="0.25">
      <c r="L261" s="44" t="s">
        <v>429</v>
      </c>
      <c r="M261" s="44" t="s">
        <v>430</v>
      </c>
    </row>
    <row r="262" spans="12:13" x14ac:dyDescent="0.25">
      <c r="L262" s="44" t="s">
        <v>431</v>
      </c>
      <c r="M262" s="44" t="s">
        <v>432</v>
      </c>
    </row>
    <row r="263" spans="12:13" x14ac:dyDescent="0.25">
      <c r="L263" s="44" t="s">
        <v>433</v>
      </c>
      <c r="M263" s="44" t="s">
        <v>434</v>
      </c>
    </row>
    <row r="264" spans="12:13" x14ac:dyDescent="0.25">
      <c r="L264" s="44" t="s">
        <v>435</v>
      </c>
      <c r="M264" s="44" t="s">
        <v>436</v>
      </c>
    </row>
    <row r="265" spans="12:13" x14ac:dyDescent="0.25">
      <c r="L265" s="44" t="s">
        <v>437</v>
      </c>
      <c r="M265" s="44" t="s">
        <v>438</v>
      </c>
    </row>
    <row r="266" spans="12:13" x14ac:dyDescent="0.25">
      <c r="L266" s="44" t="s">
        <v>439</v>
      </c>
      <c r="M266" s="44" t="s">
        <v>440</v>
      </c>
    </row>
    <row r="267" spans="12:13" x14ac:dyDescent="0.25">
      <c r="L267" s="44" t="s">
        <v>441</v>
      </c>
      <c r="M267" s="44" t="s">
        <v>442</v>
      </c>
    </row>
    <row r="268" spans="12:13" x14ac:dyDescent="0.25">
      <c r="L268" s="44" t="s">
        <v>443</v>
      </c>
      <c r="M268" s="44" t="s">
        <v>444</v>
      </c>
    </row>
    <row r="269" spans="12:13" x14ac:dyDescent="0.25">
      <c r="L269" s="44" t="s">
        <v>445</v>
      </c>
      <c r="M269" s="44" t="s">
        <v>446</v>
      </c>
    </row>
    <row r="270" spans="12:13" x14ac:dyDescent="0.25">
      <c r="L270" s="44" t="s">
        <v>447</v>
      </c>
      <c r="M270" s="44" t="s">
        <v>448</v>
      </c>
    </row>
    <row r="271" spans="12:13" x14ac:dyDescent="0.25">
      <c r="L271" s="44" t="s">
        <v>449</v>
      </c>
      <c r="M271" s="44" t="s">
        <v>450</v>
      </c>
    </row>
    <row r="272" spans="12:13" x14ac:dyDescent="0.25">
      <c r="L272" s="44" t="s">
        <v>451</v>
      </c>
      <c r="M272" s="44" t="s">
        <v>452</v>
      </c>
    </row>
    <row r="273" spans="12:13" x14ac:dyDescent="0.25">
      <c r="L273" s="44" t="s">
        <v>453</v>
      </c>
      <c r="M273" s="44" t="s">
        <v>454</v>
      </c>
    </row>
    <row r="274" spans="12:13" x14ac:dyDescent="0.25">
      <c r="L274" s="44" t="s">
        <v>455</v>
      </c>
      <c r="M274" s="44" t="s">
        <v>456</v>
      </c>
    </row>
    <row r="275" spans="12:13" x14ac:dyDescent="0.25">
      <c r="L275" s="44" t="s">
        <v>457</v>
      </c>
      <c r="M275" s="44" t="s">
        <v>458</v>
      </c>
    </row>
    <row r="276" spans="12:13" x14ac:dyDescent="0.25">
      <c r="L276" s="44" t="s">
        <v>459</v>
      </c>
      <c r="M276" s="44" t="s">
        <v>460</v>
      </c>
    </row>
    <row r="277" spans="12:13" x14ac:dyDescent="0.25">
      <c r="L277" s="44" t="s">
        <v>461</v>
      </c>
      <c r="M277" s="44" t="s">
        <v>462</v>
      </c>
    </row>
    <row r="278" spans="12:13" x14ac:dyDescent="0.25">
      <c r="L278" s="44" t="s">
        <v>463</v>
      </c>
      <c r="M278" s="44" t="s">
        <v>464</v>
      </c>
    </row>
    <row r="279" spans="12:13" x14ac:dyDescent="0.25">
      <c r="L279" s="44" t="s">
        <v>465</v>
      </c>
      <c r="M279" s="44" t="s">
        <v>466</v>
      </c>
    </row>
    <row r="280" spans="12:13" x14ac:dyDescent="0.25">
      <c r="L280" s="44" t="s">
        <v>467</v>
      </c>
      <c r="M280" s="44" t="s">
        <v>468</v>
      </c>
    </row>
    <row r="281" spans="12:13" x14ac:dyDescent="0.25">
      <c r="L281" s="44" t="s">
        <v>469</v>
      </c>
      <c r="M281" s="44" t="s">
        <v>470</v>
      </c>
    </row>
    <row r="282" spans="12:13" x14ac:dyDescent="0.25">
      <c r="L282" s="44" t="s">
        <v>471</v>
      </c>
      <c r="M282" s="44" t="s">
        <v>472</v>
      </c>
    </row>
    <row r="283" spans="12:13" x14ac:dyDescent="0.25">
      <c r="L283" s="44" t="s">
        <v>473</v>
      </c>
      <c r="M283" s="44" t="s">
        <v>474</v>
      </c>
    </row>
    <row r="284" spans="12:13" x14ac:dyDescent="0.25">
      <c r="L284" s="44" t="s">
        <v>475</v>
      </c>
      <c r="M284" s="44" t="s">
        <v>476</v>
      </c>
    </row>
    <row r="285" spans="12:13" x14ac:dyDescent="0.25">
      <c r="L285" s="44" t="s">
        <v>477</v>
      </c>
      <c r="M285" s="44" t="s">
        <v>478</v>
      </c>
    </row>
    <row r="286" spans="12:13" x14ac:dyDescent="0.25">
      <c r="L286" s="44" t="s">
        <v>479</v>
      </c>
      <c r="M286" s="44" t="s">
        <v>480</v>
      </c>
    </row>
    <row r="287" spans="12:13" x14ac:dyDescent="0.25">
      <c r="L287" s="44" t="s">
        <v>481</v>
      </c>
      <c r="M287" s="44" t="s">
        <v>482</v>
      </c>
    </row>
    <row r="288" spans="12:13" x14ac:dyDescent="0.25">
      <c r="L288" s="44" t="s">
        <v>483</v>
      </c>
      <c r="M288" s="44" t="s">
        <v>484</v>
      </c>
    </row>
    <row r="289" spans="12:13" x14ac:dyDescent="0.25">
      <c r="L289" s="44" t="s">
        <v>485</v>
      </c>
      <c r="M289" s="44" t="s">
        <v>486</v>
      </c>
    </row>
    <row r="290" spans="12:13" x14ac:dyDescent="0.25">
      <c r="L290" s="44" t="s">
        <v>487</v>
      </c>
      <c r="M290" s="44" t="s">
        <v>488</v>
      </c>
    </row>
    <row r="291" spans="12:13" x14ac:dyDescent="0.25">
      <c r="L291" s="44" t="s">
        <v>489</v>
      </c>
      <c r="M291" s="44" t="s">
        <v>490</v>
      </c>
    </row>
    <row r="293" spans="12:13" x14ac:dyDescent="0.25">
      <c r="L293" s="45" t="s">
        <v>491</v>
      </c>
    </row>
    <row r="294" spans="12:13" x14ac:dyDescent="0.25">
      <c r="L294" s="44" t="s">
        <v>492</v>
      </c>
    </row>
    <row r="295" spans="12:13" x14ac:dyDescent="0.25">
      <c r="L295" s="44" t="s">
        <v>493</v>
      </c>
    </row>
    <row r="296" spans="12:13" x14ac:dyDescent="0.25">
      <c r="L296" s="44" t="s">
        <v>494</v>
      </c>
    </row>
    <row r="297" spans="12:13" x14ac:dyDescent="0.25">
      <c r="L297" s="44" t="s">
        <v>495</v>
      </c>
    </row>
    <row r="298" spans="12:13" x14ac:dyDescent="0.25">
      <c r="L298" s="44" t="s">
        <v>496</v>
      </c>
    </row>
    <row r="299" spans="12:13" x14ac:dyDescent="0.25">
      <c r="L299" s="44" t="s">
        <v>497</v>
      </c>
    </row>
    <row r="300" spans="12:13" x14ac:dyDescent="0.25">
      <c r="L300" s="44" t="s">
        <v>498</v>
      </c>
    </row>
    <row r="301" spans="12:13" x14ac:dyDescent="0.25">
      <c r="L301" s="44" t="s">
        <v>499</v>
      </c>
    </row>
    <row r="302" spans="12:13" x14ac:dyDescent="0.25">
      <c r="L302" s="44" t="s">
        <v>500</v>
      </c>
    </row>
    <row r="303" spans="12:13" x14ac:dyDescent="0.25">
      <c r="L303" s="44" t="s">
        <v>501</v>
      </c>
    </row>
    <row r="304" spans="12:13" x14ac:dyDescent="0.25">
      <c r="L304" s="44" t="s">
        <v>502</v>
      </c>
    </row>
    <row r="305" spans="12:12" x14ac:dyDescent="0.25">
      <c r="L305" s="44" t="s">
        <v>503</v>
      </c>
    </row>
    <row r="306" spans="12:12" x14ac:dyDescent="0.25">
      <c r="L306" s="44" t="s">
        <v>504</v>
      </c>
    </row>
    <row r="307" spans="12:12" x14ac:dyDescent="0.25">
      <c r="L307" s="44" t="s">
        <v>505</v>
      </c>
    </row>
    <row r="308" spans="12:12" x14ac:dyDescent="0.25">
      <c r="L308" s="44" t="s">
        <v>506</v>
      </c>
    </row>
    <row r="309" spans="12:12" x14ac:dyDescent="0.25">
      <c r="L309" s="44" t="s">
        <v>507</v>
      </c>
    </row>
    <row r="310" spans="12:12" x14ac:dyDescent="0.25">
      <c r="L310" s="44" t="s">
        <v>508</v>
      </c>
    </row>
    <row r="311" spans="12:12" x14ac:dyDescent="0.25">
      <c r="L311" s="44" t="s">
        <v>509</v>
      </c>
    </row>
    <row r="312" spans="12:12" x14ac:dyDescent="0.25">
      <c r="L312" s="44" t="s">
        <v>510</v>
      </c>
    </row>
    <row r="313" spans="12:12" x14ac:dyDescent="0.25">
      <c r="L313" s="44" t="s">
        <v>511</v>
      </c>
    </row>
    <row r="314" spans="12:12" x14ac:dyDescent="0.25">
      <c r="L314" s="44" t="s">
        <v>512</v>
      </c>
    </row>
    <row r="315" spans="12:12" x14ac:dyDescent="0.25">
      <c r="L315" s="44" t="s">
        <v>513</v>
      </c>
    </row>
    <row r="316" spans="12:12" x14ac:dyDescent="0.25">
      <c r="L316" s="44" t="s">
        <v>514</v>
      </c>
    </row>
    <row r="317" spans="12:12" x14ac:dyDescent="0.25">
      <c r="L317" s="44" t="s">
        <v>515</v>
      </c>
    </row>
    <row r="318" spans="12:12" x14ac:dyDescent="0.25">
      <c r="L318" s="44" t="s">
        <v>516</v>
      </c>
    </row>
    <row r="319" spans="12:12" x14ac:dyDescent="0.25">
      <c r="L319" s="44" t="s">
        <v>517</v>
      </c>
    </row>
    <row r="320" spans="12:12" x14ac:dyDescent="0.25">
      <c r="L320" s="44" t="s">
        <v>518</v>
      </c>
    </row>
    <row r="322" spans="12:12" x14ac:dyDescent="0.25">
      <c r="L322" s="45" t="s">
        <v>519</v>
      </c>
    </row>
    <row r="323" spans="12:12" x14ac:dyDescent="0.25">
      <c r="L323" s="44" t="s">
        <v>520</v>
      </c>
    </row>
    <row r="324" spans="12:12" x14ac:dyDescent="0.25">
      <c r="L324" s="44" t="s">
        <v>521</v>
      </c>
    </row>
    <row r="325" spans="12:12" x14ac:dyDescent="0.25">
      <c r="L325" s="44" t="s">
        <v>522</v>
      </c>
    </row>
    <row r="326" spans="12:12" x14ac:dyDescent="0.25">
      <c r="L326" s="44" t="s">
        <v>523</v>
      </c>
    </row>
    <row r="327" spans="12:12" x14ac:dyDescent="0.25">
      <c r="L327" s="44" t="s">
        <v>524</v>
      </c>
    </row>
    <row r="328" spans="12:12" x14ac:dyDescent="0.25">
      <c r="L328" s="44" t="s">
        <v>525</v>
      </c>
    </row>
    <row r="329" spans="12:12" x14ac:dyDescent="0.25">
      <c r="L329" s="44" t="s">
        <v>526</v>
      </c>
    </row>
    <row r="330" spans="12:12" x14ac:dyDescent="0.25">
      <c r="L330" s="44" t="s">
        <v>527</v>
      </c>
    </row>
    <row r="331" spans="12:12" x14ac:dyDescent="0.25">
      <c r="L331" s="44" t="s">
        <v>528</v>
      </c>
    </row>
    <row r="332" spans="12:12" x14ac:dyDescent="0.25">
      <c r="L332" s="44" t="s">
        <v>529</v>
      </c>
    </row>
    <row r="333" spans="12:12" x14ac:dyDescent="0.25">
      <c r="L333" s="44" t="s">
        <v>530</v>
      </c>
    </row>
    <row r="334" spans="12:12" x14ac:dyDescent="0.25">
      <c r="L334" s="44" t="s">
        <v>531</v>
      </c>
    </row>
    <row r="335" spans="12:12" x14ac:dyDescent="0.25">
      <c r="L335" s="44" t="s">
        <v>532</v>
      </c>
    </row>
    <row r="336" spans="12:12" x14ac:dyDescent="0.25">
      <c r="L336" s="44" t="s">
        <v>533</v>
      </c>
    </row>
    <row r="337" spans="12:12" x14ac:dyDescent="0.25">
      <c r="L337" s="44" t="s">
        <v>534</v>
      </c>
    </row>
    <row r="338" spans="12:12" x14ac:dyDescent="0.25">
      <c r="L338" s="44" t="s">
        <v>535</v>
      </c>
    </row>
    <row r="339" spans="12:12" x14ac:dyDescent="0.25">
      <c r="L339" s="44" t="s">
        <v>536</v>
      </c>
    </row>
    <row r="340" spans="12:12" x14ac:dyDescent="0.25">
      <c r="L340" s="44" t="s">
        <v>537</v>
      </c>
    </row>
    <row r="341" spans="12:12" x14ac:dyDescent="0.25">
      <c r="L341" s="44" t="s">
        <v>538</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formula1>"IP units (feet), SI units (meters)"</formula1>
    </dataValidation>
    <dataValidation type="whole" allowBlank="1" showInputMessage="1" showErrorMessage="1" error="Year must be four digit" sqref="F12">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20</xdr:row>
                    <xdr:rowOff>171450</xdr:rowOff>
                  </from>
                  <to>
                    <xdr:col>3</xdr:col>
                    <xdr:colOff>104775</xdr:colOff>
                    <xdr:row>22</xdr:row>
                    <xdr:rowOff>9525</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19</xdr:row>
                    <xdr:rowOff>161925</xdr:rowOff>
                  </from>
                  <to>
                    <xdr:col>3</xdr:col>
                    <xdr:colOff>95250</xdr:colOff>
                    <xdr:row>21</xdr:row>
                    <xdr:rowOff>0</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S64"/>
  <sheetViews>
    <sheetView showGridLines="0" topLeftCell="A3" zoomScale="90" zoomScaleNormal="90" workbookViewId="0">
      <pane xSplit="4" topLeftCell="E1" activePane="topRight" state="frozen"/>
      <selection pane="topRight" activeCell="C65" sqref="C65"/>
    </sheetView>
  </sheetViews>
  <sheetFormatPr defaultColWidth="9.140625" defaultRowHeight="12.75" x14ac:dyDescent="0.2"/>
  <cols>
    <col min="1" max="1" width="2.7109375" style="75" customWidth="1"/>
    <col min="2" max="2" width="38.5703125" style="57" customWidth="1"/>
    <col min="3" max="3" width="51.5703125" style="57" customWidth="1"/>
    <col min="4" max="4" width="15.7109375" style="57" customWidth="1"/>
    <col min="5" max="5" width="14.7109375" style="57" customWidth="1"/>
    <col min="6" max="7" width="19.85546875" style="57" customWidth="1"/>
    <col min="8" max="8" width="14.7109375" style="57" customWidth="1"/>
    <col min="9" max="9" width="16.28515625" style="57" customWidth="1"/>
    <col min="10" max="10" width="17.140625" style="57" customWidth="1"/>
    <col min="11" max="11" width="11.5703125" style="57" hidden="1" customWidth="1"/>
    <col min="12" max="12" width="11.85546875" style="57" hidden="1" customWidth="1"/>
    <col min="13" max="13" width="12.7109375" style="57" hidden="1" customWidth="1"/>
    <col min="14" max="14" width="16" style="57" hidden="1" customWidth="1"/>
    <col min="15" max="17" width="16.140625" style="57" hidden="1" customWidth="1"/>
    <col min="18" max="18" width="19.7109375" style="57" hidden="1" customWidth="1"/>
    <col min="19" max="19" width="9.140625" style="57" customWidth="1"/>
    <col min="20" max="20" width="16.7109375" style="57" customWidth="1"/>
    <col min="21" max="16384" width="9.140625" style="57"/>
  </cols>
  <sheetData>
    <row r="1" spans="1:19" s="55" customFormat="1" ht="15" customHeight="1" x14ac:dyDescent="0.2">
      <c r="A1" s="74"/>
      <c r="B1" s="54"/>
      <c r="C1" s="54"/>
      <c r="D1" s="54"/>
      <c r="E1" s="54"/>
      <c r="F1" s="54"/>
      <c r="G1" s="54"/>
      <c r="H1" s="54"/>
      <c r="I1" s="54"/>
      <c r="J1" s="54"/>
      <c r="K1" s="54"/>
      <c r="L1" s="54"/>
      <c r="M1" s="54"/>
      <c r="N1" s="54"/>
      <c r="O1" s="54"/>
      <c r="P1" s="54"/>
      <c r="Q1" s="54"/>
      <c r="R1" s="54"/>
    </row>
    <row r="2" spans="1:19" s="55" customFormat="1" ht="24.75" customHeight="1" x14ac:dyDescent="0.2">
      <c r="A2" s="74"/>
      <c r="B2" s="117" t="s">
        <v>718</v>
      </c>
      <c r="C2" s="56"/>
      <c r="D2" s="56"/>
      <c r="E2" s="56"/>
      <c r="F2" s="56"/>
      <c r="G2" s="56"/>
      <c r="H2" s="56"/>
      <c r="I2" s="56"/>
      <c r="J2" s="56"/>
      <c r="K2" s="56"/>
      <c r="L2" s="56"/>
      <c r="M2" s="56"/>
      <c r="N2" s="56"/>
      <c r="O2" s="56"/>
      <c r="P2" s="56"/>
      <c r="Q2" s="56"/>
      <c r="R2" s="56"/>
    </row>
    <row r="3" spans="1:19" s="55" customFormat="1" ht="14.25" customHeight="1" x14ac:dyDescent="0.2">
      <c r="A3" s="74"/>
      <c r="B3" s="54"/>
      <c r="C3" s="54"/>
      <c r="D3" s="54"/>
      <c r="E3" s="54"/>
      <c r="F3" s="54"/>
      <c r="G3" s="54"/>
      <c r="H3" s="54"/>
      <c r="I3" s="54"/>
      <c r="J3" s="54"/>
      <c r="K3" s="54"/>
      <c r="L3" s="54"/>
      <c r="M3" s="54"/>
      <c r="N3" s="54"/>
      <c r="O3" s="54"/>
      <c r="P3" s="54"/>
      <c r="Q3" s="54"/>
      <c r="R3" s="54"/>
    </row>
    <row r="4" spans="1:19" ht="105" customHeight="1" x14ac:dyDescent="0.2">
      <c r="B4" s="244" t="s">
        <v>740</v>
      </c>
      <c r="C4" s="244"/>
      <c r="D4" s="244"/>
      <c r="E4" s="102"/>
      <c r="F4" s="102"/>
      <c r="G4" s="102"/>
      <c r="H4" s="102"/>
      <c r="I4" s="102"/>
      <c r="J4" s="102"/>
      <c r="K4" s="83"/>
    </row>
    <row r="5" spans="1:19" ht="30" customHeight="1" x14ac:dyDescent="0.25">
      <c r="A5" s="76" t="s">
        <v>735</v>
      </c>
      <c r="B5" s="58"/>
      <c r="C5" s="59"/>
      <c r="D5" s="59"/>
      <c r="E5" s="59"/>
      <c r="F5" s="60"/>
      <c r="G5" s="82"/>
      <c r="H5" s="250" t="s">
        <v>725</v>
      </c>
      <c r="I5" s="250"/>
      <c r="J5" s="128"/>
      <c r="K5" s="129"/>
      <c r="L5" s="130"/>
      <c r="M5" s="131"/>
      <c r="N5" s="245" t="s">
        <v>706</v>
      </c>
      <c r="O5" s="246"/>
      <c r="P5" s="246"/>
      <c r="Q5" s="246"/>
      <c r="R5" s="247"/>
    </row>
    <row r="6" spans="1:19" ht="44.45" customHeight="1" x14ac:dyDescent="0.2">
      <c r="A6" s="89">
        <v>19</v>
      </c>
      <c r="B6" s="118" t="s">
        <v>592</v>
      </c>
      <c r="C6" s="119" t="s">
        <v>593</v>
      </c>
      <c r="D6" s="119" t="str">
        <f>CONCATENATE("Gross 
Floor Area
",IF(Instructions!$F$10="SI units (meters)","(sq m)","(sq ft)"))</f>
        <v>Gross 
Floor Area
(sq ft)</v>
      </c>
      <c r="E6" s="119" t="s">
        <v>719</v>
      </c>
      <c r="F6" s="119" t="s">
        <v>732</v>
      </c>
      <c r="G6" s="119" t="s">
        <v>697</v>
      </c>
      <c r="H6" s="120" t="s">
        <v>720</v>
      </c>
      <c r="I6" s="121" t="s">
        <v>734</v>
      </c>
      <c r="J6" s="122" t="s">
        <v>733</v>
      </c>
      <c r="K6" s="132" t="s">
        <v>698</v>
      </c>
      <c r="L6" s="133" t="s">
        <v>595</v>
      </c>
      <c r="M6" s="134"/>
      <c r="N6" s="132" t="s">
        <v>699</v>
      </c>
      <c r="O6" s="132" t="s">
        <v>700</v>
      </c>
      <c r="P6" s="132" t="s">
        <v>701</v>
      </c>
      <c r="Q6" s="132" t="s">
        <v>702</v>
      </c>
      <c r="R6" s="132" t="s">
        <v>726</v>
      </c>
      <c r="S6" s="73"/>
    </row>
    <row r="7" spans="1:19" ht="15" customHeight="1" x14ac:dyDescent="0.25">
      <c r="A7" s="61"/>
      <c r="B7" s="123" t="s">
        <v>744</v>
      </c>
      <c r="C7" s="124" t="s">
        <v>606</v>
      </c>
      <c r="D7" s="125">
        <v>1234</v>
      </c>
      <c r="E7" s="126">
        <v>18</v>
      </c>
      <c r="F7" s="126">
        <v>44</v>
      </c>
      <c r="G7" s="126">
        <v>5</v>
      </c>
      <c r="H7" s="126">
        <v>22</v>
      </c>
      <c r="I7" s="127">
        <v>2.2916666666666669E-2</v>
      </c>
      <c r="J7" s="135">
        <f>IFERROR((K7/E7)*(I7*24)," ")</f>
        <v>3.3611111111111112</v>
      </c>
      <c r="K7" s="136">
        <f>G7*H7</f>
        <v>110</v>
      </c>
      <c r="L7" s="137">
        <f t="shared" ref="L7" si="0">E7*D7</f>
        <v>22212</v>
      </c>
      <c r="M7" s="138"/>
      <c r="N7" s="139" t="s">
        <v>703</v>
      </c>
      <c r="O7" s="140" t="s">
        <v>703</v>
      </c>
      <c r="P7" s="140" t="s">
        <v>703</v>
      </c>
      <c r="Q7" s="140" t="s">
        <v>703</v>
      </c>
      <c r="R7" s="140" t="s">
        <v>703</v>
      </c>
    </row>
    <row r="8" spans="1:19" ht="15" customHeight="1" x14ac:dyDescent="0.25">
      <c r="A8" s="61">
        <v>0</v>
      </c>
      <c r="B8" s="123"/>
      <c r="C8" s="124"/>
      <c r="D8" s="125"/>
      <c r="E8" s="126"/>
      <c r="F8" s="126"/>
      <c r="G8" s="126"/>
      <c r="H8" s="126"/>
      <c r="I8" s="127"/>
      <c r="J8" s="135" t="str">
        <f t="shared" ref="J8:J18" si="1">IFERROR((K8/E8)*(I8*24)," ")</f>
        <v xml:space="preserve"> </v>
      </c>
      <c r="K8" s="136">
        <f t="shared" ref="K8:K18" si="2">G8*H8</f>
        <v>0</v>
      </c>
      <c r="L8" s="137">
        <f t="shared" ref="L8:L16" si="3">E8*D8</f>
        <v>0</v>
      </c>
      <c r="M8" s="138"/>
      <c r="N8" s="140" t="s">
        <v>703</v>
      </c>
      <c r="O8" s="140" t="s">
        <v>703</v>
      </c>
      <c r="P8" s="140" t="s">
        <v>703</v>
      </c>
      <c r="Q8" s="140" t="s">
        <v>703</v>
      </c>
      <c r="R8" s="140" t="s">
        <v>703</v>
      </c>
    </row>
    <row r="9" spans="1:19" ht="15" customHeight="1" x14ac:dyDescent="0.25">
      <c r="A9" s="61">
        <v>0</v>
      </c>
      <c r="B9" s="123"/>
      <c r="C9" s="124"/>
      <c r="D9" s="125"/>
      <c r="E9" s="126"/>
      <c r="F9" s="126"/>
      <c r="G9" s="126"/>
      <c r="H9" s="126"/>
      <c r="I9" s="127"/>
      <c r="J9" s="135" t="str">
        <f t="shared" si="1"/>
        <v xml:space="preserve"> </v>
      </c>
      <c r="K9" s="136">
        <f t="shared" si="2"/>
        <v>0</v>
      </c>
      <c r="L9" s="137">
        <f t="shared" si="3"/>
        <v>0</v>
      </c>
      <c r="M9" s="137"/>
      <c r="N9" s="140" t="s">
        <v>703</v>
      </c>
      <c r="O9" s="140" t="s">
        <v>703</v>
      </c>
      <c r="P9" s="140" t="s">
        <v>703</v>
      </c>
      <c r="Q9" s="140" t="s">
        <v>703</v>
      </c>
      <c r="R9" s="140" t="s">
        <v>703</v>
      </c>
    </row>
    <row r="10" spans="1:19" ht="15" customHeight="1" x14ac:dyDescent="0.25">
      <c r="A10" s="61">
        <v>0</v>
      </c>
      <c r="B10" s="123"/>
      <c r="C10" s="124"/>
      <c r="D10" s="125"/>
      <c r="E10" s="126"/>
      <c r="F10" s="126"/>
      <c r="G10" s="126"/>
      <c r="H10" s="126"/>
      <c r="I10" s="127"/>
      <c r="J10" s="135" t="str">
        <f t="shared" si="1"/>
        <v xml:space="preserve"> </v>
      </c>
      <c r="K10" s="136">
        <f t="shared" si="2"/>
        <v>0</v>
      </c>
      <c r="L10" s="137">
        <f t="shared" si="3"/>
        <v>0</v>
      </c>
      <c r="M10" s="137"/>
      <c r="N10" s="140" t="s">
        <v>703</v>
      </c>
      <c r="O10" s="140" t="s">
        <v>703</v>
      </c>
      <c r="P10" s="140" t="s">
        <v>703</v>
      </c>
      <c r="Q10" s="140" t="s">
        <v>703</v>
      </c>
      <c r="R10" s="140" t="s">
        <v>703</v>
      </c>
    </row>
    <row r="11" spans="1:19" ht="15" customHeight="1" x14ac:dyDescent="0.25">
      <c r="A11" s="61">
        <v>0</v>
      </c>
      <c r="B11" s="123"/>
      <c r="C11" s="124"/>
      <c r="D11" s="125"/>
      <c r="E11" s="126"/>
      <c r="F11" s="126"/>
      <c r="G11" s="126"/>
      <c r="H11" s="126"/>
      <c r="I11" s="127"/>
      <c r="J11" s="135" t="str">
        <f t="shared" si="1"/>
        <v xml:space="preserve"> </v>
      </c>
      <c r="K11" s="136">
        <f t="shared" si="2"/>
        <v>0</v>
      </c>
      <c r="L11" s="137">
        <f t="shared" si="3"/>
        <v>0</v>
      </c>
      <c r="M11" s="137"/>
      <c r="N11" s="140" t="s">
        <v>703</v>
      </c>
      <c r="O11" s="140" t="s">
        <v>703</v>
      </c>
      <c r="P11" s="140" t="s">
        <v>703</v>
      </c>
      <c r="Q11" s="140" t="s">
        <v>703</v>
      </c>
      <c r="R11" s="140" t="s">
        <v>703</v>
      </c>
    </row>
    <row r="12" spans="1:19" ht="15" customHeight="1" x14ac:dyDescent="0.25">
      <c r="A12" s="61">
        <v>0</v>
      </c>
      <c r="B12" s="123"/>
      <c r="C12" s="124"/>
      <c r="D12" s="125"/>
      <c r="E12" s="126"/>
      <c r="F12" s="126"/>
      <c r="G12" s="126"/>
      <c r="H12" s="126"/>
      <c r="I12" s="127"/>
      <c r="J12" s="135" t="str">
        <f t="shared" si="1"/>
        <v xml:space="preserve"> </v>
      </c>
      <c r="K12" s="136">
        <f t="shared" si="2"/>
        <v>0</v>
      </c>
      <c r="L12" s="137">
        <f t="shared" si="3"/>
        <v>0</v>
      </c>
      <c r="M12" s="137"/>
      <c r="N12" s="140" t="s">
        <v>703</v>
      </c>
      <c r="O12" s="140" t="s">
        <v>703</v>
      </c>
      <c r="P12" s="140" t="s">
        <v>703</v>
      </c>
      <c r="Q12" s="140" t="s">
        <v>703</v>
      </c>
      <c r="R12" s="140" t="s">
        <v>703</v>
      </c>
    </row>
    <row r="13" spans="1:19" ht="15" customHeight="1" x14ac:dyDescent="0.25">
      <c r="A13" s="61">
        <v>0</v>
      </c>
      <c r="B13" s="123"/>
      <c r="C13" s="124"/>
      <c r="D13" s="125"/>
      <c r="E13" s="126"/>
      <c r="F13" s="126"/>
      <c r="G13" s="126"/>
      <c r="H13" s="126"/>
      <c r="I13" s="127"/>
      <c r="J13" s="135" t="str">
        <f t="shared" si="1"/>
        <v xml:space="preserve"> </v>
      </c>
      <c r="K13" s="136">
        <f t="shared" si="2"/>
        <v>0</v>
      </c>
      <c r="L13" s="137">
        <f t="shared" si="3"/>
        <v>0</v>
      </c>
      <c r="M13" s="137"/>
      <c r="N13" s="140" t="s">
        <v>703</v>
      </c>
      <c r="O13" s="140" t="s">
        <v>703</v>
      </c>
      <c r="P13" s="140" t="s">
        <v>703</v>
      </c>
      <c r="Q13" s="140" t="s">
        <v>703</v>
      </c>
      <c r="R13" s="140" t="s">
        <v>703</v>
      </c>
    </row>
    <row r="14" spans="1:19" ht="15" customHeight="1" x14ac:dyDescent="0.25">
      <c r="A14" s="61">
        <v>0</v>
      </c>
      <c r="B14" s="123"/>
      <c r="C14" s="124"/>
      <c r="D14" s="125"/>
      <c r="E14" s="126"/>
      <c r="F14" s="126"/>
      <c r="G14" s="126"/>
      <c r="H14" s="126"/>
      <c r="I14" s="127"/>
      <c r="J14" s="135" t="str">
        <f t="shared" si="1"/>
        <v xml:space="preserve"> </v>
      </c>
      <c r="K14" s="136">
        <f t="shared" si="2"/>
        <v>0</v>
      </c>
      <c r="L14" s="137">
        <f t="shared" si="3"/>
        <v>0</v>
      </c>
      <c r="M14" s="137"/>
      <c r="N14" s="140" t="s">
        <v>703</v>
      </c>
      <c r="O14" s="140" t="s">
        <v>703</v>
      </c>
      <c r="P14" s="140" t="s">
        <v>703</v>
      </c>
      <c r="Q14" s="140" t="s">
        <v>703</v>
      </c>
      <c r="R14" s="140" t="s">
        <v>703</v>
      </c>
    </row>
    <row r="15" spans="1:19" ht="15" customHeight="1" x14ac:dyDescent="0.25">
      <c r="A15" s="61">
        <v>0</v>
      </c>
      <c r="B15" s="123"/>
      <c r="C15" s="124"/>
      <c r="D15" s="125"/>
      <c r="E15" s="126"/>
      <c r="F15" s="126"/>
      <c r="G15" s="126"/>
      <c r="H15" s="126"/>
      <c r="I15" s="127"/>
      <c r="J15" s="135" t="str">
        <f t="shared" si="1"/>
        <v xml:space="preserve"> </v>
      </c>
      <c r="K15" s="136">
        <f t="shared" si="2"/>
        <v>0</v>
      </c>
      <c r="L15" s="137">
        <f t="shared" si="3"/>
        <v>0</v>
      </c>
      <c r="M15" s="137"/>
      <c r="N15" s="140" t="s">
        <v>703</v>
      </c>
      <c r="O15" s="140" t="s">
        <v>703</v>
      </c>
      <c r="P15" s="140" t="s">
        <v>703</v>
      </c>
      <c r="Q15" s="140" t="s">
        <v>703</v>
      </c>
      <c r="R15" s="140" t="s">
        <v>703</v>
      </c>
    </row>
    <row r="16" spans="1:19" ht="15" customHeight="1" x14ac:dyDescent="0.25">
      <c r="A16" s="61">
        <v>0</v>
      </c>
      <c r="B16" s="123"/>
      <c r="C16" s="124"/>
      <c r="D16" s="125"/>
      <c r="E16" s="126"/>
      <c r="F16" s="126"/>
      <c r="G16" s="126"/>
      <c r="H16" s="126"/>
      <c r="I16" s="127"/>
      <c r="J16" s="135" t="str">
        <f t="shared" si="1"/>
        <v xml:space="preserve"> </v>
      </c>
      <c r="K16" s="136">
        <f t="shared" si="2"/>
        <v>0</v>
      </c>
      <c r="L16" s="137">
        <f t="shared" si="3"/>
        <v>0</v>
      </c>
      <c r="M16" s="137"/>
      <c r="N16" s="140" t="s">
        <v>703</v>
      </c>
      <c r="O16" s="140" t="s">
        <v>703</v>
      </c>
      <c r="P16" s="140" t="s">
        <v>703</v>
      </c>
      <c r="Q16" s="140" t="s">
        <v>703</v>
      </c>
      <c r="R16" s="140" t="s">
        <v>703</v>
      </c>
    </row>
    <row r="17" spans="1:18" ht="15" customHeight="1" x14ac:dyDescent="0.25">
      <c r="A17" s="61"/>
      <c r="B17" s="123"/>
      <c r="C17" s="124"/>
      <c r="D17" s="125"/>
      <c r="E17" s="126"/>
      <c r="F17" s="126"/>
      <c r="G17" s="126"/>
      <c r="H17" s="126"/>
      <c r="I17" s="127"/>
      <c r="J17" s="135" t="str">
        <f t="shared" si="1"/>
        <v xml:space="preserve"> </v>
      </c>
      <c r="K17" s="136">
        <f t="shared" si="2"/>
        <v>0</v>
      </c>
      <c r="L17" s="137">
        <f t="shared" ref="L17:L18" si="4">E17*D17</f>
        <v>0</v>
      </c>
      <c r="M17" s="137"/>
      <c r="N17" s="140" t="s">
        <v>703</v>
      </c>
      <c r="O17" s="140" t="s">
        <v>703</v>
      </c>
      <c r="P17" s="140" t="s">
        <v>703</v>
      </c>
      <c r="Q17" s="140" t="s">
        <v>703</v>
      </c>
      <c r="R17" s="140" t="s">
        <v>703</v>
      </c>
    </row>
    <row r="18" spans="1:18" ht="15" customHeight="1" x14ac:dyDescent="0.25">
      <c r="A18" s="61"/>
      <c r="B18" s="123"/>
      <c r="C18" s="124"/>
      <c r="D18" s="125"/>
      <c r="E18" s="126"/>
      <c r="F18" s="126"/>
      <c r="G18" s="126"/>
      <c r="H18" s="126"/>
      <c r="I18" s="127"/>
      <c r="J18" s="135" t="str">
        <f t="shared" si="1"/>
        <v xml:space="preserve"> </v>
      </c>
      <c r="K18" s="136">
        <f t="shared" si="2"/>
        <v>0</v>
      </c>
      <c r="L18" s="137">
        <f t="shared" si="4"/>
        <v>0</v>
      </c>
      <c r="M18" s="137"/>
      <c r="N18" s="140" t="s">
        <v>703</v>
      </c>
      <c r="O18" s="140" t="s">
        <v>703</v>
      </c>
      <c r="P18" s="140" t="s">
        <v>703</v>
      </c>
      <c r="Q18" s="140" t="s">
        <v>703</v>
      </c>
      <c r="R18" s="140" t="s">
        <v>703</v>
      </c>
    </row>
    <row r="19" spans="1:18" ht="20.25" customHeight="1" x14ac:dyDescent="0.2">
      <c r="A19" s="61" t="s">
        <v>544</v>
      </c>
      <c r="B19" s="240" t="s">
        <v>707</v>
      </c>
      <c r="C19" s="241"/>
      <c r="D19" s="141">
        <f>IFERROR(SUM(D7:D18)," ")</f>
        <v>1234</v>
      </c>
      <c r="E19" s="142">
        <f t="shared" ref="E19:J19" si="5">SUM(E7:E18)</f>
        <v>18</v>
      </c>
      <c r="F19" s="142">
        <f t="shared" si="5"/>
        <v>44</v>
      </c>
      <c r="G19" s="142">
        <f t="shared" si="5"/>
        <v>5</v>
      </c>
      <c r="H19" s="142">
        <f t="shared" si="5"/>
        <v>22</v>
      </c>
      <c r="I19" s="143">
        <f>SUM(I7:I18)</f>
        <v>2.2916666666666669E-2</v>
      </c>
      <c r="J19" s="144">
        <f t="shared" si="5"/>
        <v>3.3611111111111112</v>
      </c>
      <c r="K19" s="84"/>
    </row>
    <row r="20" spans="1:18" ht="33.75" customHeight="1" x14ac:dyDescent="0.2"/>
    <row r="21" spans="1:18" ht="12" customHeight="1" x14ac:dyDescent="0.2"/>
    <row r="22" spans="1:18" ht="12" customHeight="1" x14ac:dyDescent="0.25">
      <c r="A22" s="145"/>
      <c r="B22" s="146" t="s">
        <v>721</v>
      </c>
      <c r="C22" s="137"/>
      <c r="D22" s="137"/>
    </row>
    <row r="23" spans="1:18" ht="13.5" x14ac:dyDescent="0.25">
      <c r="A23" s="145"/>
      <c r="B23" s="137"/>
      <c r="C23" s="137"/>
      <c r="D23" s="137"/>
    </row>
    <row r="24" spans="1:18" ht="14.25" x14ac:dyDescent="0.25">
      <c r="A24" s="147"/>
      <c r="B24" s="238" t="str">
        <f>CONCATENATE("Gross 
Floor Area 
",IF(Instructions!$F$10="SI units (meters)","(sq m)","(sq ft)"))</f>
        <v>Gross 
Floor Area 
(sq ft)</v>
      </c>
      <c r="C24" s="239"/>
      <c r="D24" s="148">
        <f>IFERROR(D19," ")</f>
        <v>1234</v>
      </c>
      <c r="F24" s="242"/>
      <c r="G24" s="242"/>
      <c r="H24" s="242"/>
      <c r="I24" s="242"/>
      <c r="L24" s="77"/>
    </row>
    <row r="25" spans="1:18" ht="14.25" x14ac:dyDescent="0.25">
      <c r="A25" s="147"/>
      <c r="B25" s="243" t="s">
        <v>722</v>
      </c>
      <c r="C25" s="235"/>
      <c r="D25" s="149">
        <f>IFERROR(ROUND(SUM(L7:L18)/D19, 0)," ")</f>
        <v>18</v>
      </c>
      <c r="F25" s="85"/>
      <c r="G25" s="85"/>
      <c r="H25" s="85"/>
      <c r="I25" s="85"/>
    </row>
    <row r="26" spans="1:18" ht="14.25" x14ac:dyDescent="0.25">
      <c r="A26" s="147"/>
      <c r="B26" s="150" t="s">
        <v>594</v>
      </c>
      <c r="C26" s="151"/>
      <c r="D26" s="152">
        <f>F19</f>
        <v>44</v>
      </c>
      <c r="F26" s="85"/>
      <c r="G26" s="85"/>
      <c r="H26" s="85"/>
      <c r="I26" s="85"/>
    </row>
    <row r="27" spans="1:18" ht="14.25" x14ac:dyDescent="0.25">
      <c r="A27" s="147"/>
      <c r="B27" s="150" t="s">
        <v>591</v>
      </c>
      <c r="C27" s="151"/>
      <c r="D27" s="152">
        <f>ROUND(J19,0)</f>
        <v>3</v>
      </c>
      <c r="F27" s="87"/>
      <c r="G27" s="87"/>
      <c r="H27" s="85"/>
      <c r="I27" s="85"/>
    </row>
    <row r="28" spans="1:18" ht="14.25" x14ac:dyDescent="0.25">
      <c r="A28" s="147"/>
      <c r="B28" s="236" t="s">
        <v>723</v>
      </c>
      <c r="C28" s="237"/>
      <c r="D28" s="152">
        <f>IFERROR(ROUND((F19+J19), 0)," ")</f>
        <v>47</v>
      </c>
      <c r="F28" s="88"/>
      <c r="G28" s="88"/>
      <c r="H28" s="86"/>
      <c r="I28" s="86"/>
    </row>
    <row r="29" spans="1:18" ht="13.5" x14ac:dyDescent="0.25">
      <c r="A29" s="145"/>
      <c r="B29" s="137"/>
      <c r="C29" s="153"/>
      <c r="D29" s="154"/>
    </row>
    <row r="30" spans="1:18" ht="13.5" x14ac:dyDescent="0.25">
      <c r="A30" s="145"/>
      <c r="B30" s="248" t="s">
        <v>704</v>
      </c>
      <c r="C30" s="249"/>
      <c r="D30" s="155">
        <v>42948</v>
      </c>
    </row>
    <row r="31" spans="1:18" ht="13.5" x14ac:dyDescent="0.25">
      <c r="A31" s="145"/>
      <c r="B31" s="137"/>
      <c r="C31" s="137"/>
      <c r="D31" s="137"/>
    </row>
    <row r="32" spans="1:18" ht="13.5" hidden="1" x14ac:dyDescent="0.25">
      <c r="A32" s="145"/>
      <c r="B32" s="146" t="s">
        <v>727</v>
      </c>
      <c r="C32" s="137"/>
      <c r="D32" s="137"/>
    </row>
    <row r="33" spans="1:4" ht="13.5" hidden="1" x14ac:dyDescent="0.25">
      <c r="A33" s="145"/>
      <c r="B33" s="137"/>
      <c r="C33" s="137"/>
      <c r="D33" s="137"/>
    </row>
    <row r="34" spans="1:4" ht="13.5" hidden="1" x14ac:dyDescent="0.25">
      <c r="A34" s="145"/>
      <c r="B34" s="137"/>
      <c r="C34" s="137"/>
      <c r="D34" s="137"/>
    </row>
    <row r="35" spans="1:4" ht="13.5" hidden="1" x14ac:dyDescent="0.25">
      <c r="A35" s="145"/>
      <c r="B35" s="137"/>
      <c r="C35" s="137"/>
      <c r="D35" s="137"/>
    </row>
    <row r="36" spans="1:4" ht="13.5" hidden="1" x14ac:dyDescent="0.25">
      <c r="A36" s="145"/>
      <c r="B36" s="137" t="s">
        <v>699</v>
      </c>
      <c r="C36" s="137"/>
      <c r="D36" s="137"/>
    </row>
    <row r="37" spans="1:4" ht="13.5" hidden="1" x14ac:dyDescent="0.25">
      <c r="A37" s="145"/>
      <c r="B37" s="137"/>
      <c r="C37" s="137"/>
      <c r="D37" s="137"/>
    </row>
    <row r="38" spans="1:4" ht="14.25" hidden="1" x14ac:dyDescent="0.25">
      <c r="A38" s="145"/>
      <c r="B38" s="238" t="str">
        <f>CONCATENATE("Gross 
Floor Area 
",IF(Instructions!$F$10="SI units (meters)","(sq m)","(sq ft)"))</f>
        <v>Gross 
Floor Area 
(sq ft)</v>
      </c>
      <c r="C38" s="239"/>
      <c r="D38" s="148">
        <v>0</v>
      </c>
    </row>
    <row r="39" spans="1:4" ht="14.25" hidden="1" x14ac:dyDescent="0.25">
      <c r="A39" s="145"/>
      <c r="B39" s="235" t="s">
        <v>719</v>
      </c>
      <c r="C39" s="235"/>
      <c r="D39" s="149">
        <v>0</v>
      </c>
    </row>
    <row r="40" spans="1:4" ht="14.25" hidden="1" x14ac:dyDescent="0.25">
      <c r="A40" s="145"/>
      <c r="B40" s="236" t="s">
        <v>723</v>
      </c>
      <c r="C40" s="237"/>
      <c r="D40" s="149">
        <v>0</v>
      </c>
    </row>
    <row r="41" spans="1:4" ht="13.5" hidden="1" x14ac:dyDescent="0.25">
      <c r="A41" s="145"/>
      <c r="B41" s="137"/>
      <c r="C41" s="137"/>
      <c r="D41" s="137"/>
    </row>
    <row r="42" spans="1:4" ht="13.5" hidden="1" x14ac:dyDescent="0.25">
      <c r="A42" s="145"/>
      <c r="B42" s="137" t="s">
        <v>700</v>
      </c>
      <c r="C42" s="137"/>
      <c r="D42" s="137"/>
    </row>
    <row r="43" spans="1:4" ht="13.5" hidden="1" x14ac:dyDescent="0.25">
      <c r="A43" s="145"/>
      <c r="B43" s="137"/>
      <c r="C43" s="137"/>
      <c r="D43" s="137"/>
    </row>
    <row r="44" spans="1:4" ht="14.25" hidden="1" x14ac:dyDescent="0.25">
      <c r="A44" s="145"/>
      <c r="B44" s="238" t="str">
        <f>CONCATENATE("Gross 
Floor Area 
",IF(Instructions!$F$10="SI Units","(sq m)","(sq ft)"))</f>
        <v>Gross 
Floor Area 
(sq ft)</v>
      </c>
      <c r="C44" s="239"/>
      <c r="D44" s="148">
        <v>0</v>
      </c>
    </row>
    <row r="45" spans="1:4" ht="14.25" hidden="1" x14ac:dyDescent="0.25">
      <c r="A45" s="145"/>
      <c r="B45" s="235" t="s">
        <v>719</v>
      </c>
      <c r="C45" s="235"/>
      <c r="D45" s="149">
        <v>0</v>
      </c>
    </row>
    <row r="46" spans="1:4" ht="14.25" hidden="1" x14ac:dyDescent="0.25">
      <c r="A46" s="145"/>
      <c r="B46" s="236" t="s">
        <v>723</v>
      </c>
      <c r="C46" s="237"/>
      <c r="D46" s="149">
        <v>0</v>
      </c>
    </row>
    <row r="47" spans="1:4" ht="13.5" hidden="1" x14ac:dyDescent="0.25">
      <c r="A47" s="145"/>
      <c r="B47" s="137"/>
      <c r="C47" s="137"/>
      <c r="D47" s="137"/>
    </row>
    <row r="48" spans="1:4" ht="13.5" hidden="1" x14ac:dyDescent="0.25">
      <c r="A48" s="145"/>
      <c r="B48" s="137" t="s">
        <v>701</v>
      </c>
      <c r="C48" s="137"/>
      <c r="D48" s="137"/>
    </row>
    <row r="49" spans="1:4" ht="13.5" hidden="1" x14ac:dyDescent="0.25">
      <c r="A49" s="145"/>
      <c r="B49" s="137"/>
      <c r="C49" s="137"/>
      <c r="D49" s="137"/>
    </row>
    <row r="50" spans="1:4" ht="14.25" hidden="1" x14ac:dyDescent="0.25">
      <c r="A50" s="145"/>
      <c r="B50" s="238" t="str">
        <f>CONCATENATE("Gross 
Floor Area 
",IF(Instructions!$F$10="SI units (meters)","(sq m)","(sq ft)"))</f>
        <v>Gross 
Floor Area 
(sq ft)</v>
      </c>
      <c r="C50" s="239"/>
      <c r="D50" s="148">
        <v>0</v>
      </c>
    </row>
    <row r="51" spans="1:4" ht="14.25" hidden="1" x14ac:dyDescent="0.25">
      <c r="A51" s="145"/>
      <c r="B51" s="235" t="s">
        <v>719</v>
      </c>
      <c r="C51" s="235"/>
      <c r="D51" s="149">
        <v>0</v>
      </c>
    </row>
    <row r="52" spans="1:4" ht="14.25" hidden="1" x14ac:dyDescent="0.25">
      <c r="A52" s="145"/>
      <c r="B52" s="236" t="s">
        <v>723</v>
      </c>
      <c r="C52" s="237"/>
      <c r="D52" s="149">
        <v>0</v>
      </c>
    </row>
    <row r="53" spans="1:4" ht="13.5" hidden="1" x14ac:dyDescent="0.25">
      <c r="A53" s="145"/>
      <c r="B53" s="137"/>
      <c r="C53" s="137"/>
      <c r="D53" s="137"/>
    </row>
    <row r="54" spans="1:4" ht="13.5" hidden="1" x14ac:dyDescent="0.25">
      <c r="A54" s="145"/>
      <c r="B54" s="137" t="s">
        <v>702</v>
      </c>
      <c r="C54" s="137"/>
      <c r="D54" s="137"/>
    </row>
    <row r="55" spans="1:4" ht="13.5" hidden="1" x14ac:dyDescent="0.25">
      <c r="A55" s="145"/>
      <c r="B55" s="137"/>
      <c r="C55" s="137"/>
      <c r="D55" s="137"/>
    </row>
    <row r="56" spans="1:4" ht="14.25" hidden="1" x14ac:dyDescent="0.25">
      <c r="A56" s="145"/>
      <c r="B56" s="156" t="s">
        <v>594</v>
      </c>
      <c r="C56" s="151"/>
      <c r="D56" s="152">
        <v>0</v>
      </c>
    </row>
    <row r="57" spans="1:4" ht="14.25" hidden="1" x14ac:dyDescent="0.25">
      <c r="A57" s="145"/>
      <c r="B57" s="156" t="s">
        <v>591</v>
      </c>
      <c r="C57" s="151"/>
      <c r="D57" s="152">
        <v>0</v>
      </c>
    </row>
    <row r="58" spans="1:4" ht="14.25" hidden="1" x14ac:dyDescent="0.25">
      <c r="A58" s="145"/>
      <c r="B58" s="236" t="s">
        <v>723</v>
      </c>
      <c r="C58" s="237"/>
      <c r="D58" s="149">
        <v>0</v>
      </c>
    </row>
    <row r="59" spans="1:4" ht="13.5" hidden="1" x14ac:dyDescent="0.25">
      <c r="A59" s="145"/>
      <c r="B59" s="137"/>
      <c r="C59" s="137"/>
      <c r="D59" s="137"/>
    </row>
    <row r="60" spans="1:4" ht="13.5" hidden="1" x14ac:dyDescent="0.25">
      <c r="A60" s="145"/>
      <c r="B60" s="137" t="s">
        <v>726</v>
      </c>
      <c r="C60" s="137"/>
      <c r="D60" s="137"/>
    </row>
    <row r="61" spans="1:4" ht="13.5" hidden="1" x14ac:dyDescent="0.25">
      <c r="A61" s="145"/>
      <c r="B61" s="137"/>
      <c r="C61" s="137"/>
      <c r="D61" s="137"/>
    </row>
    <row r="62" spans="1:4" ht="14.25" hidden="1" x14ac:dyDescent="0.25">
      <c r="A62" s="145"/>
      <c r="B62" s="156" t="s">
        <v>594</v>
      </c>
      <c r="C62" s="151"/>
      <c r="D62" s="152">
        <v>0</v>
      </c>
    </row>
    <row r="63" spans="1:4" ht="14.25" hidden="1" x14ac:dyDescent="0.25">
      <c r="A63" s="145"/>
      <c r="B63" s="156" t="s">
        <v>591</v>
      </c>
      <c r="C63" s="151"/>
      <c r="D63" s="152">
        <v>0</v>
      </c>
    </row>
    <row r="64" spans="1:4" ht="14.25" hidden="1" x14ac:dyDescent="0.25">
      <c r="A64" s="145"/>
      <c r="B64" s="236" t="s">
        <v>723</v>
      </c>
      <c r="C64" s="237"/>
      <c r="D64" s="149">
        <v>0</v>
      </c>
    </row>
  </sheetData>
  <mergeCells count="21">
    <mergeCell ref="B4:D4"/>
    <mergeCell ref="N5:R5"/>
    <mergeCell ref="F24:G24"/>
    <mergeCell ref="B30:C30"/>
    <mergeCell ref="B38:C38"/>
    <mergeCell ref="H5:I5"/>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formula1>0</formula1>
      <formula2>168</formula2>
    </dataValidation>
    <dataValidation type="whole" allowBlank="1" showInputMessage="1" showErrorMessage="1" errorTitle="Gross floor area" error="It can accepts integer values from 0 to 5 million" sqref="D24 D38 D44 D50">
      <formula1>0</formula1>
      <formula2>5000000</formula2>
    </dataValidation>
    <dataValidation type="decimal" operator="lessThanOrEqual" allowBlank="1" showInputMessage="1" showErrorMessage="1" sqref="D19">
      <formula1>20499999</formula1>
    </dataValidation>
    <dataValidation type="list" allowBlank="1" showInputMessage="1" showErrorMessage="1" error="Please select from drop-down" sqref="C7:C18">
      <formula1>spacetype</formula1>
    </dataValidation>
    <dataValidation type="whole" allowBlank="1" showInputMessage="1" showErrorMessage="1" errorTitle="Operating Hours" error="Integers are only allowed in this field and may not exceed 168" sqref="E7:E18">
      <formula1>1</formula1>
      <formula2>168</formula2>
    </dataValidation>
    <dataValidation type="whole" allowBlank="1" showInputMessage="1" showErrorMessage="1" errorTitle="Regular Building Occupants" error="Integers are only allowed in this fields" sqref="F7:F18">
      <formula1>0</formula1>
      <formula2>99999999999999</formula2>
    </dataValidation>
    <dataValidation type="whole" allowBlank="1" showInputMessage="1" showErrorMessage="1" errorTitle="Visitors per Day" error="Integers are only allowed in this fields" sqref="H7:H18">
      <formula1>0</formula1>
      <formula2>99999999999999</formula2>
    </dataValidation>
    <dataValidation type="time" allowBlank="1" showInputMessage="1" showErrorMessage="1" error="Please enter valid number of hours and minutes" sqref="I7:I18">
      <formula1>0</formula1>
      <formula2>0.999305555555556</formula2>
    </dataValidation>
    <dataValidation type="list" showInputMessage="1" showErrorMessage="1" sqref="N7:R18">
      <formula1>"Include, Exclude"</formula1>
    </dataValidation>
    <dataValidation type="decimal" operator="lessThanOrEqual" allowBlank="1" showInputMessage="1" showErrorMessage="1" errorTitle="Error" error="Value of Gross Floor Area cannot exceed 20499999" sqref="D7:D18">
      <formula1>20499999</formula1>
    </dataValidation>
    <dataValidation type="date" operator="lessThanOrEqual" allowBlank="1" showInputMessage="1" showErrorMessage="1" errorTitle="Error" error="Please enter a valid date" sqref="D30">
      <formula1>TODAY()</formula1>
    </dataValidation>
    <dataValidation type="whole" allowBlank="1" showInputMessage="1" showErrorMessage="1" errorTitle="Error" error="Integers are only allowed in this field and may not exceed 7" sqref="G7:G18">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1</xdr:col>
                    <xdr:colOff>19050</xdr:colOff>
                    <xdr:row>32</xdr:row>
                    <xdr:rowOff>85725</xdr:rowOff>
                  </from>
                  <to>
                    <xdr:col>1</xdr:col>
                    <xdr:colOff>1752600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3" t="s">
        <v>588</v>
      </c>
      <c r="B1" s="3" t="str">
        <f ca="1">MID(CELL("filename",A1),FIND("]",CELL("filename",A1))+1,256)</f>
        <v>base_w</v>
      </c>
      <c r="C1" s="1"/>
      <c r="D1" s="78" t="str">
        <f ca="1">B1</f>
        <v>base_w</v>
      </c>
      <c r="E1" s="1"/>
    </row>
    <row r="2" spans="1:9" ht="16.5" x14ac:dyDescent="0.3">
      <c r="A2" s="3" t="s">
        <v>588</v>
      </c>
      <c r="B2" s="220" t="s">
        <v>562</v>
      </c>
      <c r="C2" s="208"/>
      <c r="D2" s="214"/>
      <c r="E2" s="1"/>
    </row>
    <row r="3" spans="1:9" ht="16.5" x14ac:dyDescent="0.3">
      <c r="A3" s="3" t="s">
        <v>588</v>
      </c>
      <c r="B3" s="219" t="s">
        <v>669</v>
      </c>
      <c r="C3" s="211"/>
      <c r="D3" s="214" t="s">
        <v>664</v>
      </c>
      <c r="E3" s="1"/>
    </row>
    <row r="4" spans="1:9" ht="16.5" x14ac:dyDescent="0.3">
      <c r="A4" s="3" t="s">
        <v>588</v>
      </c>
      <c r="B4" s="219" t="s">
        <v>563</v>
      </c>
      <c r="C4" s="211"/>
      <c r="D4" s="214" t="s">
        <v>523</v>
      </c>
      <c r="E4" s="1"/>
    </row>
    <row r="5" spans="1:9" ht="15" customHeight="1" x14ac:dyDescent="0.3">
      <c r="A5" s="3" t="s">
        <v>588</v>
      </c>
      <c r="B5" s="158" t="s">
        <v>670</v>
      </c>
      <c r="C5" s="213"/>
      <c r="D5" s="214"/>
      <c r="E5" s="1"/>
    </row>
    <row r="6" spans="1:9" ht="31.5" customHeight="1" x14ac:dyDescent="0.25">
      <c r="A6" s="3">
        <v>10</v>
      </c>
      <c r="B6" s="215" t="s">
        <v>542</v>
      </c>
      <c r="C6" s="215" t="s">
        <v>543</v>
      </c>
      <c r="D6" s="163" t="str">
        <f>CONCATENATE("Period Consumption 
","(",D4,")")</f>
        <v>Period Consumption 
(gal)</v>
      </c>
      <c r="E6" s="1"/>
    </row>
    <row r="7" spans="1:9" x14ac:dyDescent="0.25">
      <c r="A7" s="3"/>
      <c r="B7" s="205"/>
      <c r="C7" s="205"/>
      <c r="D7" s="206"/>
      <c r="E7" s="1"/>
    </row>
    <row r="8" spans="1:9" x14ac:dyDescent="0.25">
      <c r="A8" s="3"/>
      <c r="B8" s="14"/>
      <c r="C8" s="14"/>
      <c r="D8" s="17"/>
      <c r="E8" s="1"/>
    </row>
    <row r="9" spans="1:9" ht="6" customHeight="1" x14ac:dyDescent="0.25">
      <c r="A9" s="3"/>
      <c r="B9" s="14"/>
      <c r="C9" s="14"/>
      <c r="D9" s="17"/>
      <c r="E9" s="1"/>
      <c r="I9" t="s">
        <v>664</v>
      </c>
    </row>
    <row r="10" spans="1:9" ht="25.5" customHeight="1" x14ac:dyDescent="0.25">
      <c r="A10" s="3" t="s">
        <v>544</v>
      </c>
      <c r="B10" s="15"/>
      <c r="C10" s="15"/>
      <c r="D10" s="15"/>
      <c r="E10" s="1"/>
      <c r="I10" t="s">
        <v>665</v>
      </c>
    </row>
    <row r="11" spans="1:9" x14ac:dyDescent="0.25">
      <c r="I11" t="s">
        <v>666</v>
      </c>
    </row>
    <row r="15" spans="1:9" x14ac:dyDescent="0.25">
      <c r="H15" t="s">
        <v>523</v>
      </c>
    </row>
    <row r="16" spans="1:9" x14ac:dyDescent="0.25">
      <c r="H16" t="s">
        <v>526</v>
      </c>
    </row>
    <row r="17" spans="8:8" x14ac:dyDescent="0.25">
      <c r="H17" t="s">
        <v>545</v>
      </c>
    </row>
    <row r="18" spans="8:8" x14ac:dyDescent="0.25">
      <c r="H18" t="s">
        <v>546</v>
      </c>
    </row>
    <row r="19" spans="8:8" x14ac:dyDescent="0.25">
      <c r="H19" t="s">
        <v>520</v>
      </c>
    </row>
    <row r="20" spans="8:8" x14ac:dyDescent="0.25">
      <c r="H20" t="s">
        <v>525</v>
      </c>
    </row>
    <row r="21" spans="8:8" x14ac:dyDescent="0.25">
      <c r="H21" t="s">
        <v>540</v>
      </c>
    </row>
    <row r="22" spans="8:8" x14ac:dyDescent="0.25">
      <c r="H22" t="s">
        <v>559</v>
      </c>
    </row>
    <row r="23" spans="8:8" x14ac:dyDescent="0.25">
      <c r="H23" t="s">
        <v>522</v>
      </c>
    </row>
    <row r="24" spans="8:8" x14ac:dyDescent="0.25">
      <c r="H24" s="2" t="s">
        <v>541</v>
      </c>
    </row>
    <row r="25" spans="8:8" x14ac:dyDescent="0.25">
      <c r="H25" s="2" t="s">
        <v>560</v>
      </c>
    </row>
    <row r="26" spans="8:8" x14ac:dyDescent="0.25">
      <c r="H26" s="2" t="s">
        <v>561</v>
      </c>
    </row>
    <row r="27" spans="8:8" x14ac:dyDescent="0.25">
      <c r="H27" t="s">
        <v>667</v>
      </c>
    </row>
    <row r="28" spans="8:8" x14ac:dyDescent="0.25">
      <c r="H28" t="s">
        <v>668</v>
      </c>
    </row>
    <row r="29" spans="8:8" x14ac:dyDescent="0.25">
      <c r="H29" t="s">
        <v>662</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TV2kpPRmQrtrowrbs8Wmq1SipU/faNaygFDIXDHFHFF+fDwjlhuXDHm9P4mWI/oQvPmyWyK8xUCAPpyvjDzACQ==" saltValue="VULHARtAlDAP5GNZ9tTpZw==" spinCount="100000" sheet="1" objects="1" scenarios="1"/>
  <dataValidations count="6">
    <dataValidation type="list" allowBlank="1" showInputMessage="1" showErrorMessage="1" error="Units cannot edit." sqref="D4">
      <formula1>watUni</formula1>
    </dataValidation>
    <dataValidation type="list" allowBlank="1" showInputMessage="1" showErrorMessage="1" sqref="D3">
      <formula1>WaterDrp</formula1>
    </dataValidation>
    <dataValidation allowBlank="1" showInputMessage="1" showErrorMessage="1" error="Please enter a valid date in mm/dd/yyyy format." sqref="B8:D10"/>
    <dataValidation type="date" allowBlank="1" showInputMessage="1" showErrorMessage="1" error="Please enter a valid date in mm/dd/yyyy format." sqref="B7:C7">
      <formula1>1</formula1>
      <formula2>73415</formula2>
    </dataValidation>
    <dataValidation type="decimal" allowBlank="1" showInputMessage="1" showErrorMessage="1" error="Please enter a valid reading." sqref="D7">
      <formula1>0</formula1>
      <formula2>9999999999</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4" sqref="D14"/>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3" t="s">
        <v>588</v>
      </c>
      <c r="B1" s="3" t="str">
        <f ca="1">MID(CELL("filename",A1),FIND("]",CELL("filename",A1))+1,256)</f>
        <v>base_e</v>
      </c>
      <c r="C1" s="1"/>
      <c r="D1" s="3" t="str">
        <f ca="1">B1</f>
        <v>base_e</v>
      </c>
      <c r="E1" s="1"/>
    </row>
    <row r="2" spans="1:10" ht="16.5" x14ac:dyDescent="0.3">
      <c r="A2" s="3" t="s">
        <v>588</v>
      </c>
      <c r="B2" s="220" t="s">
        <v>562</v>
      </c>
      <c r="C2" s="208"/>
      <c r="D2" s="214"/>
      <c r="E2" s="1"/>
    </row>
    <row r="3" spans="1:10" ht="16.5" x14ac:dyDescent="0.3">
      <c r="A3" s="3" t="s">
        <v>588</v>
      </c>
      <c r="B3" s="219" t="s">
        <v>669</v>
      </c>
      <c r="C3" s="211"/>
      <c r="D3" s="214" t="s">
        <v>663</v>
      </c>
      <c r="E3" s="1"/>
    </row>
    <row r="4" spans="1:10" ht="16.5" x14ac:dyDescent="0.3">
      <c r="A4" s="3" t="s">
        <v>588</v>
      </c>
      <c r="B4" s="219" t="s">
        <v>563</v>
      </c>
      <c r="C4" s="211"/>
      <c r="D4" s="214" t="s">
        <v>528</v>
      </c>
      <c r="E4" s="1"/>
    </row>
    <row r="5" spans="1:10" ht="15" customHeight="1" x14ac:dyDescent="0.3">
      <c r="A5" s="3" t="s">
        <v>588</v>
      </c>
      <c r="B5" s="158" t="s">
        <v>670</v>
      </c>
      <c r="C5" s="213"/>
      <c r="D5" s="214"/>
      <c r="E5" s="1"/>
    </row>
    <row r="6" spans="1:10" ht="28.5" customHeight="1" x14ac:dyDescent="0.25">
      <c r="A6" s="3">
        <v>10</v>
      </c>
      <c r="B6" s="215" t="s">
        <v>542</v>
      </c>
      <c r="C6" s="215" t="s">
        <v>543</v>
      </c>
      <c r="D6" s="163" t="str">
        <f>CONCATENATE("Period Consumption 
","(",D4,")")</f>
        <v>Period Consumption 
(kWh)</v>
      </c>
      <c r="E6" s="1"/>
    </row>
    <row r="7" spans="1:10" x14ac:dyDescent="0.25">
      <c r="A7" s="4"/>
      <c r="B7" s="205"/>
      <c r="C7" s="205"/>
      <c r="D7" s="216"/>
      <c r="E7" s="1"/>
    </row>
    <row r="8" spans="1:10" ht="12.75" customHeight="1" x14ac:dyDescent="0.25">
      <c r="A8" s="3"/>
      <c r="B8" s="14"/>
      <c r="C8" s="14"/>
      <c r="D8" s="17"/>
      <c r="E8" s="1"/>
      <c r="J8" s="2" t="s">
        <v>547</v>
      </c>
    </row>
    <row r="9" spans="1:10" ht="13.5" hidden="1" customHeight="1" x14ac:dyDescent="0.25">
      <c r="A9" s="3"/>
      <c r="B9" s="15"/>
      <c r="C9" s="15"/>
      <c r="D9" s="15"/>
      <c r="E9" s="1"/>
      <c r="J9" t="s">
        <v>663</v>
      </c>
    </row>
    <row r="10" spans="1:10" ht="25.5" customHeight="1" x14ac:dyDescent="0.25">
      <c r="A10" s="3" t="s">
        <v>544</v>
      </c>
      <c r="B10" s="15"/>
      <c r="C10" s="15"/>
      <c r="D10" s="15"/>
      <c r="E10" s="1"/>
      <c r="J10" s="2" t="s">
        <v>671</v>
      </c>
    </row>
    <row r="15" spans="1:10" x14ac:dyDescent="0.25">
      <c r="G15" s="2" t="s">
        <v>528</v>
      </c>
    </row>
    <row r="16" spans="1:10" x14ac:dyDescent="0.25">
      <c r="G16" s="2" t="s">
        <v>535</v>
      </c>
    </row>
    <row r="17" spans="7:7" x14ac:dyDescent="0.25">
      <c r="G17" s="2" t="s">
        <v>550</v>
      </c>
    </row>
    <row r="18" spans="7:7" x14ac:dyDescent="0.25">
      <c r="G18" s="2" t="s">
        <v>524</v>
      </c>
    </row>
    <row r="19" spans="7:7" x14ac:dyDescent="0.25">
      <c r="G19" s="2" t="s">
        <v>548</v>
      </c>
    </row>
    <row r="21" spans="7:7" x14ac:dyDescent="0.25">
      <c r="G21" s="2" t="s">
        <v>547</v>
      </c>
    </row>
  </sheetData>
  <sheetProtection algorithmName="SHA-512" hashValue="XOP6pu35owB+fc/DRBZYnfo/J3jE9pl4MQWsq9PaJXULlsaScEPeDBE0+roLTkS/aXesA4uGD9qHzOcVxGRuzw==" saltValue="Twn88FDOYGHaYPPCuTWGug==" spinCount="100000" sheet="1" objects="1" scenarios="1"/>
  <dataValidations count="6">
    <dataValidation type="list" allowBlank="1" showInputMessage="1" showErrorMessage="1" error="Units cannot edit." sqref="D4">
      <formula1>elecName</formula1>
    </dataValidation>
    <dataValidation type="list" allowBlank="1" showInputMessage="1" showErrorMessage="1" sqref="D3">
      <formula1>ElectricityDrp</formula1>
    </dataValidation>
    <dataValidation allowBlank="1" showInputMessage="1" showErrorMessage="1" error="Please enter a valid date in mm/dd/yyyy format." sqref="B8:D10"/>
    <dataValidation type="date" allowBlank="1" showInputMessage="1" showErrorMessage="1" error="Please enter a valid date in mm/dd/yyyy format." sqref="B7:C7">
      <formula1>1</formula1>
      <formula2>73415</formula2>
    </dataValidation>
    <dataValidation type="decimal" allowBlank="1" showInputMessage="1" showErrorMessage="1" error="Please enter a valid reading." sqref="D7">
      <formula1>0</formula1>
      <formula2>9999999999</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37"/>
  <sheetViews>
    <sheetView workbookViewId="0">
      <pane xSplit="1" ySplit="6" topLeftCell="B7" activePane="bottomRight" state="frozen"/>
      <selection pane="topRight" activeCell="B1" sqref="B1"/>
      <selection pane="bottomLeft" activeCell="A8" sqref="A8"/>
      <selection pane="bottomRight" activeCell="C15" sqref="C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base_f</v>
      </c>
      <c r="C1" s="1"/>
      <c r="D1" s="3" t="str">
        <f ca="1">B1</f>
        <v>base_f</v>
      </c>
      <c r="E1" s="1"/>
    </row>
    <row r="2" spans="1:24" ht="15" customHeight="1" x14ac:dyDescent="0.3">
      <c r="A2" s="3" t="s">
        <v>588</v>
      </c>
      <c r="B2" s="220" t="s">
        <v>562</v>
      </c>
      <c r="C2" s="208"/>
      <c r="D2" s="214"/>
      <c r="E2" s="1"/>
    </row>
    <row r="3" spans="1:24" ht="29.25" customHeight="1" x14ac:dyDescent="0.25">
      <c r="A3" s="3" t="s">
        <v>588</v>
      </c>
      <c r="B3" s="219" t="s">
        <v>564</v>
      </c>
      <c r="C3" s="221"/>
      <c r="D3" s="222" t="s">
        <v>511</v>
      </c>
      <c r="E3" s="1"/>
    </row>
    <row r="4" spans="1:24" ht="15.75" customHeight="1" x14ac:dyDescent="0.3">
      <c r="A4" s="3" t="s">
        <v>588</v>
      </c>
      <c r="B4" s="219" t="s">
        <v>563</v>
      </c>
      <c r="C4" s="211"/>
      <c r="D4" s="212" t="s">
        <v>528</v>
      </c>
      <c r="E4" s="1"/>
    </row>
    <row r="5" spans="1:24" ht="15" customHeight="1" x14ac:dyDescent="0.3">
      <c r="A5" s="3" t="s">
        <v>588</v>
      </c>
      <c r="B5" s="158" t="s">
        <v>670</v>
      </c>
      <c r="C5" s="213"/>
      <c r="D5" s="214"/>
      <c r="E5" s="1"/>
    </row>
    <row r="6" spans="1:24" ht="27.75" customHeight="1" x14ac:dyDescent="0.25">
      <c r="A6" s="3">
        <v>10</v>
      </c>
      <c r="B6" s="215" t="s">
        <v>542</v>
      </c>
      <c r="C6" s="215" t="s">
        <v>543</v>
      </c>
      <c r="D6" s="163" t="str">
        <f>CONCATENATE("Period Consumption 
","(",D4,")")</f>
        <v>Period Consumption 
(kWh)</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fxjLdhcVpIuhhIGtZpGfCcJSEy+m1uy91YVkIP2N5pc566du0vCK3l9C1uUTly5fOJJ7yYbMg3j3Ubfh39M5zA==" saltValue="/+olpRwBJhOuTuVfHUG7uw==" spinCount="100000" sheet="1" objects="1" scenarios="1"/>
  <dataValidations count="7">
    <dataValidation type="list" allowBlank="1" showInputMessage="1" showErrorMessage="1" sqref="G15:X15">
      <formula1>$G$15:$X$15</formula1>
    </dataValidation>
    <dataValidation type="list" showInputMessage="1" showErrorMessage="1" error="Units cannot edit." sqref="D4">
      <formula1>myItemListH</formula1>
    </dataValidation>
    <dataValidation type="list" allowBlank="1" showInputMessage="1" showErrorMessage="1" error="Fuel type cannot edit." sqref="D3">
      <formula1>myCategoryH</formula1>
    </dataValidation>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12"/>
  <sheetViews>
    <sheetView zoomScaleNormal="100" workbookViewId="0"/>
  </sheetViews>
  <sheetFormatPr defaultColWidth="9.140625" defaultRowHeight="15" x14ac:dyDescent="0.25"/>
  <cols>
    <col min="1" max="1" width="2.7109375" style="5" customWidth="1"/>
    <col min="2" max="4" width="20.7109375" style="2" customWidth="1"/>
    <col min="5" max="5" width="3.7109375" style="2" customWidth="1"/>
    <col min="6" max="16384" width="9.140625" style="2"/>
  </cols>
  <sheetData>
    <row r="1" spans="1:6" x14ac:dyDescent="0.25">
      <c r="A1" s="3" t="s">
        <v>588</v>
      </c>
      <c r="B1" s="1"/>
      <c r="C1" s="1"/>
      <c r="D1" s="1"/>
      <c r="E1" s="1"/>
    </row>
    <row r="2" spans="1:6" ht="15.75" x14ac:dyDescent="0.3">
      <c r="A2" s="3" t="s">
        <v>588</v>
      </c>
      <c r="B2" s="253" t="s">
        <v>562</v>
      </c>
      <c r="C2" s="254"/>
      <c r="D2" s="157" t="s">
        <v>590</v>
      </c>
      <c r="E2" s="1"/>
    </row>
    <row r="3" spans="1:6" ht="15.75" x14ac:dyDescent="0.3">
      <c r="A3" s="3" t="s">
        <v>588</v>
      </c>
      <c r="B3" s="251" t="s">
        <v>669</v>
      </c>
      <c r="C3" s="252"/>
      <c r="D3" s="157" t="s">
        <v>556</v>
      </c>
      <c r="E3" s="1"/>
    </row>
    <row r="4" spans="1:6" ht="15" customHeight="1" x14ac:dyDescent="0.3">
      <c r="A4" s="3" t="s">
        <v>588</v>
      </c>
      <c r="B4" s="158" t="s">
        <v>563</v>
      </c>
      <c r="C4" s="159"/>
      <c r="D4" s="157" t="s">
        <v>572</v>
      </c>
      <c r="E4" s="1"/>
    </row>
    <row r="5" spans="1:6" ht="20.45" customHeight="1" x14ac:dyDescent="0.3">
      <c r="A5" s="3"/>
      <c r="B5" s="160" t="s">
        <v>604</v>
      </c>
      <c r="C5" s="161"/>
      <c r="D5" s="162"/>
      <c r="E5" s="1"/>
    </row>
    <row r="6" spans="1:6" ht="54" customHeight="1" x14ac:dyDescent="0.25">
      <c r="A6" s="3">
        <v>12</v>
      </c>
      <c r="B6" s="163" t="s">
        <v>542</v>
      </c>
      <c r="C6" s="163" t="s">
        <v>543</v>
      </c>
      <c r="D6" s="163" t="str">
        <f>CONCATENATE("Average 95th Percentile 
CO2 Reading 
","(",D4,")")</f>
        <v>Average 95th Percentile 
CO2 Reading 
(ppm)</v>
      </c>
      <c r="E6" s="1"/>
      <c r="F6" s="24"/>
    </row>
    <row r="7" spans="1:6" x14ac:dyDescent="0.25">
      <c r="A7" s="25">
        <f>IFERROR(IF(D7="",1,0),1)</f>
        <v>0</v>
      </c>
      <c r="B7" s="32">
        <f>INDEX(Dates,1,E7)</f>
        <v>42743</v>
      </c>
      <c r="C7" s="32">
        <f t="shared" ref="C7" si="0">B7</f>
        <v>42743</v>
      </c>
      <c r="D7" s="33">
        <f>HLOOKUP(B7,ReadingTable,2,FALSE)</f>
        <v>22</v>
      </c>
      <c r="E7" s="38">
        <f>IF(E6="",7,E6+1)</f>
        <v>7</v>
      </c>
    </row>
    <row r="8" spans="1:6" x14ac:dyDescent="0.25">
      <c r="A8" s="25">
        <f t="shared" ref="A8:A9" si="1">IFERROR(IF(D8="",1,0),1)</f>
        <v>0</v>
      </c>
      <c r="B8" s="32">
        <f>INDEX(Dates,1,E8)</f>
        <v>43108</v>
      </c>
      <c r="C8" s="32">
        <f t="shared" ref="C8:C9" si="2">B8</f>
        <v>43108</v>
      </c>
      <c r="D8" s="33">
        <f>HLOOKUP(B8,ReadingTable,2,FALSE)</f>
        <v>33</v>
      </c>
      <c r="E8" s="38">
        <f t="shared" ref="E8:E9" si="3">IF(E7="",7,E7+1)</f>
        <v>8</v>
      </c>
    </row>
    <row r="9" spans="1:6" x14ac:dyDescent="0.25">
      <c r="A9" s="25">
        <f t="shared" si="1"/>
        <v>0</v>
      </c>
      <c r="B9" s="32">
        <f>INDEX(Dates,1,E9)</f>
        <v>43474</v>
      </c>
      <c r="C9" s="32">
        <f t="shared" si="2"/>
        <v>43474</v>
      </c>
      <c r="D9" s="33">
        <f>HLOOKUP(B9,ReadingTable,2,FALSE)</f>
        <v>44</v>
      </c>
      <c r="E9" s="38">
        <f t="shared" si="3"/>
        <v>9</v>
      </c>
    </row>
    <row r="10" spans="1:6" x14ac:dyDescent="0.25">
      <c r="A10" s="3" t="s">
        <v>544</v>
      </c>
      <c r="B10" s="1"/>
      <c r="C10" s="1"/>
      <c r="D10" s="1"/>
      <c r="E10" s="1"/>
    </row>
    <row r="11" spans="1:6" x14ac:dyDescent="0.25">
      <c r="A11" s="3"/>
      <c r="B11" s="1"/>
      <c r="C11" s="1"/>
      <c r="D11" s="1"/>
      <c r="E11" s="1"/>
    </row>
    <row r="12" spans="1:6" ht="36.6" customHeight="1" x14ac:dyDescent="0.25">
      <c r="A12" s="3" t="s">
        <v>544</v>
      </c>
      <c r="B12" s="15"/>
      <c r="C12" s="15"/>
      <c r="D12" s="15"/>
      <c r="E12" s="1"/>
    </row>
  </sheetData>
  <sheetProtection algorithmName="SHA-512" hashValue="XyUmz3cUjj+qVt4qVidyUFNbXWQlgH5y1/vF/2wEEAyO6fCJgZ1vpSAHf8ISgHwTwMKRVImlZrQu0/ln3psCnQ==" saltValue="gODRe9cadviQmXudVvYdDw==" spinCount="100000" sheet="1" objects="1" scenarios="1"/>
  <mergeCells count="2">
    <mergeCell ref="B3:C3"/>
    <mergeCell ref="B2:C2"/>
  </mergeCells>
  <dataValidations count="3">
    <dataValidation type="whole" allowBlank="1" showInputMessage="1" showErrorMessage="1" sqref="A6">
      <formula1>0</formula1>
      <formula2>99999</formula2>
    </dataValidation>
    <dataValidation type="date" allowBlank="1" showInputMessage="1" showErrorMessage="1" error="Please enter a valid date in mm/dd/yyyy format." sqref="B7:C9">
      <formula1>1</formula1>
      <formula2>73051</formula2>
    </dataValidation>
    <dataValidation type="decimal" allowBlank="1" showInputMessage="1" showErrorMessage="1" error="Please enter a valid reading." sqref="D7:D9">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11</xdr:row>
                    <xdr:rowOff>9525</xdr:rowOff>
                  </from>
                  <to>
                    <xdr:col>2</xdr:col>
                    <xdr:colOff>447675</xdr:colOff>
                    <xdr:row>11</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11</xdr:row>
                    <xdr:rowOff>400050</xdr:rowOff>
                  </from>
                  <to>
                    <xdr:col>3</xdr:col>
                    <xdr:colOff>981075</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24"/>
  <sheetViews>
    <sheetView showGridLines="0" zoomScale="90" zoomScaleNormal="90" workbookViewId="0">
      <pane ySplit="2" topLeftCell="A3" activePane="bottomLeft" state="frozen"/>
      <selection activeCell="D7" sqref="D7"/>
      <selection pane="bottomLeft" activeCell="D3" sqref="D3:D5"/>
    </sheetView>
  </sheetViews>
  <sheetFormatPr defaultColWidth="14.7109375" defaultRowHeight="12.75" x14ac:dyDescent="0.25"/>
  <cols>
    <col min="1" max="1" width="4.28515625" style="26" customWidth="1"/>
    <col min="2" max="2" width="18.7109375" style="27" customWidth="1"/>
    <col min="3" max="16384" width="14.7109375" style="27"/>
  </cols>
  <sheetData>
    <row r="1" spans="1:9" ht="36" customHeight="1" x14ac:dyDescent="0.25">
      <c r="A1" s="164" t="s">
        <v>588</v>
      </c>
      <c r="B1" s="165" t="s">
        <v>602</v>
      </c>
      <c r="C1" s="166"/>
      <c r="D1" s="166"/>
      <c r="E1" s="166"/>
      <c r="F1" s="166"/>
    </row>
    <row r="2" spans="1:9" ht="33.75" customHeight="1" x14ac:dyDescent="0.25">
      <c r="A2" s="164" t="s">
        <v>588</v>
      </c>
      <c r="B2" s="167" t="s">
        <v>573</v>
      </c>
      <c r="C2" s="168" t="s">
        <v>675</v>
      </c>
      <c r="D2" s="169" t="s">
        <v>574</v>
      </c>
      <c r="E2" s="170" t="s">
        <v>575</v>
      </c>
      <c r="F2" s="171" t="s">
        <v>581</v>
      </c>
    </row>
    <row r="3" spans="1:9" ht="14.25" x14ac:dyDescent="0.25">
      <c r="A3" s="164"/>
      <c r="B3" s="172" t="s">
        <v>745</v>
      </c>
      <c r="C3" s="173">
        <v>1</v>
      </c>
      <c r="D3" s="174">
        <v>42743</v>
      </c>
      <c r="E3" s="175">
        <v>1.3888888888888888E-2</v>
      </c>
      <c r="F3" s="176">
        <v>22</v>
      </c>
    </row>
    <row r="4" spans="1:9" ht="14.25" x14ac:dyDescent="0.25">
      <c r="A4" s="164"/>
      <c r="B4" s="172" t="s">
        <v>745</v>
      </c>
      <c r="C4" s="173">
        <v>2</v>
      </c>
      <c r="D4" s="174">
        <v>43108</v>
      </c>
      <c r="E4" s="175">
        <v>0.1875</v>
      </c>
      <c r="F4" s="176">
        <v>33</v>
      </c>
    </row>
    <row r="5" spans="1:9" ht="14.25" x14ac:dyDescent="0.25">
      <c r="A5" s="164"/>
      <c r="B5" s="172" t="s">
        <v>745</v>
      </c>
      <c r="C5" s="173">
        <v>3</v>
      </c>
      <c r="D5" s="174">
        <v>43474</v>
      </c>
      <c r="E5" s="175">
        <v>0.18055555555555555</v>
      </c>
      <c r="F5" s="176">
        <v>44</v>
      </c>
    </row>
    <row r="6" spans="1:9" ht="39" customHeight="1" x14ac:dyDescent="0.25"/>
    <row r="7" spans="1:9" s="35" customFormat="1" ht="51" customHeight="1" x14ac:dyDescent="0.2">
      <c r="A7" s="26" t="s">
        <v>579</v>
      </c>
      <c r="B7" s="28"/>
      <c r="F7" s="36"/>
      <c r="G7" s="39">
        <f>IF(G9="",1,0)</f>
        <v>0</v>
      </c>
      <c r="H7" s="39">
        <f>IF(H9="",1,0)</f>
        <v>0</v>
      </c>
      <c r="I7" s="39">
        <f>IF(I9="",1,0)</f>
        <v>0</v>
      </c>
    </row>
    <row r="8" spans="1:9" ht="21" customHeight="1" x14ac:dyDescent="0.25">
      <c r="A8" s="26" t="s">
        <v>588</v>
      </c>
      <c r="B8" s="255"/>
      <c r="C8" s="177"/>
      <c r="D8" s="177"/>
      <c r="E8" s="177"/>
      <c r="F8" s="178"/>
      <c r="G8" s="179" t="s">
        <v>574</v>
      </c>
      <c r="H8" s="179" t="s">
        <v>574</v>
      </c>
      <c r="I8" s="179" t="s">
        <v>574</v>
      </c>
    </row>
    <row r="9" spans="1:9" ht="15" customHeight="1" x14ac:dyDescent="0.25">
      <c r="A9" s="26" t="s">
        <v>588</v>
      </c>
      <c r="B9" s="256"/>
      <c r="C9" s="180"/>
      <c r="D9" s="180"/>
      <c r="E9" s="180"/>
      <c r="F9" s="181"/>
      <c r="G9" s="182">
        <f t="array" ref="G9">IFERROR(INDEX($D$3:$D$6, MATCH(0,IF(ISBLANK($D$3:$D$6),1,COUNTIF($F$9:F9, $D$3:$D$6)), 0)),"")</f>
        <v>42743</v>
      </c>
      <c r="H9" s="182">
        <f t="array" ref="H9">IFERROR(INDEX($D$3:$D$6, MATCH(0,IF(ISBLANK($D$3:$D$6),1,COUNTIF($F$9:G9, $D$3:$D$6)), 0)),"")</f>
        <v>43108</v>
      </c>
      <c r="I9" s="182">
        <f t="array" ref="I9">IFERROR(INDEX($D$3:$D$6, MATCH(0,IF(ISBLANK($D$3:$D$6),1,COUNTIF($F$9:H9, $D$3:$D$6)), 0)),"")</f>
        <v>43474</v>
      </c>
    </row>
    <row r="10" spans="1:9" ht="27.75" customHeight="1" x14ac:dyDescent="0.25">
      <c r="A10" s="26" t="s">
        <v>588</v>
      </c>
      <c r="B10" s="257"/>
      <c r="C10" s="183"/>
      <c r="D10" s="183"/>
      <c r="E10" s="183"/>
      <c r="F10" s="184"/>
      <c r="G10" s="185" t="s">
        <v>580</v>
      </c>
      <c r="H10" s="185" t="s">
        <v>580</v>
      </c>
      <c r="I10" s="185" t="s">
        <v>580</v>
      </c>
    </row>
    <row r="11" spans="1:9" ht="15" customHeight="1" x14ac:dyDescent="0.25">
      <c r="A11" s="26">
        <f>IF(B11="",1,0)</f>
        <v>0</v>
      </c>
      <c r="B11" s="186" t="str">
        <f t="array" ref="B11">IFERROR(INDEX($B$3:$B$6, MATCH(0,IF(ISBLANK($B$3:$B$6),1,COUNTIF($B$10:B10, $B$3:$B$6)), 0)),"")</f>
        <v>Gurgaon</v>
      </c>
      <c r="C11" s="187"/>
      <c r="D11" s="187"/>
      <c r="E11" s="187"/>
      <c r="F11" s="188"/>
      <c r="G11" s="189">
        <f t="array" ref="G11">IFERROR(PERCENTILE(IF($B$3:$B$6=$B11,IF($D$3:$D$6=G$9,IF($F$3:$F$6&lt;&gt;"",$F$3:$F$6))),0.95),"")</f>
        <v>22</v>
      </c>
      <c r="H11" s="189">
        <f t="array" ref="H11">IFERROR(PERCENTILE(IF($B$3:$B$6=$B11,IF($D$3:$D$6=H$9,IF($F$3:$F$6&lt;&gt;"",$F$3:$F$6))),0.95),"")</f>
        <v>33</v>
      </c>
      <c r="I11" s="189">
        <f t="array" ref="I11">IFERROR(PERCENTILE(IF($B$3:$B$6=$B11,IF($D$3:$D$6=I$9,IF($F$3:$F$6&lt;&gt;"",$F$3:$F$6))),0.95),"")</f>
        <v>44</v>
      </c>
    </row>
    <row r="12" spans="1:9" ht="9" customHeight="1" x14ac:dyDescent="0.25">
      <c r="B12" s="166"/>
      <c r="C12" s="166"/>
      <c r="D12" s="166"/>
      <c r="E12" s="166"/>
      <c r="F12" s="166"/>
      <c r="G12" s="190"/>
      <c r="H12" s="190"/>
      <c r="I12" s="190"/>
    </row>
    <row r="13" spans="1:9" ht="9" customHeight="1" x14ac:dyDescent="0.25">
      <c r="A13" s="26" t="s">
        <v>544</v>
      </c>
      <c r="B13" s="166"/>
      <c r="C13" s="166"/>
      <c r="D13" s="166"/>
      <c r="E13" s="166"/>
      <c r="F13" s="166"/>
      <c r="G13" s="190"/>
      <c r="H13" s="190"/>
      <c r="I13" s="190"/>
    </row>
    <row r="14" spans="1:9" ht="15" hidden="1" customHeight="1" x14ac:dyDescent="0.25">
      <c r="B14" s="166"/>
      <c r="C14" s="166"/>
      <c r="D14" s="166"/>
      <c r="E14" s="166"/>
      <c r="F14" s="166"/>
      <c r="G14" s="191">
        <f>G9</f>
        <v>42743</v>
      </c>
      <c r="H14" s="191">
        <f>H9</f>
        <v>43108</v>
      </c>
      <c r="I14" s="191">
        <f>I9</f>
        <v>43474</v>
      </c>
    </row>
    <row r="15" spans="1:9" ht="20.25" customHeight="1" x14ac:dyDescent="0.25">
      <c r="B15" s="192" t="s">
        <v>577</v>
      </c>
      <c r="C15" s="193"/>
      <c r="D15" s="193"/>
      <c r="E15" s="193"/>
      <c r="F15" s="194"/>
      <c r="G15" s="195">
        <f>IFERROR(AVERAGE(G11:G13),0)</f>
        <v>22</v>
      </c>
      <c r="H15" s="195">
        <f>IFERROR(AVERAGE(H11:H13),0)</f>
        <v>33</v>
      </c>
      <c r="I15" s="195">
        <f>IFERROR(AVERAGE(I11:I13),0)</f>
        <v>44</v>
      </c>
    </row>
    <row r="16" spans="1:9" ht="24.75" customHeight="1" x14ac:dyDescent="0.25"/>
    <row r="17" spans="1:5" ht="28.5" hidden="1" customHeight="1" x14ac:dyDescent="0.25">
      <c r="A17" s="26">
        <v>10</v>
      </c>
      <c r="B17" s="30" t="s">
        <v>578</v>
      </c>
      <c r="C17" s="30"/>
      <c r="D17" s="30"/>
      <c r="E17" s="37"/>
    </row>
    <row r="18" spans="1:5" ht="15" hidden="1" customHeight="1" x14ac:dyDescent="0.25">
      <c r="A18" s="25">
        <f>IFERROR(IF(D18="",1,0),1)</f>
        <v>0</v>
      </c>
      <c r="B18" s="32">
        <f>INDEX(Dates,1,E18)</f>
        <v>42743</v>
      </c>
      <c r="C18" s="32">
        <f t="shared" ref="C18" si="0">B18</f>
        <v>42743</v>
      </c>
      <c r="D18" s="33">
        <f>HLOOKUP(B18,ReadingTable,2,FALSE)</f>
        <v>22</v>
      </c>
      <c r="E18" s="38">
        <f>IF(E17="",7,E17+1)</f>
        <v>7</v>
      </c>
    </row>
    <row r="19" spans="1:5" hidden="1" x14ac:dyDescent="0.25"/>
    <row r="20" spans="1:5" hidden="1" x14ac:dyDescent="0.25">
      <c r="B20" s="31" t="s">
        <v>576</v>
      </c>
      <c r="C20" s="31"/>
    </row>
    <row r="21" spans="1:5" hidden="1" x14ac:dyDescent="0.25">
      <c r="B21" s="34">
        <f t="array" ref="B21">SUM(IF($D$3:$D$6&lt;&gt;"",1/COUNTIF($D$3:$D$6, $D$3:$D$6), 0))</f>
        <v>3</v>
      </c>
      <c r="C21" s="34">
        <f t="array" ref="C21">SUM(IF($B$3:$B$6&lt;&gt;"",1/COUNTIF($B$3:$B$6, $B$3:$B$6), 0))</f>
        <v>1</v>
      </c>
    </row>
    <row r="22" spans="1:5" hidden="1" x14ac:dyDescent="0.25"/>
    <row r="23" spans="1:5" ht="25.5" hidden="1" x14ac:dyDescent="0.25">
      <c r="B23" s="30" t="s">
        <v>582</v>
      </c>
    </row>
    <row r="24" spans="1:5" ht="15" hidden="1" x14ac:dyDescent="0.25">
      <c r="A24" s="3"/>
      <c r="B24" s="23"/>
      <c r="C24" s="23"/>
      <c r="D24" s="40"/>
      <c r="E24" s="1"/>
    </row>
  </sheetData>
  <sheetProtection algorithmName="SHA-512" hashValue="EQr9udDtjg9+5cx8m26AHDS6WbIcYWYKHlFpUUwjsVEu4+KmRPK5/mU83XoUhtQ3icmJZ06+QG9NVQ7LABidkw==" saltValue="5CXMClgkOYztKcLr8VUPpw==" spinCount="100000" sheet="1" objects="1" scenarios="1"/>
  <autoFilter ref="B2:F4"/>
  <mergeCells count="1">
    <mergeCell ref="B8:B10"/>
  </mergeCells>
  <dataValidations count="4">
    <dataValidation type="decimal" allowBlank="1" showInputMessage="1" showErrorMessage="1" error="Please enter a valid reading." sqref="D24">
      <formula1>0</formula1>
      <formula2>99999999</formula2>
    </dataValidation>
    <dataValidation type="date" allowBlank="1" showInputMessage="1" showErrorMessage="1" error="Please enter a valid date in mm/dd/yyyy format." sqref="B24:C24">
      <formula1>1</formula1>
      <formula2>73051</formula2>
    </dataValidation>
    <dataValidation type="date" allowBlank="1" showInputMessage="1" showErrorMessage="1" error="Please enter a valid date in mm/dd/yyyy format." sqref="D3:D5">
      <formula1>1</formula1>
      <formula2>2958464</formula2>
    </dataValidation>
    <dataValidation type="time" allowBlank="1" showInputMessage="1" showErrorMessage="1" error="Please enter a valid time in hh:mm format." sqref="E3:E5">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6</xdr:row>
                    <xdr:rowOff>190500</xdr:rowOff>
                  </from>
                  <to>
                    <xdr:col>2</xdr:col>
                    <xdr:colOff>885825</xdr:colOff>
                    <xdr:row>6</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5</xdr:row>
                    <xdr:rowOff>114300</xdr:rowOff>
                  </from>
                  <to>
                    <xdr:col>2</xdr:col>
                    <xdr:colOff>114300</xdr:colOff>
                    <xdr:row>5</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5</xdr:row>
                    <xdr:rowOff>133350</xdr:rowOff>
                  </from>
                  <to>
                    <xdr:col>3</xdr:col>
                    <xdr:colOff>600075</xdr:colOff>
                    <xdr:row>5</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5</xdr:row>
                    <xdr:rowOff>152400</xdr:rowOff>
                  </from>
                  <to>
                    <xdr:col>4</xdr:col>
                    <xdr:colOff>962025</xdr:colOff>
                    <xdr:row>5</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12"/>
  <sheetViews>
    <sheetView zoomScaleNormal="100" workbookViewId="0"/>
  </sheetViews>
  <sheetFormatPr defaultColWidth="9.140625" defaultRowHeight="15" x14ac:dyDescent="0.25"/>
  <cols>
    <col min="1" max="1" width="2.42578125" style="5" customWidth="1"/>
    <col min="2" max="4" width="20.7109375" style="2" customWidth="1"/>
    <col min="5" max="5" width="3.7109375" style="2" customWidth="1"/>
    <col min="6" max="16384" width="9.140625" style="2"/>
  </cols>
  <sheetData>
    <row r="1" spans="1:5" x14ac:dyDescent="0.25">
      <c r="A1" s="3" t="s">
        <v>588</v>
      </c>
      <c r="B1" s="1"/>
      <c r="C1" s="1"/>
      <c r="D1" s="1"/>
      <c r="E1" s="1"/>
    </row>
    <row r="2" spans="1:5" ht="15.75" x14ac:dyDescent="0.3">
      <c r="A2" s="3" t="s">
        <v>588</v>
      </c>
      <c r="B2" s="253" t="s">
        <v>562</v>
      </c>
      <c r="C2" s="254"/>
      <c r="D2" s="196" t="s">
        <v>599</v>
      </c>
      <c r="E2" s="1"/>
    </row>
    <row r="3" spans="1:5" ht="15.75" x14ac:dyDescent="0.3">
      <c r="A3" s="3" t="s">
        <v>588</v>
      </c>
      <c r="B3" s="251" t="s">
        <v>669</v>
      </c>
      <c r="C3" s="252"/>
      <c r="D3" s="196" t="s">
        <v>600</v>
      </c>
      <c r="E3" s="1"/>
    </row>
    <row r="4" spans="1:5" ht="15.75" x14ac:dyDescent="0.3">
      <c r="A4" s="3" t="s">
        <v>588</v>
      </c>
      <c r="B4" s="158" t="s">
        <v>563</v>
      </c>
      <c r="C4" s="159"/>
      <c r="D4" s="196" t="s">
        <v>589</v>
      </c>
      <c r="E4" s="1"/>
    </row>
    <row r="5" spans="1:5" ht="20.45" customHeight="1" x14ac:dyDescent="0.3">
      <c r="A5" s="3"/>
      <c r="B5" s="160" t="s">
        <v>605</v>
      </c>
      <c r="C5" s="161"/>
      <c r="D5" s="162"/>
      <c r="E5" s="1"/>
    </row>
    <row r="6" spans="1:5" ht="41.25" customHeight="1" x14ac:dyDescent="0.25">
      <c r="A6" s="3">
        <v>12</v>
      </c>
      <c r="B6" s="163" t="s">
        <v>542</v>
      </c>
      <c r="C6" s="163" t="s">
        <v>543</v>
      </c>
      <c r="D6" s="163" t="str">
        <f>CONCATENATE("Highest TVOC Reading 
","(",D4,")")</f>
        <v>Highest TVOC Reading 
(ug/m3)</v>
      </c>
      <c r="E6" s="1"/>
    </row>
    <row r="7" spans="1:5" ht="15" customHeight="1" x14ac:dyDescent="0.25">
      <c r="A7" s="25">
        <f>IFERROR(IF(D7="",1,0),1)</f>
        <v>0</v>
      </c>
      <c r="B7" s="32">
        <f>INDEX(DatesVOC,1,E7)</f>
        <v>42743</v>
      </c>
      <c r="C7" s="32">
        <f t="shared" ref="C7" si="0">B7</f>
        <v>42743</v>
      </c>
      <c r="D7" s="33">
        <f t="array" ref="D7">HLOOKUP(B7,ReadingTableVOC,2,FALSE)</f>
        <v>22</v>
      </c>
      <c r="E7" s="38">
        <f>IF(E6="",8,E6+1)</f>
        <v>8</v>
      </c>
    </row>
    <row r="8" spans="1:5" ht="15" customHeight="1" x14ac:dyDescent="0.25">
      <c r="A8" s="25">
        <f t="shared" ref="A8:A9" si="1">IFERROR(IF(D8="",1,0),1)</f>
        <v>0</v>
      </c>
      <c r="B8" s="32">
        <f>INDEX(DatesVOC,1,E8)</f>
        <v>43108</v>
      </c>
      <c r="C8" s="32">
        <f t="shared" ref="C8:C9" si="2">B8</f>
        <v>43108</v>
      </c>
      <c r="D8" s="33">
        <f t="array" ref="D8">HLOOKUP(B8,ReadingTableVOC,2,FALSE)</f>
        <v>33</v>
      </c>
      <c r="E8" s="38">
        <f t="shared" ref="E8:E9" si="3">IF(E7="",8,E7+1)</f>
        <v>9</v>
      </c>
    </row>
    <row r="9" spans="1:5" ht="15" customHeight="1" x14ac:dyDescent="0.25">
      <c r="A9" s="25">
        <f t="shared" si="1"/>
        <v>0</v>
      </c>
      <c r="B9" s="32">
        <f>INDEX(DatesVOC,1,E9)</f>
        <v>43474</v>
      </c>
      <c r="C9" s="32">
        <f t="shared" si="2"/>
        <v>43474</v>
      </c>
      <c r="D9" s="33">
        <f t="array" ref="D9">HLOOKUP(B9,ReadingTableVOC,2,FALSE)</f>
        <v>44</v>
      </c>
      <c r="E9" s="38">
        <f t="shared" si="3"/>
        <v>10</v>
      </c>
    </row>
    <row r="10" spans="1:5" ht="15" customHeight="1" x14ac:dyDescent="0.25">
      <c r="A10" s="3" t="s">
        <v>544</v>
      </c>
      <c r="B10" s="22"/>
      <c r="C10" s="22"/>
      <c r="D10" s="22"/>
      <c r="E10" s="1"/>
    </row>
    <row r="11" spans="1:5" ht="15" hidden="1" customHeight="1" x14ac:dyDescent="0.25">
      <c r="A11" s="3"/>
      <c r="B11" s="22"/>
      <c r="C11" s="22"/>
      <c r="D11" s="22"/>
      <c r="E11" s="1"/>
    </row>
    <row r="12" spans="1:5" ht="33.6" customHeight="1" x14ac:dyDescent="0.25">
      <c r="A12" s="3" t="s">
        <v>544</v>
      </c>
      <c r="B12" s="22"/>
      <c r="C12" s="22"/>
      <c r="D12" s="22"/>
      <c r="E12" s="1"/>
    </row>
  </sheetData>
  <sheetProtection algorithmName="SHA-512" hashValue="L/HkbqeXGIoFCFFnPeXAR5YQy0kI47Mkasj8xKktIxSF8V4dpLQUO8bAcEjms0xHa9Z7SYZ2Kcj/O3W9a9acJA==" saltValue="80mPi3GdP2pl6wgAVn30Ww==" spinCount="100000" sheet="1" objects="1" scenarios="1"/>
  <mergeCells count="2">
    <mergeCell ref="B3:C3"/>
    <mergeCell ref="B2:C2"/>
  </mergeCells>
  <dataValidations count="3">
    <dataValidation allowBlank="1" showInputMessage="1" showErrorMessage="1" error="Please enter a valid date in mm/dd/yyyy format." sqref="B10:D12"/>
    <dataValidation type="decimal" allowBlank="1" showInputMessage="1" showErrorMessage="1" error="Please enter a valid reading." sqref="D7:D9">
      <formula1>0</formula1>
      <formula2>99999999</formula2>
    </dataValidation>
    <dataValidation type="date" allowBlank="1" showInputMessage="1" showErrorMessage="1" error="Please enter a valid date in mm/dd/yyyy format." sqref="B7:C9">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11</xdr:row>
                    <xdr:rowOff>28575</xdr:rowOff>
                  </from>
                  <to>
                    <xdr:col>2</xdr:col>
                    <xdr:colOff>466725</xdr:colOff>
                    <xdr:row>11</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11</xdr:row>
                    <xdr:rowOff>352425</xdr:rowOff>
                  </from>
                  <to>
                    <xdr:col>3</xdr:col>
                    <xdr:colOff>990600</xdr:colOff>
                    <xdr:row>13</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J23"/>
  <sheetViews>
    <sheetView showGridLines="0" zoomScale="90" zoomScaleNormal="90" workbookViewId="0">
      <pane ySplit="2" topLeftCell="A4" activePane="bottomLeft" state="frozen"/>
      <selection activeCell="D7" sqref="D7"/>
      <selection pane="bottomLeft"/>
    </sheetView>
  </sheetViews>
  <sheetFormatPr defaultColWidth="14.7109375" defaultRowHeight="12.75" x14ac:dyDescent="0.25"/>
  <cols>
    <col min="1" max="1" width="4.28515625" style="26" customWidth="1"/>
    <col min="2" max="2" width="18.7109375" style="27" customWidth="1"/>
    <col min="3" max="16384" width="14.7109375" style="27"/>
  </cols>
  <sheetData>
    <row r="1" spans="1:10" ht="36" customHeight="1" x14ac:dyDescent="0.25">
      <c r="A1" s="26" t="s">
        <v>588</v>
      </c>
      <c r="B1" s="165" t="s">
        <v>603</v>
      </c>
      <c r="C1" s="166"/>
      <c r="D1" s="166"/>
      <c r="E1" s="166"/>
      <c r="F1" s="166"/>
      <c r="G1" s="166"/>
    </row>
    <row r="2" spans="1:10" ht="33.75" customHeight="1" x14ac:dyDescent="0.25">
      <c r="A2" s="26" t="s">
        <v>588</v>
      </c>
      <c r="B2" s="167" t="s">
        <v>573</v>
      </c>
      <c r="C2" s="168" t="s">
        <v>675</v>
      </c>
      <c r="D2" s="169" t="s">
        <v>574</v>
      </c>
      <c r="E2" s="170" t="s">
        <v>583</v>
      </c>
      <c r="F2" s="197" t="s">
        <v>584</v>
      </c>
      <c r="G2" s="171" t="s">
        <v>587</v>
      </c>
    </row>
    <row r="3" spans="1:10" ht="14.25" x14ac:dyDescent="0.25">
      <c r="B3" s="172"/>
      <c r="C3" s="173"/>
      <c r="D3" s="174"/>
      <c r="E3" s="175"/>
      <c r="F3" s="198"/>
      <c r="G3" s="176"/>
    </row>
    <row r="4" spans="1:10" ht="14.25" x14ac:dyDescent="0.25">
      <c r="B4" s="172" t="s">
        <v>745</v>
      </c>
      <c r="C4" s="173">
        <v>1</v>
      </c>
      <c r="D4" s="174">
        <v>42743</v>
      </c>
      <c r="E4" s="175">
        <v>1.3888888888888888E-2</v>
      </c>
      <c r="F4" s="198">
        <v>6.25E-2</v>
      </c>
      <c r="G4" s="176">
        <v>22</v>
      </c>
      <c r="H4" s="29"/>
    </row>
    <row r="5" spans="1:10" ht="14.25" x14ac:dyDescent="0.25">
      <c r="B5" s="172" t="s">
        <v>745</v>
      </c>
      <c r="C5" s="173">
        <v>1</v>
      </c>
      <c r="D5" s="174">
        <v>43108</v>
      </c>
      <c r="E5" s="175">
        <v>0.1875</v>
      </c>
      <c r="F5" s="198">
        <v>0.3125</v>
      </c>
      <c r="G5" s="176">
        <v>33</v>
      </c>
      <c r="H5" s="29"/>
    </row>
    <row r="6" spans="1:10" ht="14.25" x14ac:dyDescent="0.25">
      <c r="B6" s="172" t="s">
        <v>745</v>
      </c>
      <c r="C6" s="173">
        <v>1</v>
      </c>
      <c r="D6" s="174">
        <v>43474</v>
      </c>
      <c r="E6" s="175">
        <v>0.27083333333333331</v>
      </c>
      <c r="F6" s="198">
        <v>0.35416666666666669</v>
      </c>
      <c r="G6" s="176">
        <v>44</v>
      </c>
      <c r="H6" s="29"/>
    </row>
    <row r="7" spans="1:10" ht="39" customHeight="1" x14ac:dyDescent="0.25"/>
    <row r="8" spans="1:10" s="35" customFormat="1" ht="51" customHeight="1" x14ac:dyDescent="0.2">
      <c r="A8" s="26" t="s">
        <v>579</v>
      </c>
      <c r="B8" s="28"/>
      <c r="G8" s="36"/>
      <c r="H8" s="39">
        <f>IF(H10="",1,0)</f>
        <v>0</v>
      </c>
      <c r="I8" s="39">
        <f>IF(I10="",1,0)</f>
        <v>0</v>
      </c>
      <c r="J8" s="39">
        <f>IF(J10="",1,0)</f>
        <v>0</v>
      </c>
    </row>
    <row r="9" spans="1:10" ht="21" customHeight="1" x14ac:dyDescent="0.25">
      <c r="A9" s="26" t="s">
        <v>588</v>
      </c>
      <c r="B9" s="255"/>
      <c r="C9" s="177"/>
      <c r="D9" s="177"/>
      <c r="E9" s="177"/>
      <c r="F9" s="177"/>
      <c r="G9" s="178"/>
      <c r="H9" s="179" t="s">
        <v>574</v>
      </c>
      <c r="I9" s="179" t="s">
        <v>574</v>
      </c>
      <c r="J9" s="179" t="s">
        <v>574</v>
      </c>
    </row>
    <row r="10" spans="1:10" ht="15" customHeight="1" x14ac:dyDescent="0.25">
      <c r="A10" s="26" t="s">
        <v>588</v>
      </c>
      <c r="B10" s="256"/>
      <c r="C10" s="180"/>
      <c r="D10" s="180"/>
      <c r="E10" s="180"/>
      <c r="F10" s="180"/>
      <c r="G10" s="181"/>
      <c r="H10" s="182">
        <f t="array" ref="H10">IFERROR(INDEX($D$3:$D$7, MATCH(0,IF(ISBLANK($D$3:$D$7),1,COUNTIF($G$10:G10, $D$3:$D$7)), 0)),"")</f>
        <v>42743</v>
      </c>
      <c r="I10" s="182">
        <f t="array" ref="I10">IFERROR(INDEX($D$3:$D$7, MATCH(0,IF(ISBLANK($D$3:$D$7),1,COUNTIF($G$10:H10, $D$3:$D$7)), 0)),"")</f>
        <v>43108</v>
      </c>
      <c r="J10" s="182">
        <f t="array" ref="J10">IFERROR(INDEX($D$3:$D$7, MATCH(0,IF(ISBLANK($D$3:$D$7),1,COUNTIF($G$10:I10, $D$3:$D$7)), 0)),"")</f>
        <v>43474</v>
      </c>
    </row>
    <row r="11" spans="1:10" ht="27.75" customHeight="1" x14ac:dyDescent="0.25">
      <c r="A11" s="26" t="s">
        <v>588</v>
      </c>
      <c r="B11" s="257"/>
      <c r="C11" s="183"/>
      <c r="D11" s="183"/>
      <c r="E11" s="183"/>
      <c r="F11" s="183"/>
      <c r="G11" s="184"/>
      <c r="H11" s="199" t="s">
        <v>585</v>
      </c>
      <c r="I11" s="199" t="s">
        <v>585</v>
      </c>
      <c r="J11" s="199" t="s">
        <v>585</v>
      </c>
    </row>
    <row r="12" spans="1:10" ht="15" customHeight="1" x14ac:dyDescent="0.25">
      <c r="A12" s="26">
        <f>IF(B12="",1,0)</f>
        <v>0</v>
      </c>
      <c r="B12" s="186" t="str">
        <f t="array" ref="B12">IFERROR(INDEX($B$3:$B$7, MATCH(0,IF(ISBLANK($B$3:$B$7),1,COUNTIF($B$11:B11, $B$3:$B$7)), 0)),"")</f>
        <v>Gurgaon</v>
      </c>
      <c r="C12" s="187"/>
      <c r="D12" s="187"/>
      <c r="E12" s="187"/>
      <c r="F12" s="187"/>
      <c r="G12" s="188"/>
      <c r="H12" s="189">
        <f t="array" ref="H12">IFERROR(AVERAGE(IF($B$3:$B$7=$B12,IF($D$3:$D$7=H$10,IF($G$3:$G$7&lt;&gt;"",$G$3:$G$7)))),"")</f>
        <v>22</v>
      </c>
      <c r="I12" s="189">
        <f t="array" ref="I12">IFERROR(AVERAGE(IF($B$3:$B$7=$B12,IF($D$3:$D$7=I$10,IF($G$3:$G$7&lt;&gt;"",$G$3:$G$7)))),"")</f>
        <v>33</v>
      </c>
      <c r="J12" s="189">
        <f t="array" ref="J12">IFERROR(AVERAGE(IF($B$3:$B$7=$B12,IF($D$3:$D$7=J$10,IF($G$3:$G$7&lt;&gt;"",$G$3:$G$7)))),"")</f>
        <v>44</v>
      </c>
    </row>
    <row r="13" spans="1:10" ht="9" customHeight="1" x14ac:dyDescent="0.25">
      <c r="B13" s="166"/>
      <c r="C13" s="166"/>
      <c r="D13" s="166"/>
      <c r="E13" s="166"/>
      <c r="F13" s="166"/>
      <c r="G13" s="166"/>
      <c r="H13" s="190"/>
      <c r="I13" s="190"/>
      <c r="J13" s="190"/>
    </row>
    <row r="14" spans="1:10" ht="9" customHeight="1" x14ac:dyDescent="0.25">
      <c r="A14" s="26" t="s">
        <v>544</v>
      </c>
      <c r="B14" s="166"/>
      <c r="C14" s="166"/>
      <c r="D14" s="166"/>
      <c r="E14" s="166"/>
      <c r="F14" s="166"/>
      <c r="G14" s="166"/>
      <c r="H14" s="190"/>
      <c r="I14" s="190"/>
      <c r="J14" s="190"/>
    </row>
    <row r="15" spans="1:10" ht="15" hidden="1" customHeight="1" x14ac:dyDescent="0.25">
      <c r="B15" s="166"/>
      <c r="C15" s="166"/>
      <c r="D15" s="166"/>
      <c r="E15" s="166"/>
      <c r="F15" s="166"/>
      <c r="G15" s="166"/>
      <c r="H15" s="200">
        <f>H10</f>
        <v>42743</v>
      </c>
      <c r="I15" s="200">
        <f>I10</f>
        <v>43108</v>
      </c>
      <c r="J15" s="200">
        <f>J10</f>
        <v>43474</v>
      </c>
    </row>
    <row r="16" spans="1:10" ht="20.25" customHeight="1" x14ac:dyDescent="0.25">
      <c r="B16" s="192" t="s">
        <v>586</v>
      </c>
      <c r="C16" s="193"/>
      <c r="D16" s="193"/>
      <c r="E16" s="193"/>
      <c r="F16" s="193"/>
      <c r="G16" s="194"/>
      <c r="H16" s="195">
        <f>IFERROR(MAX(H12:H14),0)</f>
        <v>22</v>
      </c>
      <c r="I16" s="195">
        <f>IFERROR(MAX(I12:I14),0)</f>
        <v>33</v>
      </c>
      <c r="J16" s="195">
        <f>IFERROR(MAX(J12:J14),0)</f>
        <v>44</v>
      </c>
    </row>
    <row r="17" spans="1:6" ht="24.75" customHeight="1" x14ac:dyDescent="0.25"/>
    <row r="18" spans="1:6" ht="28.5" hidden="1" customHeight="1" x14ac:dyDescent="0.25">
      <c r="A18" s="26">
        <v>10</v>
      </c>
      <c r="B18" s="30" t="s">
        <v>578</v>
      </c>
      <c r="C18" s="30"/>
      <c r="D18" s="30"/>
      <c r="E18" s="37"/>
      <c r="F18" s="37"/>
    </row>
    <row r="19" spans="1:6" ht="15" hidden="1" customHeight="1" x14ac:dyDescent="0.25">
      <c r="A19" s="25">
        <f>IFERROR(IF(D19="",1,0),1)</f>
        <v>0</v>
      </c>
      <c r="B19" s="32">
        <f>INDEX(DatesVOC,1,E19)</f>
        <v>42743</v>
      </c>
      <c r="C19" s="32">
        <f t="shared" ref="C19" si="0">B19</f>
        <v>42743</v>
      </c>
      <c r="D19" s="33">
        <f t="array" ref="D19">HLOOKUP(B19,ReadingTableVOC,2,FALSE)</f>
        <v>22</v>
      </c>
      <c r="E19" s="38">
        <f>IF(E18="",8,E18+1)</f>
        <v>8</v>
      </c>
      <c r="F19" s="38"/>
    </row>
    <row r="20" spans="1:6" hidden="1" x14ac:dyDescent="0.25"/>
    <row r="21" spans="1:6" hidden="1" x14ac:dyDescent="0.25">
      <c r="B21" s="31" t="s">
        <v>576</v>
      </c>
      <c r="C21" s="31"/>
    </row>
    <row r="22" spans="1:6" hidden="1" x14ac:dyDescent="0.25">
      <c r="B22" s="34">
        <f t="array" ref="B22">SUM(IF($D$3:$D$7&lt;&gt;"",1/COUNTIF($D$3:$D$7, $D$3:$D$7), 0))</f>
        <v>3</v>
      </c>
      <c r="C22" s="34">
        <f t="array" ref="C22">SUM(IF($B$3:$B$7&lt;&gt;"",1/COUNTIF($B$3:$B$7, $B$3:$B$7), 0))</f>
        <v>1</v>
      </c>
    </row>
    <row r="23" spans="1:6" hidden="1" x14ac:dyDescent="0.25"/>
  </sheetData>
  <sheetProtection algorithmName="SHA-512" hashValue="Udf1dhhvm7vPIhgN/OSZxDcrU83MAGHJQmbGyvypSSaAnET6xz+sUORFQcut9BCIliqvu/hlbkGYjlXMrXjLMg==" saltValue="Q/FB4On5g7cY9aiiyjYQLw==" spinCount="100000" sheet="1" objects="1" scenarios="1"/>
  <autoFilter ref="B2:G4"/>
  <mergeCells count="1">
    <mergeCell ref="B9:B11"/>
  </mergeCells>
  <dataValidations count="3">
    <dataValidation type="date" allowBlank="1" showInputMessage="1" showErrorMessage="1" error="Please enter a valid date in mm/dd/yyyy format." sqref="D3:D6">
      <formula1>1</formula1>
      <formula2>2958464</formula2>
    </dataValidation>
    <dataValidation type="time" allowBlank="1" showInputMessage="1" showErrorMessage="1" error=" Please enter a valid time  in hr:mm format." sqref="E3:E6">
      <formula1>0</formula1>
      <formula2>0.999988425925926</formula2>
    </dataValidation>
    <dataValidation type="time" allowBlank="1" showInputMessage="1" showErrorMessage="1" error="Please enter a valid time in hr:mm format." sqref="F3:F6">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7</xdr:row>
                    <xdr:rowOff>190500</xdr:rowOff>
                  </from>
                  <to>
                    <xdr:col>2</xdr:col>
                    <xdr:colOff>885825</xdr:colOff>
                    <xdr:row>7</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6</xdr:row>
                    <xdr:rowOff>114300</xdr:rowOff>
                  </from>
                  <to>
                    <xdr:col>2</xdr:col>
                    <xdr:colOff>114300</xdr:colOff>
                    <xdr:row>6</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6</xdr:row>
                    <xdr:rowOff>133350</xdr:rowOff>
                  </from>
                  <to>
                    <xdr:col>3</xdr:col>
                    <xdr:colOff>600075</xdr:colOff>
                    <xdr:row>6</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6</xdr:row>
                    <xdr:rowOff>133350</xdr:rowOff>
                  </from>
                  <to>
                    <xdr:col>4</xdr:col>
                    <xdr:colOff>885825</xdr:colOff>
                    <xdr:row>6</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44"/>
  <sheetViews>
    <sheetView zoomScaleNormal="100" workbookViewId="0">
      <pane xSplit="1" ySplit="6" topLeftCell="B20" activePane="bottomRight" state="frozen"/>
      <selection activeCell="D7" sqref="D7"/>
      <selection pane="topRight" activeCell="D7" sqref="D7"/>
      <selection pane="bottomLeft" activeCell="D7" sqref="D7"/>
      <selection pane="bottomRight" activeCell="D22" sqref="D22"/>
    </sheetView>
  </sheetViews>
  <sheetFormatPr defaultColWidth="9.140625" defaultRowHeight="15" x14ac:dyDescent="0.25"/>
  <cols>
    <col min="1" max="1" width="2.42578125" style="5" customWidth="1"/>
    <col min="2" max="5" width="20.7109375" style="2" customWidth="1"/>
    <col min="6" max="6" width="3.7109375" style="2" customWidth="1"/>
    <col min="7" max="8" width="9.140625" style="2" hidden="1" customWidth="1"/>
    <col min="9" max="9" width="13.85546875" style="2" hidden="1" customWidth="1"/>
    <col min="10" max="10" width="14.42578125" style="2" hidden="1" customWidth="1"/>
    <col min="11" max="11" width="17.85546875" style="2" hidden="1" customWidth="1"/>
    <col min="12" max="12" width="17.28515625" style="2" hidden="1" customWidth="1"/>
    <col min="13" max="13" width="15.85546875" style="2" hidden="1" customWidth="1"/>
    <col min="14" max="16384" width="9.140625" style="2"/>
  </cols>
  <sheetData>
    <row r="1" spans="1:6" x14ac:dyDescent="0.25">
      <c r="A1" s="3" t="s">
        <v>588</v>
      </c>
      <c r="B1" s="1"/>
      <c r="C1" s="1"/>
      <c r="D1" s="1"/>
      <c r="E1" s="1"/>
      <c r="F1" s="1"/>
    </row>
    <row r="2" spans="1:6" ht="15.75" x14ac:dyDescent="0.3">
      <c r="A2" s="3" t="s">
        <v>588</v>
      </c>
      <c r="B2" s="253" t="s">
        <v>562</v>
      </c>
      <c r="C2" s="258"/>
      <c r="D2" s="254"/>
      <c r="E2" s="201" t="s">
        <v>567</v>
      </c>
      <c r="F2" s="1"/>
    </row>
    <row r="3" spans="1:6" ht="15" customHeight="1" x14ac:dyDescent="0.3">
      <c r="A3" s="3" t="s">
        <v>588</v>
      </c>
      <c r="B3" s="251" t="s">
        <v>669</v>
      </c>
      <c r="C3" s="259"/>
      <c r="D3" s="252"/>
      <c r="E3" s="201" t="s">
        <v>554</v>
      </c>
      <c r="F3" s="1"/>
    </row>
    <row r="4" spans="1:6" ht="14.25" customHeight="1" x14ac:dyDescent="0.3">
      <c r="A4" s="3" t="s">
        <v>588</v>
      </c>
      <c r="B4" s="158" t="s">
        <v>563</v>
      </c>
      <c r="C4" s="202"/>
      <c r="D4" s="159"/>
      <c r="E4" s="203" t="s">
        <v>558</v>
      </c>
      <c r="F4" s="1"/>
    </row>
    <row r="5" spans="1:6" ht="16.5" x14ac:dyDescent="0.3">
      <c r="A5" s="3" t="s">
        <v>588</v>
      </c>
      <c r="B5" s="204"/>
      <c r="C5" s="204"/>
      <c r="D5" s="204"/>
      <c r="E5" s="204"/>
      <c r="F5" s="1"/>
    </row>
    <row r="6" spans="1:6" ht="27" x14ac:dyDescent="0.25">
      <c r="A6" s="3">
        <v>40</v>
      </c>
      <c r="B6" s="163" t="s">
        <v>542</v>
      </c>
      <c r="C6" s="163" t="s">
        <v>543</v>
      </c>
      <c r="D6" s="163" t="str">
        <f>CONCATENATE("Total Waste 
","(",E4,")")</f>
        <v>Total Waste 
(lbs)</v>
      </c>
      <c r="E6" s="163" t="str">
        <f>CONCATENATE("Diverted 
","(",E4,")")</f>
        <v>Diverted 
(lbs)</v>
      </c>
      <c r="F6" s="1"/>
    </row>
    <row r="7" spans="1:6" x14ac:dyDescent="0.25">
      <c r="A7" s="3"/>
      <c r="B7" s="205"/>
      <c r="C7" s="205"/>
      <c r="D7" s="216"/>
      <c r="E7" s="206"/>
      <c r="F7" s="1"/>
    </row>
    <row r="8" spans="1:6" x14ac:dyDescent="0.25">
      <c r="A8" s="3">
        <v>0</v>
      </c>
      <c r="B8" s="205">
        <v>43739</v>
      </c>
      <c r="C8" s="205">
        <v>43769</v>
      </c>
      <c r="D8" s="216">
        <v>250</v>
      </c>
      <c r="E8" s="206">
        <v>240</v>
      </c>
      <c r="F8" s="1"/>
    </row>
    <row r="9" spans="1:6" x14ac:dyDescent="0.25">
      <c r="A9" s="3">
        <v>0</v>
      </c>
      <c r="B9" s="205">
        <v>43709</v>
      </c>
      <c r="C9" s="205">
        <v>43738</v>
      </c>
      <c r="D9" s="216">
        <v>150</v>
      </c>
      <c r="E9" s="206">
        <v>100</v>
      </c>
      <c r="F9" s="1"/>
    </row>
    <row r="10" spans="1:6" x14ac:dyDescent="0.25">
      <c r="A10" s="3">
        <v>0</v>
      </c>
      <c r="B10" s="205">
        <v>43678</v>
      </c>
      <c r="C10" s="205">
        <v>43708</v>
      </c>
      <c r="D10" s="216">
        <v>100</v>
      </c>
      <c r="E10" s="206">
        <v>50</v>
      </c>
      <c r="F10" s="1"/>
    </row>
    <row r="11" spans="1:6" x14ac:dyDescent="0.25">
      <c r="A11" s="3">
        <v>0</v>
      </c>
      <c r="B11" s="205">
        <v>43647</v>
      </c>
      <c r="C11" s="205">
        <v>43677</v>
      </c>
      <c r="D11" s="216">
        <v>200</v>
      </c>
      <c r="E11" s="206">
        <v>150</v>
      </c>
      <c r="F11" s="1"/>
    </row>
    <row r="12" spans="1:6" x14ac:dyDescent="0.25">
      <c r="A12" s="3">
        <v>0</v>
      </c>
      <c r="B12" s="205">
        <v>43617</v>
      </c>
      <c r="C12" s="205">
        <v>43646</v>
      </c>
      <c r="D12" s="216">
        <v>240</v>
      </c>
      <c r="E12" s="206">
        <v>120</v>
      </c>
      <c r="F12" s="1"/>
    </row>
    <row r="13" spans="1:6" x14ac:dyDescent="0.25">
      <c r="A13" s="3">
        <v>0</v>
      </c>
      <c r="B13" s="205">
        <v>43586</v>
      </c>
      <c r="C13" s="205">
        <v>43616</v>
      </c>
      <c r="D13" s="216">
        <v>150</v>
      </c>
      <c r="E13" s="206">
        <v>100</v>
      </c>
      <c r="F13" s="1"/>
    </row>
    <row r="14" spans="1:6" x14ac:dyDescent="0.25">
      <c r="A14" s="3">
        <v>0</v>
      </c>
      <c r="B14" s="205">
        <v>43556</v>
      </c>
      <c r="C14" s="205">
        <v>43585</v>
      </c>
      <c r="D14" s="216">
        <v>193</v>
      </c>
      <c r="E14" s="206">
        <v>93</v>
      </c>
      <c r="F14" s="1"/>
    </row>
    <row r="15" spans="1:6" x14ac:dyDescent="0.25">
      <c r="A15" s="3">
        <v>0</v>
      </c>
      <c r="B15" s="205">
        <v>43525</v>
      </c>
      <c r="C15" s="205">
        <v>43555</v>
      </c>
      <c r="D15" s="216">
        <v>410</v>
      </c>
      <c r="E15" s="206">
        <v>200</v>
      </c>
      <c r="F15" s="1"/>
    </row>
    <row r="16" spans="1:6" x14ac:dyDescent="0.25">
      <c r="A16" s="3">
        <v>0</v>
      </c>
      <c r="B16" s="205">
        <v>43497</v>
      </c>
      <c r="C16" s="205">
        <v>43524</v>
      </c>
      <c r="D16" s="216">
        <v>630</v>
      </c>
      <c r="E16" s="206">
        <v>430</v>
      </c>
      <c r="F16" s="1"/>
    </row>
    <row r="17" spans="1:6" x14ac:dyDescent="0.25">
      <c r="A17" s="3">
        <v>0</v>
      </c>
      <c r="B17" s="205">
        <v>43466</v>
      </c>
      <c r="C17" s="205">
        <v>43496</v>
      </c>
      <c r="D17" s="216">
        <v>710</v>
      </c>
      <c r="E17" s="206">
        <v>410</v>
      </c>
      <c r="F17" s="1"/>
    </row>
    <row r="18" spans="1:6" x14ac:dyDescent="0.25">
      <c r="A18" s="3">
        <v>0</v>
      </c>
      <c r="B18" s="205">
        <v>43435</v>
      </c>
      <c r="C18" s="205">
        <v>43465</v>
      </c>
      <c r="D18" s="216">
        <v>882</v>
      </c>
      <c r="E18" s="206">
        <v>582</v>
      </c>
      <c r="F18" s="1"/>
    </row>
    <row r="19" spans="1:6" x14ac:dyDescent="0.25">
      <c r="A19" s="3">
        <v>0</v>
      </c>
      <c r="B19" s="205">
        <v>43405</v>
      </c>
      <c r="C19" s="205">
        <v>43434</v>
      </c>
      <c r="D19" s="216">
        <v>439</v>
      </c>
      <c r="E19" s="206">
        <v>239</v>
      </c>
      <c r="F19" s="1"/>
    </row>
    <row r="20" spans="1:6" x14ac:dyDescent="0.25">
      <c r="A20" s="3">
        <v>0</v>
      </c>
      <c r="B20" s="205">
        <v>43374</v>
      </c>
      <c r="C20" s="205">
        <v>43404</v>
      </c>
      <c r="D20" s="216">
        <v>432</v>
      </c>
      <c r="E20" s="206">
        <v>430</v>
      </c>
      <c r="F20" s="1"/>
    </row>
    <row r="21" spans="1:6" x14ac:dyDescent="0.25">
      <c r="A21" s="3">
        <v>0</v>
      </c>
      <c r="B21" s="205">
        <v>43344</v>
      </c>
      <c r="C21" s="205">
        <v>43373</v>
      </c>
      <c r="D21" s="216">
        <v>160</v>
      </c>
      <c r="E21" s="206">
        <v>150</v>
      </c>
      <c r="F21" s="1"/>
    </row>
    <row r="22" spans="1:6" x14ac:dyDescent="0.25">
      <c r="A22" s="3">
        <v>0</v>
      </c>
      <c r="B22" s="205">
        <v>43313</v>
      </c>
      <c r="C22" s="205">
        <v>43343</v>
      </c>
      <c r="D22" s="216">
        <v>100</v>
      </c>
      <c r="E22" s="206">
        <v>90</v>
      </c>
      <c r="F22" s="1"/>
    </row>
    <row r="23" spans="1:6" x14ac:dyDescent="0.25">
      <c r="A23" s="3">
        <v>0</v>
      </c>
      <c r="B23" s="205">
        <v>43282</v>
      </c>
      <c r="C23" s="205">
        <v>43312</v>
      </c>
      <c r="D23" s="216">
        <v>200</v>
      </c>
      <c r="E23" s="206">
        <v>199</v>
      </c>
      <c r="F23" s="1"/>
    </row>
    <row r="24" spans="1:6" x14ac:dyDescent="0.25">
      <c r="A24" s="3">
        <v>0</v>
      </c>
      <c r="B24" s="205">
        <v>43252</v>
      </c>
      <c r="C24" s="205">
        <v>43281</v>
      </c>
      <c r="D24" s="216">
        <v>240</v>
      </c>
      <c r="E24" s="206">
        <v>130</v>
      </c>
      <c r="F24" s="1"/>
    </row>
    <row r="25" spans="1:6" x14ac:dyDescent="0.25">
      <c r="A25" s="3">
        <v>0</v>
      </c>
      <c r="B25" s="205">
        <v>43221</v>
      </c>
      <c r="C25" s="205">
        <v>43251</v>
      </c>
      <c r="D25" s="216">
        <v>150</v>
      </c>
      <c r="E25" s="206">
        <v>130</v>
      </c>
      <c r="F25" s="1"/>
    </row>
    <row r="26" spans="1:6" x14ac:dyDescent="0.25">
      <c r="A26" s="3">
        <v>0</v>
      </c>
      <c r="B26" s="205">
        <v>43191</v>
      </c>
      <c r="C26" s="205">
        <v>43220</v>
      </c>
      <c r="D26" s="216">
        <v>193</v>
      </c>
      <c r="E26" s="206">
        <v>150</v>
      </c>
      <c r="F26" s="1"/>
    </row>
    <row r="27" spans="1:6" x14ac:dyDescent="0.25">
      <c r="A27" s="3">
        <v>0</v>
      </c>
      <c r="B27" s="205">
        <v>43160</v>
      </c>
      <c r="C27" s="205">
        <v>43190</v>
      </c>
      <c r="D27" s="216">
        <v>410</v>
      </c>
      <c r="E27" s="206">
        <v>300</v>
      </c>
      <c r="F27" s="1"/>
    </row>
    <row r="28" spans="1:6" x14ac:dyDescent="0.25">
      <c r="A28" s="3">
        <v>0</v>
      </c>
      <c r="B28" s="205">
        <v>43132</v>
      </c>
      <c r="C28" s="205">
        <v>43159</v>
      </c>
      <c r="D28" s="216">
        <v>630</v>
      </c>
      <c r="E28" s="206">
        <v>500</v>
      </c>
      <c r="F28" s="1"/>
    </row>
    <row r="29" spans="1:6" x14ac:dyDescent="0.25">
      <c r="A29" s="3">
        <v>0</v>
      </c>
      <c r="B29" s="205">
        <v>43101</v>
      </c>
      <c r="C29" s="205">
        <v>43131</v>
      </c>
      <c r="D29" s="216">
        <v>710</v>
      </c>
      <c r="E29" s="206">
        <v>610</v>
      </c>
      <c r="F29" s="1"/>
    </row>
    <row r="30" spans="1:6" x14ac:dyDescent="0.25">
      <c r="A30" s="3">
        <v>0</v>
      </c>
      <c r="B30" s="205">
        <v>43070</v>
      </c>
      <c r="C30" s="205">
        <v>43100</v>
      </c>
      <c r="D30" s="216">
        <v>882</v>
      </c>
      <c r="E30" s="206">
        <v>660</v>
      </c>
      <c r="F30" s="1"/>
    </row>
    <row r="31" spans="1:6" x14ac:dyDescent="0.25">
      <c r="A31" s="3">
        <v>0</v>
      </c>
      <c r="B31" s="205">
        <v>43040</v>
      </c>
      <c r="C31" s="205">
        <v>43069</v>
      </c>
      <c r="D31" s="216">
        <v>439</v>
      </c>
      <c r="E31" s="206">
        <v>320</v>
      </c>
      <c r="F31" s="1"/>
    </row>
    <row r="32" spans="1:6" x14ac:dyDescent="0.25">
      <c r="A32" s="3"/>
      <c r="B32" s="205">
        <v>43009</v>
      </c>
      <c r="C32" s="205">
        <v>43039</v>
      </c>
      <c r="D32" s="216">
        <v>432</v>
      </c>
      <c r="E32" s="206">
        <v>310</v>
      </c>
      <c r="F32" s="1"/>
    </row>
    <row r="33" spans="1:9" x14ac:dyDescent="0.25">
      <c r="A33" s="3"/>
      <c r="B33" s="205">
        <v>42979</v>
      </c>
      <c r="C33" s="205">
        <v>43008</v>
      </c>
      <c r="D33" s="216">
        <v>772</v>
      </c>
      <c r="E33" s="206">
        <v>600</v>
      </c>
      <c r="F33" s="1"/>
    </row>
    <row r="34" spans="1:9" x14ac:dyDescent="0.25">
      <c r="A34" s="3"/>
      <c r="B34" s="205"/>
      <c r="C34" s="205"/>
      <c r="D34" s="206"/>
      <c r="E34" s="206"/>
      <c r="F34" s="1"/>
    </row>
    <row r="35" spans="1:9" x14ac:dyDescent="0.25">
      <c r="A35" s="3"/>
      <c r="B35" s="205"/>
      <c r="C35" s="205"/>
      <c r="D35" s="206">
        <f>SUM(D22:D34)</f>
        <v>5158</v>
      </c>
      <c r="E35" s="206"/>
      <c r="F35" s="1"/>
    </row>
    <row r="36" spans="1:9" x14ac:dyDescent="0.25">
      <c r="A36" s="3"/>
      <c r="B36" s="205"/>
      <c r="C36" s="205"/>
      <c r="D36" s="206"/>
      <c r="E36" s="206"/>
      <c r="F36" s="1"/>
    </row>
    <row r="37" spans="1:9" x14ac:dyDescent="0.25">
      <c r="A37" s="3"/>
      <c r="B37" s="205"/>
      <c r="C37" s="205"/>
      <c r="D37" s="206"/>
      <c r="E37" s="206"/>
      <c r="F37" s="1"/>
    </row>
    <row r="38" spans="1:9" x14ac:dyDescent="0.25">
      <c r="A38" s="3"/>
      <c r="B38" s="14"/>
      <c r="C38" s="14"/>
      <c r="D38" s="17"/>
      <c r="E38" s="18"/>
      <c r="F38" s="1"/>
    </row>
    <row r="39" spans="1:9" hidden="1" x14ac:dyDescent="0.25">
      <c r="A39" s="4">
        <v>0</v>
      </c>
      <c r="B39" s="16"/>
      <c r="C39" s="16"/>
      <c r="D39" s="19"/>
      <c r="E39" s="20"/>
      <c r="F39" s="1"/>
    </row>
    <row r="40" spans="1:9" ht="25.5" customHeight="1" x14ac:dyDescent="0.25">
      <c r="A40" s="3" t="s">
        <v>544</v>
      </c>
      <c r="B40" s="15"/>
      <c r="C40" s="15"/>
      <c r="D40" s="15"/>
      <c r="E40" s="21"/>
      <c r="F40" s="1"/>
    </row>
    <row r="42" spans="1:9" x14ac:dyDescent="0.25">
      <c r="I42" s="2" t="s">
        <v>558</v>
      </c>
    </row>
    <row r="43" spans="1:9" x14ac:dyDescent="0.25">
      <c r="I43" s="2" t="s">
        <v>553</v>
      </c>
    </row>
    <row r="44" spans="1:9" x14ac:dyDescent="0.25">
      <c r="I44" s="2" t="s">
        <v>741</v>
      </c>
    </row>
  </sheetData>
  <sheetProtection algorithmName="SHA-512" hashValue="jV71v/Su7v0mRihNvQDycyRagK3IPsweVAZQdp35hl7mMkD9q9TnosIn0YmiHSh7vYuwSL0iqHE8kNvJdfDTGw==" saltValue="nnrxty06f73ALlNnGplAiw==" spinCount="100000" sheet="1" objects="1" scenarios="1" formatColumns="0" formatRows="0"/>
  <mergeCells count="2">
    <mergeCell ref="B2:D2"/>
    <mergeCell ref="B3:D3"/>
  </mergeCells>
  <dataValidations count="5">
    <dataValidation type="list" allowBlank="1" showInputMessage="1" showErrorMessage="1" error="Units cannot edit." sqref="E4">
      <formula1>newWaUnit</formula1>
    </dataValidation>
    <dataValidation allowBlank="1" showInputMessage="1" showErrorMessage="1" error="Please enter a valid date in mm/dd/yyyy format." sqref="B38:D40"/>
    <dataValidation type="date" allowBlank="1" showInputMessage="1" showErrorMessage="1" error="Please enter a valid date in mm/dd/yyyy format." sqref="B7:C37">
      <formula1>1</formula1>
      <formula2>54789</formula2>
    </dataValidation>
    <dataValidation type="decimal" allowBlank="1" showInputMessage="1" showErrorMessage="1" error="Please enter a valid reading." sqref="D7:D37">
      <formula1>0</formula1>
      <formula2>99999999</formula2>
    </dataValidation>
    <dataValidation type="decimal" allowBlank="1" showInputMessage="1" showErrorMessage="1" error="Waste diverted cannot be greater than waste generated" sqref="E7:E37">
      <formula1>0</formula1>
      <formula2>D7</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38</xdr:row>
                    <xdr:rowOff>0</xdr:rowOff>
                  </from>
                  <to>
                    <xdr:col>2</xdr:col>
                    <xdr:colOff>9525</xdr:colOff>
                    <xdr:row>39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38</xdr:row>
                    <xdr:rowOff>0</xdr:rowOff>
                  </from>
                  <to>
                    <xdr:col>3</xdr:col>
                    <xdr:colOff>9525</xdr:colOff>
                    <xdr:row>39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39</xdr:row>
                    <xdr:rowOff>9525</xdr:rowOff>
                  </from>
                  <to>
                    <xdr:col>3</xdr:col>
                    <xdr:colOff>1200150</xdr:colOff>
                    <xdr:row>39</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X38"/>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3" t="s">
        <v>588</v>
      </c>
      <c r="B1" s="3" t="str">
        <f ca="1">MID(CELL("filename",A1),FIND("]",CELL("filename",A1))+1,256)</f>
        <v>Carbon Monoxide</v>
      </c>
      <c r="C1" s="1"/>
      <c r="D1" s="3" t="str">
        <f ca="1">B1</f>
        <v>Carbon Monoxide</v>
      </c>
      <c r="E1" s="1"/>
    </row>
    <row r="2" spans="1:24" ht="15" customHeight="1" x14ac:dyDescent="0.3">
      <c r="A2" s="3" t="s">
        <v>588</v>
      </c>
      <c r="B2" s="207" t="s">
        <v>562</v>
      </c>
      <c r="C2" s="208"/>
      <c r="D2" s="209" t="s">
        <v>676</v>
      </c>
      <c r="E2" s="1"/>
    </row>
    <row r="3" spans="1:24" ht="15.75" customHeight="1" x14ac:dyDescent="0.3">
      <c r="A3" s="3" t="s">
        <v>588</v>
      </c>
      <c r="B3" s="210" t="s">
        <v>563</v>
      </c>
      <c r="C3" s="211"/>
      <c r="D3" s="212" t="s">
        <v>572</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27" customHeight="1" x14ac:dyDescent="0.25">
      <c r="A6" s="3">
        <v>11</v>
      </c>
      <c r="B6" s="215" t="s">
        <v>542</v>
      </c>
      <c r="C6" s="215" t="s">
        <v>543</v>
      </c>
      <c r="D6" s="163" t="str">
        <f t="array" ref="D6">CONCATENATE("Period Reading 
","(",D3,")")</f>
        <v>Period Reading 
(ppm)</v>
      </c>
      <c r="E6" s="1"/>
    </row>
    <row r="7" spans="1:24" x14ac:dyDescent="0.25">
      <c r="A7" s="3"/>
      <c r="B7" s="205">
        <v>42948</v>
      </c>
      <c r="C7" s="205">
        <v>43678</v>
      </c>
      <c r="D7" s="216">
        <v>2000</v>
      </c>
      <c r="E7" s="1"/>
      <c r="H7" s="2" t="s">
        <v>572</v>
      </c>
    </row>
    <row r="8" spans="1:24" x14ac:dyDescent="0.25">
      <c r="A8" s="3"/>
      <c r="B8" s="205"/>
      <c r="C8" s="205"/>
      <c r="D8" s="216"/>
      <c r="E8" s="1"/>
    </row>
    <row r="9" spans="1:24" x14ac:dyDescent="0.25">
      <c r="A9" s="3"/>
      <c r="B9" s="14"/>
      <c r="C9" s="14"/>
      <c r="D9" s="17"/>
      <c r="E9" s="1"/>
      <c r="H9" s="2" t="s">
        <v>677</v>
      </c>
    </row>
    <row r="10" spans="1:24" hidden="1" x14ac:dyDescent="0.25">
      <c r="A10" s="3"/>
      <c r="B10" s="15"/>
      <c r="C10" s="15"/>
      <c r="D10" s="15"/>
      <c r="E10" s="1"/>
    </row>
    <row r="11" spans="1:24" ht="25.5" customHeight="1" x14ac:dyDescent="0.25">
      <c r="A11" s="3" t="s">
        <v>544</v>
      </c>
      <c r="B11" s="15"/>
      <c r="C11" s="15"/>
      <c r="D11" s="15"/>
      <c r="E11" s="1"/>
      <c r="V11" s="2" t="s">
        <v>557</v>
      </c>
    </row>
    <row r="16" spans="1:24" ht="24.75" customHeight="1" x14ac:dyDescent="0.25">
      <c r="L16" s="13"/>
      <c r="M16" s="13"/>
      <c r="N16" s="13"/>
      <c r="O16" s="13"/>
      <c r="P16" s="13"/>
      <c r="U16" s="13"/>
      <c r="V16" s="13"/>
      <c r="W16" s="13"/>
      <c r="X16" s="13"/>
    </row>
    <row r="20" spans="7:22" x14ac:dyDescent="0.25">
      <c r="G20" s="2" t="s">
        <v>511</v>
      </c>
      <c r="H20" s="2" t="s">
        <v>528</v>
      </c>
      <c r="I20" s="2" t="s">
        <v>535</v>
      </c>
      <c r="J20" s="2" t="s">
        <v>536</v>
      </c>
      <c r="K20" s="2" t="s">
        <v>524</v>
      </c>
      <c r="L20" s="2" t="s">
        <v>550</v>
      </c>
      <c r="M20" s="2" t="s">
        <v>548</v>
      </c>
      <c r="N20" s="2" t="s">
        <v>522</v>
      </c>
      <c r="O20" s="2" t="s">
        <v>559</v>
      </c>
      <c r="P20" s="2" t="s">
        <v>523</v>
      </c>
      <c r="Q20" s="2" t="s">
        <v>526</v>
      </c>
      <c r="R20" s="2" t="s">
        <v>545</v>
      </c>
      <c r="S20" s="2" t="s">
        <v>546</v>
      </c>
      <c r="T20" s="2" t="s">
        <v>520</v>
      </c>
      <c r="U20" s="2" t="s">
        <v>525</v>
      </c>
      <c r="V20" s="2" t="s">
        <v>540</v>
      </c>
    </row>
    <row r="21" spans="7:22" x14ac:dyDescent="0.25">
      <c r="G21" s="2" t="s">
        <v>513</v>
      </c>
      <c r="H21" s="2" t="s">
        <v>528</v>
      </c>
      <c r="I21" s="2" t="s">
        <v>535</v>
      </c>
      <c r="J21" s="2" t="s">
        <v>536</v>
      </c>
      <c r="K21" s="2" t="s">
        <v>524</v>
      </c>
      <c r="L21" s="2" t="s">
        <v>550</v>
      </c>
      <c r="M21" s="2" t="s">
        <v>548</v>
      </c>
      <c r="N21" s="2" t="s">
        <v>538</v>
      </c>
      <c r="O21" s="2" t="s">
        <v>673</v>
      </c>
      <c r="P21"/>
      <c r="Q21"/>
      <c r="R21"/>
      <c r="S21"/>
      <c r="T21"/>
      <c r="U21"/>
      <c r="V21"/>
    </row>
    <row r="22" spans="7:22" x14ac:dyDescent="0.25">
      <c r="G22" s="2" t="s">
        <v>512</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510</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509</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505</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506</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507</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568</v>
      </c>
      <c r="H28" s="2" t="s">
        <v>528</v>
      </c>
      <c r="I28" s="2" t="s">
        <v>535</v>
      </c>
      <c r="J28" s="2" t="s">
        <v>536</v>
      </c>
      <c r="K28" s="2" t="s">
        <v>524</v>
      </c>
      <c r="L28" s="2" t="s">
        <v>550</v>
      </c>
      <c r="M28" s="2" t="s">
        <v>548</v>
      </c>
      <c r="N28" s="2" t="s">
        <v>522</v>
      </c>
      <c r="O28" s="2" t="s">
        <v>559</v>
      </c>
      <c r="P28" s="2" t="s">
        <v>523</v>
      </c>
      <c r="Q28" s="2" t="s">
        <v>526</v>
      </c>
      <c r="R28" s="2" t="s">
        <v>545</v>
      </c>
      <c r="S28" s="2" t="s">
        <v>546</v>
      </c>
      <c r="T28" s="2" t="s">
        <v>520</v>
      </c>
      <c r="U28" s="2" t="s">
        <v>525</v>
      </c>
      <c r="V28" s="2" t="s">
        <v>540</v>
      </c>
    </row>
    <row r="29" spans="7:22" x14ac:dyDescent="0.25">
      <c r="G29" s="2" t="s">
        <v>492</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493</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494</v>
      </c>
      <c r="H31" s="2" t="s">
        <v>528</v>
      </c>
      <c r="I31" s="2" t="s">
        <v>535</v>
      </c>
      <c r="J31" s="2" t="s">
        <v>536</v>
      </c>
      <c r="K31" s="2" t="s">
        <v>524</v>
      </c>
      <c r="L31" s="2" t="s">
        <v>550</v>
      </c>
      <c r="M31" s="2" t="s">
        <v>548</v>
      </c>
      <c r="N31" s="2" t="s">
        <v>538</v>
      </c>
      <c r="O31" s="2" t="s">
        <v>551</v>
      </c>
      <c r="P31" s="2" t="s">
        <v>571</v>
      </c>
      <c r="Q31" s="2" t="s">
        <v>552</v>
      </c>
      <c r="R31" s="2" t="s">
        <v>674</v>
      </c>
      <c r="S31"/>
      <c r="T31"/>
      <c r="U31"/>
      <c r="V31"/>
    </row>
    <row r="32" spans="7:22" x14ac:dyDescent="0.25">
      <c r="G32" s="2" t="s">
        <v>495</v>
      </c>
      <c r="H32" s="2" t="s">
        <v>528</v>
      </c>
      <c r="I32" s="2" t="s">
        <v>535</v>
      </c>
      <c r="J32" s="2" t="s">
        <v>536</v>
      </c>
      <c r="K32" s="2" t="s">
        <v>524</v>
      </c>
      <c r="L32" s="2" t="s">
        <v>550</v>
      </c>
      <c r="M32" s="2" t="s">
        <v>548</v>
      </c>
      <c r="N32" s="2" t="s">
        <v>522</v>
      </c>
      <c r="O32" s="2" t="s">
        <v>559</v>
      </c>
      <c r="P32" s="2" t="s">
        <v>523</v>
      </c>
      <c r="Q32" s="2" t="s">
        <v>526</v>
      </c>
      <c r="R32" s="2" t="s">
        <v>545</v>
      </c>
      <c r="S32" s="2" t="s">
        <v>546</v>
      </c>
      <c r="T32" s="2" t="s">
        <v>520</v>
      </c>
      <c r="U32" s="2" t="s">
        <v>525</v>
      </c>
      <c r="V32" s="2" t="s">
        <v>540</v>
      </c>
    </row>
    <row r="33" spans="7:22" x14ac:dyDescent="0.25">
      <c r="G33" s="2" t="s">
        <v>501</v>
      </c>
      <c r="H33" s="2" t="s">
        <v>528</v>
      </c>
      <c r="I33" s="2" t="s">
        <v>535</v>
      </c>
      <c r="J33" s="2" t="s">
        <v>536</v>
      </c>
      <c r="K33" s="2" t="s">
        <v>524</v>
      </c>
      <c r="L33" s="2" t="s">
        <v>550</v>
      </c>
      <c r="M33" s="2" t="s">
        <v>548</v>
      </c>
      <c r="N33" s="2" t="s">
        <v>551</v>
      </c>
      <c r="O33" s="2" t="s">
        <v>571</v>
      </c>
      <c r="P33" s="2" t="s">
        <v>552</v>
      </c>
      <c r="Q33" s="2" t="s">
        <v>553</v>
      </c>
      <c r="R33"/>
      <c r="S33"/>
      <c r="T33"/>
      <c r="U33"/>
      <c r="V33"/>
    </row>
    <row r="34" spans="7:22" x14ac:dyDescent="0.25">
      <c r="G34" s="2" t="s">
        <v>500</v>
      </c>
      <c r="H34" s="2" t="s">
        <v>528</v>
      </c>
      <c r="I34" s="2" t="s">
        <v>535</v>
      </c>
      <c r="J34" s="2" t="s">
        <v>536</v>
      </c>
      <c r="K34" s="2" t="s">
        <v>524</v>
      </c>
      <c r="L34" s="2" t="s">
        <v>550</v>
      </c>
      <c r="M34" s="2" t="s">
        <v>672</v>
      </c>
      <c r="N34"/>
      <c r="O34"/>
      <c r="P34"/>
      <c r="Q34"/>
      <c r="R34"/>
      <c r="S34"/>
      <c r="T34"/>
      <c r="U34"/>
      <c r="V34"/>
    </row>
    <row r="35" spans="7:22" x14ac:dyDescent="0.25">
      <c r="G35" s="2" t="s">
        <v>569</v>
      </c>
      <c r="H35" s="2" t="s">
        <v>528</v>
      </c>
      <c r="I35" s="2" t="s">
        <v>535</v>
      </c>
      <c r="J35" s="2" t="s">
        <v>536</v>
      </c>
      <c r="K35" s="2" t="s">
        <v>524</v>
      </c>
      <c r="L35" s="2" t="s">
        <v>550</v>
      </c>
      <c r="M35" s="2" t="s">
        <v>672</v>
      </c>
      <c r="N35" s="2" t="s">
        <v>537</v>
      </c>
      <c r="O35"/>
      <c r="P35"/>
      <c r="Q35"/>
      <c r="R35"/>
      <c r="S35"/>
      <c r="T35"/>
      <c r="U35"/>
      <c r="V35"/>
    </row>
    <row r="36" spans="7:22" x14ac:dyDescent="0.25">
      <c r="G36" s="2" t="s">
        <v>549</v>
      </c>
      <c r="H36" s="2" t="s">
        <v>528</v>
      </c>
      <c r="I36" s="2" t="s">
        <v>535</v>
      </c>
      <c r="J36" s="2" t="s">
        <v>536</v>
      </c>
      <c r="K36" s="2" t="s">
        <v>524</v>
      </c>
      <c r="L36" s="2" t="s">
        <v>550</v>
      </c>
      <c r="M36" s="2" t="s">
        <v>672</v>
      </c>
      <c r="N36" s="2" t="s">
        <v>537</v>
      </c>
      <c r="O36"/>
      <c r="P36"/>
      <c r="Q36"/>
      <c r="R36"/>
      <c r="S36"/>
      <c r="T36"/>
      <c r="U36"/>
      <c r="V36"/>
    </row>
    <row r="37" spans="7:22" x14ac:dyDescent="0.25">
      <c r="G37" s="2" t="s">
        <v>570</v>
      </c>
      <c r="H37" s="2" t="s">
        <v>528</v>
      </c>
      <c r="I37" s="2" t="s">
        <v>535</v>
      </c>
      <c r="J37" s="2" t="s">
        <v>536</v>
      </c>
      <c r="K37" s="2" t="s">
        <v>524</v>
      </c>
      <c r="L37" s="2" t="s">
        <v>550</v>
      </c>
      <c r="M37" s="2" t="s">
        <v>672</v>
      </c>
      <c r="N37" s="2" t="s">
        <v>537</v>
      </c>
      <c r="O37"/>
      <c r="P37"/>
      <c r="Q37"/>
      <c r="R37"/>
      <c r="S37"/>
      <c r="T37"/>
      <c r="U37"/>
      <c r="V37"/>
    </row>
    <row r="38" spans="7:22" x14ac:dyDescent="0.25">
      <c r="G38"/>
      <c r="H38"/>
      <c r="I38"/>
      <c r="J38"/>
      <c r="K38"/>
      <c r="L38"/>
      <c r="M38"/>
      <c r="N38"/>
      <c r="O38"/>
      <c r="P38"/>
      <c r="Q38"/>
      <c r="R38"/>
      <c r="S38"/>
      <c r="T38"/>
      <c r="U38"/>
      <c r="V38"/>
    </row>
  </sheetData>
  <sheetProtection algorithmName="SHA-512" hashValue="O8JnadyMRhz/E2jF0Pmo2/bfaFNVb97b9iIwVfTDSSwZaB3Umt2MhfDR3n0Q/P5VDaUZv8TOpcdU8tsMudHupw==" saltValue="HWzzFSxHZmYUf+ArtjKvlQ==" spinCount="100000" sheet="1" objects="1" scenarios="1"/>
  <dataValidations count="6">
    <dataValidation type="list" allowBlank="1" showInputMessage="1" showErrorMessage="1" sqref="G16:X16">
      <formula1>$G$16:$X$16</formula1>
    </dataValidation>
    <dataValidation allowBlank="1" showInputMessage="1" showErrorMessage="1" error="Please enter a valid date in mm/dd/yyyy format." sqref="B9:D11"/>
    <dataValidation type="decimal" allowBlank="1" showInputMessage="1" showErrorMessage="1" error="Please enter a valid reading." sqref="D7:D8">
      <formula1>0</formula1>
      <formula2>9999999999</formula2>
    </dataValidation>
    <dataValidation type="date" allowBlank="1" showInputMessage="1" showErrorMessage="1" error="Please enter a valid date in mm/dd/yyyy format." sqref="B7:C8">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D4">
      <formula1>$H$7:$H$9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10</xdr:row>
                    <xdr:rowOff>19050</xdr:rowOff>
                  </from>
                  <to>
                    <xdr:col>2</xdr:col>
                    <xdr:colOff>9525</xdr:colOff>
                    <xdr:row>10</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10</xdr:row>
                    <xdr:rowOff>19050</xdr:rowOff>
                  </from>
                  <to>
                    <xdr:col>2</xdr:col>
                    <xdr:colOff>1314450</xdr:colOff>
                    <xdr:row>10</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10</xdr:row>
                    <xdr:rowOff>38100</xdr:rowOff>
                  </from>
                  <to>
                    <xdr:col>3</xdr:col>
                    <xdr:colOff>1133475</xdr:colOff>
                    <xdr:row>10</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X37"/>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3" t="s">
        <v>588</v>
      </c>
      <c r="B1" s="3" t="str">
        <f ca="1">MID(CELL("filename",A1),FIND("]",CELL("filename",A1))+1,256)</f>
        <v>Ozone</v>
      </c>
      <c r="C1" s="1"/>
      <c r="D1" s="3" t="str">
        <f ca="1">B1</f>
        <v>Ozone</v>
      </c>
      <c r="E1" s="1"/>
    </row>
    <row r="2" spans="1:24" ht="15" customHeight="1" x14ac:dyDescent="0.3">
      <c r="A2" s="3" t="s">
        <v>588</v>
      </c>
      <c r="B2" s="207" t="s">
        <v>562</v>
      </c>
      <c r="C2" s="208"/>
      <c r="D2" s="209" t="s">
        <v>678</v>
      </c>
      <c r="E2" s="1"/>
    </row>
    <row r="3" spans="1:24" ht="15.75" customHeight="1" x14ac:dyDescent="0.3">
      <c r="A3" s="3" t="s">
        <v>588</v>
      </c>
      <c r="B3" s="210" t="s">
        <v>563</v>
      </c>
      <c r="C3" s="211"/>
      <c r="D3" s="212" t="s">
        <v>572</v>
      </c>
      <c r="E3" s="1"/>
    </row>
    <row r="4" spans="1:24" ht="12"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10</v>
      </c>
      <c r="B6" s="215" t="s">
        <v>542</v>
      </c>
      <c r="C6" s="215" t="s">
        <v>543</v>
      </c>
      <c r="D6" s="218" t="str">
        <f t="array" ref="D6">CONCATENATE("Period Reading 
","(",D3,")")</f>
        <v>Period Reading 
(ppm)</v>
      </c>
      <c r="E6" s="1"/>
    </row>
    <row r="7" spans="1:24" x14ac:dyDescent="0.25">
      <c r="A7" s="3"/>
      <c r="B7" s="205">
        <v>42948</v>
      </c>
      <c r="C7" s="205">
        <v>43678</v>
      </c>
      <c r="D7" s="216">
        <v>2000</v>
      </c>
      <c r="E7" s="1"/>
      <c r="H7" s="2" t="s">
        <v>572</v>
      </c>
    </row>
    <row r="8" spans="1:24" x14ac:dyDescent="0.25">
      <c r="A8" s="3"/>
      <c r="B8" s="14"/>
      <c r="C8" s="14"/>
      <c r="D8" s="17"/>
      <c r="E8" s="1"/>
      <c r="H8" s="2" t="s">
        <v>679</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xfVWSCo6sDFMn3qeCq6My8X9JX7DiH1rOiRlFURRLsjw+cEqycPBY1/1oxsfq9fJPJ0+Ve+n2aoH8MTEm5C7Gg==" saltValue="BdS3yt354iJGgO2Sz4cfqw==" spinCount="100000" sheet="1" objects="1" scenarios="1"/>
  <dataValidations count="7">
    <dataValidation type="list" allowBlank="1" showInputMessage="1" showErrorMessage="1" sqref="G15:X15">
      <formula1>$G$15:$X$15</formula1>
    </dataValidation>
    <dataValidation showInputMessage="1" showErrorMessage="1" error="Units cannot edit." sqref="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3" t="s">
        <v>588</v>
      </c>
      <c r="B1" s="3" t="str">
        <f ca="1">MID(CELL("filename",A1),FIND("]",CELL("filename",A1))+1,256)</f>
        <v>Atmospheric Particulate Matter</v>
      </c>
      <c r="C1" s="1"/>
      <c r="D1" s="3" t="str">
        <f ca="1">B1</f>
        <v>Atmospheric Particulate Matter</v>
      </c>
      <c r="E1" s="1"/>
    </row>
    <row r="2" spans="1:24" ht="15" customHeight="1" x14ac:dyDescent="0.3">
      <c r="A2" s="3" t="s">
        <v>588</v>
      </c>
      <c r="B2" s="207" t="s">
        <v>562</v>
      </c>
      <c r="C2" s="208"/>
      <c r="D2" s="209" t="s">
        <v>680</v>
      </c>
      <c r="E2" s="1"/>
    </row>
    <row r="3" spans="1:24" ht="15.75" customHeight="1" x14ac:dyDescent="0.3">
      <c r="A3" s="3" t="s">
        <v>588</v>
      </c>
      <c r="B3" s="210" t="s">
        <v>563</v>
      </c>
      <c r="C3" s="211"/>
      <c r="D3" s="212" t="s">
        <v>572</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 customHeight="1" x14ac:dyDescent="0.25">
      <c r="A6" s="3">
        <v>10</v>
      </c>
      <c r="B6" s="215" t="s">
        <v>542</v>
      </c>
      <c r="C6" s="215" t="s">
        <v>543</v>
      </c>
      <c r="D6" s="218" t="str">
        <f t="array" ref="D6">CONCATENATE("Period Reading 
","(",D3,")")</f>
        <v>Period Reading 
(ppm)</v>
      </c>
      <c r="E6" s="1"/>
    </row>
    <row r="7" spans="1:24" x14ac:dyDescent="0.25">
      <c r="A7" s="3"/>
      <c r="B7" s="205">
        <v>42948</v>
      </c>
      <c r="C7" s="205">
        <v>43678</v>
      </c>
      <c r="D7" s="216">
        <v>2000</v>
      </c>
      <c r="E7" s="1"/>
      <c r="H7" s="2" t="s">
        <v>572</v>
      </c>
    </row>
    <row r="8" spans="1:24" x14ac:dyDescent="0.25">
      <c r="A8" s="3"/>
      <c r="B8" s="14"/>
      <c r="C8" s="14"/>
      <c r="D8" s="17"/>
      <c r="E8" s="1"/>
      <c r="H8" s="2" t="s">
        <v>679</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b7iooEguPEaWzESeFtOS2N9KUP8enhCzKwA8DYWQkjr5KO5ggwPil9Cy4H8Bes4bV9IIkb+mgLOBJXn0nuSgfw==" saltValue="6+L3KtRYO8EwSguhBUmGIw==" spinCount="100000" sheet="1" objects="1" scenarios="1"/>
  <dataValidations count="7">
    <dataValidation type="list" allowBlank="1" showInputMessage="1" showErrorMessage="1" sqref="G15:X15">
      <formula1>$G$15:$X$15</formula1>
    </dataValidation>
    <dataValidation showInputMessage="1" showErrorMessage="1" error="Units cannot edit." sqref="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 type="list" showInputMessage="1" showErrorMessage="1" error="Units cannot edit." sqref="D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Acetaldehyde</v>
      </c>
      <c r="C1" s="1"/>
      <c r="D1" s="3" t="str">
        <f ca="1">B1</f>
        <v>Acetaldehyde</v>
      </c>
      <c r="E1" s="1"/>
    </row>
    <row r="2" spans="1:24" ht="15" customHeight="1" x14ac:dyDescent="0.3">
      <c r="A2" s="3" t="s">
        <v>588</v>
      </c>
      <c r="B2" s="207" t="s">
        <v>562</v>
      </c>
      <c r="C2" s="208"/>
      <c r="D2" s="209" t="s">
        <v>681</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8.5" customHeight="1" x14ac:dyDescent="0.25">
      <c r="A6" s="3">
        <v>10</v>
      </c>
      <c r="B6" s="215" t="s">
        <v>542</v>
      </c>
      <c r="C6" s="215" t="s">
        <v>543</v>
      </c>
      <c r="D6" s="163" t="str">
        <f t="array" ref="D6">CONCATENATE("Period Reading 
","(",D3,")")</f>
        <v>Period Reading 
(µg/m3)</v>
      </c>
      <c r="E6" s="1"/>
    </row>
    <row r="7" spans="1:24" x14ac:dyDescent="0.25">
      <c r="A7" s="3"/>
      <c r="B7" s="205">
        <v>42948</v>
      </c>
      <c r="C7" s="205">
        <v>43678</v>
      </c>
      <c r="D7" s="216">
        <v>2000</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yMUHI1Ty5cKQWfAY9xv5zjUxYBdebTmfT+8y7T4c6FixShyoCyJr6dUsCapk+gegqxxhh5k+MtrIOB+DLhGHrQ==" saltValue="g82mkAWFtuGiG0dCLmRlzg=="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Benzene</v>
      </c>
      <c r="C1" s="1"/>
      <c r="D1" s="3" t="str">
        <f ca="1">B1</f>
        <v>Benzene</v>
      </c>
      <c r="E1" s="1"/>
    </row>
    <row r="2" spans="1:24" ht="15" customHeight="1" x14ac:dyDescent="0.3">
      <c r="A2" s="3" t="s">
        <v>588</v>
      </c>
      <c r="B2" s="207" t="s">
        <v>562</v>
      </c>
      <c r="C2" s="208"/>
      <c r="D2" s="209" t="s">
        <v>682</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10</v>
      </c>
      <c r="B6" s="215" t="s">
        <v>542</v>
      </c>
      <c r="C6" s="215" t="s">
        <v>543</v>
      </c>
      <c r="D6" s="163" t="str">
        <f t="array" ref="D6">CONCATENATE("Period Reading 
","(",D3,")")</f>
        <v>Period Reading 
(µg/m3)</v>
      </c>
      <c r="E6" s="1"/>
    </row>
    <row r="7" spans="1:24" x14ac:dyDescent="0.25">
      <c r="A7" s="3"/>
      <c r="B7" s="205">
        <v>42948</v>
      </c>
      <c r="C7" s="205">
        <v>43678</v>
      </c>
      <c r="D7" s="216">
        <v>2000</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b69MReQdOsK66A1mFXZRpsidBCETbHXfIoJzud6DcJjFxzwRe7pdX7Bp+x95I78pOvrxEGTh7JAbR7wyZxwf2w==" saltValue="5kw2OlFiTye4rilwGLSTNw=="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Styrene</v>
      </c>
      <c r="C1" s="1"/>
      <c r="D1" s="3" t="str">
        <f ca="1">B1</f>
        <v>Styrene</v>
      </c>
      <c r="E1" s="1"/>
    </row>
    <row r="2" spans="1:24" ht="15" customHeight="1" x14ac:dyDescent="0.3">
      <c r="A2" s="3" t="s">
        <v>588</v>
      </c>
      <c r="B2" s="207" t="s">
        <v>562</v>
      </c>
      <c r="C2" s="208"/>
      <c r="D2" s="209" t="s">
        <v>683</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10</v>
      </c>
      <c r="B6" s="215" t="s">
        <v>542</v>
      </c>
      <c r="C6" s="215" t="s">
        <v>543</v>
      </c>
      <c r="D6" s="163" t="str">
        <f t="array" ref="D6">CONCATENATE("Period Reading 
","(",D3,")")</f>
        <v>Period Reading 
( µg/m3)</v>
      </c>
      <c r="E6" s="1"/>
    </row>
    <row r="7" spans="1:24" x14ac:dyDescent="0.25">
      <c r="A7" s="3"/>
      <c r="B7" s="205">
        <v>42948</v>
      </c>
      <c r="C7" s="205">
        <v>43678</v>
      </c>
      <c r="D7" s="216">
        <v>2000</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512dtEra239yz7HaFSmkqA5wQDOK/qgZIcu2RRbSLMgG49ASeizQ87UQ25mXzcf0mmZIM5WEp/zBNkWkV7LXyQ==" saltValue="kvXzAm6rork1p5pojZaUxg=="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6"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Toluene</v>
      </c>
      <c r="C1" s="1"/>
      <c r="D1" s="3" t="str">
        <f ca="1">B1</f>
        <v>Toluene</v>
      </c>
      <c r="E1" s="1"/>
    </row>
    <row r="2" spans="1:24" ht="15" customHeight="1" x14ac:dyDescent="0.3">
      <c r="A2" s="3" t="s">
        <v>588</v>
      </c>
      <c r="B2" s="207" t="s">
        <v>562</v>
      </c>
      <c r="C2" s="208"/>
      <c r="D2" s="209" t="s">
        <v>685</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10</v>
      </c>
      <c r="B6" s="215" t="s">
        <v>542</v>
      </c>
      <c r="C6" s="215" t="s">
        <v>543</v>
      </c>
      <c r="D6" s="163" t="str">
        <f t="array" ref="D6">CONCATENATE("Period Reading 
","(",D3,")")</f>
        <v>Period Reading 
(µg/m3)</v>
      </c>
      <c r="E6" s="1"/>
    </row>
    <row r="7" spans="1:24" x14ac:dyDescent="0.25">
      <c r="A7" s="3"/>
      <c r="B7" s="205">
        <v>42948</v>
      </c>
      <c r="C7" s="205">
        <v>43678</v>
      </c>
      <c r="D7" s="216">
        <v>2000</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yw4em4PU40TMWq1EONHH+i4n3vTmV2VMOXhpnlZZq189g6kmOoDEqXZ6OEx5L8rULITL4eThZC/+zyMBFbP4Iw==" saltValue="rNQI+gnvGwRawj/spt9zJQ=="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19" sqref="E19"/>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 xml:space="preserve">Naphthalene </v>
      </c>
      <c r="C1" s="1"/>
      <c r="D1" s="3" t="str">
        <f ca="1">B1</f>
        <v xml:space="preserve">Naphthalene </v>
      </c>
      <c r="E1" s="1"/>
    </row>
    <row r="2" spans="1:24" ht="15" customHeight="1" x14ac:dyDescent="0.3">
      <c r="A2" s="3" t="s">
        <v>588</v>
      </c>
      <c r="B2" s="207" t="s">
        <v>562</v>
      </c>
      <c r="C2" s="208"/>
      <c r="D2" s="209" t="s">
        <v>686</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75" customHeight="1" x14ac:dyDescent="0.25">
      <c r="A6" s="3">
        <v>10</v>
      </c>
      <c r="B6" s="215" t="s">
        <v>542</v>
      </c>
      <c r="C6" s="215" t="s">
        <v>543</v>
      </c>
      <c r="D6" s="163" t="str">
        <f t="array" ref="D6">CONCATENATE("Period Reading
","(",D3,")")</f>
        <v>Period Reading
( µg/m3)</v>
      </c>
      <c r="E6" s="1"/>
    </row>
    <row r="7" spans="1:24" x14ac:dyDescent="0.25">
      <c r="A7" s="3"/>
      <c r="B7" s="205">
        <v>42948</v>
      </c>
      <c r="C7" s="205">
        <v>43678</v>
      </c>
      <c r="D7" s="216">
        <v>2000</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0I0GiAGdGKpEeCAdlpu8hSWBB52i6BiIVNXiidJ9OLf0kAevVheH3S3Toc8PDsBdoOqoImp9HC4DFEEjdB+8kg==" saltValue="/2NYbV1AF/79ICHzUKCygg=="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Dichlorobenzene</v>
      </c>
      <c r="C1" s="1"/>
      <c r="D1" s="3" t="str">
        <f ca="1">B1</f>
        <v>Dichlorobenzene</v>
      </c>
      <c r="E1" s="1"/>
    </row>
    <row r="2" spans="1:24" ht="15" customHeight="1" x14ac:dyDescent="0.3">
      <c r="A2" s="3" t="s">
        <v>588</v>
      </c>
      <c r="B2" s="207" t="s">
        <v>562</v>
      </c>
      <c r="C2" s="208"/>
      <c r="D2" s="209" t="s">
        <v>687</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2.25" customHeight="1" x14ac:dyDescent="0.25">
      <c r="A6" s="3">
        <v>10</v>
      </c>
      <c r="B6" s="215" t="s">
        <v>542</v>
      </c>
      <c r="C6" s="215" t="s">
        <v>543</v>
      </c>
      <c r="D6" s="163" t="str">
        <f t="array" ref="D6">CONCATENATE("Period Reading 
","(",D3,")")</f>
        <v>Period Reading 
(µg/m3)</v>
      </c>
      <c r="E6" s="1"/>
    </row>
    <row r="7" spans="1:24" x14ac:dyDescent="0.25">
      <c r="A7" s="3"/>
      <c r="B7" s="205">
        <v>42948</v>
      </c>
      <c r="C7" s="205">
        <v>43678</v>
      </c>
      <c r="D7" s="216">
        <v>2000</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2TUIRe3AV7OGZvaq7uaLwwA/qgI/oGXu65fWs7/aElhyLE3jygDhZKTx/PgnfUPokjxPP7qI2nx+rA2Hn2VnQA==" saltValue="fAgO2VKDif3wZ3l+dNmDNg==" spinCount="100000" sheet="1" objects="1" scenarios="1"/>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Xylenes-total</v>
      </c>
      <c r="C1" s="1"/>
      <c r="D1" s="3" t="str">
        <f ca="1">B1</f>
        <v>Xylenes-total</v>
      </c>
      <c r="E1" s="1"/>
    </row>
    <row r="2" spans="1:24" ht="15" customHeight="1" x14ac:dyDescent="0.3">
      <c r="A2" s="3" t="s">
        <v>588</v>
      </c>
      <c r="B2" s="207" t="s">
        <v>562</v>
      </c>
      <c r="C2" s="208"/>
      <c r="D2" s="209" t="s">
        <v>688</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 customHeight="1" x14ac:dyDescent="0.25">
      <c r="A6" s="3">
        <v>10</v>
      </c>
      <c r="B6" s="215" t="s">
        <v>542</v>
      </c>
      <c r="C6" s="215" t="s">
        <v>543</v>
      </c>
      <c r="D6" s="163" t="str">
        <f t="array" ref="D6">CONCATENATE("Period Reading 
","(",D3,")")</f>
        <v>Period Reading 
(µg/m3)</v>
      </c>
      <c r="E6" s="1"/>
    </row>
    <row r="7" spans="1:24" x14ac:dyDescent="0.25">
      <c r="A7" s="3"/>
      <c r="B7" s="205">
        <v>42948</v>
      </c>
      <c r="C7" s="205">
        <v>43678</v>
      </c>
      <c r="D7" s="216">
        <v>2000</v>
      </c>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formula1>$G$15:$X$15</formula1>
    </dataValidation>
    <dataValidation showInputMessage="1" showErrorMessage="1" error="Units cannot edit." sqref="D3:D4"/>
    <dataValidation allowBlank="1" showInputMessage="1" showErrorMessage="1" error="Please enter a valid date in mm/dd/yyyy format." sqref="B8:D10"/>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3" t="s">
        <v>588</v>
      </c>
      <c r="B1" s="3" t="str">
        <f ca="1">MID(CELL("filename",A1),FIND("]",CELL("filename",A1))+1,256)</f>
        <v>Formaldehyde</v>
      </c>
      <c r="C1" s="1"/>
      <c r="D1" s="3" t="str">
        <f ca="1">B1</f>
        <v>Formaldehyde</v>
      </c>
      <c r="E1" s="1"/>
    </row>
    <row r="2" spans="1:24" ht="15" customHeight="1" x14ac:dyDescent="0.3">
      <c r="A2" s="3" t="s">
        <v>588</v>
      </c>
      <c r="B2" s="207" t="s">
        <v>562</v>
      </c>
      <c r="C2" s="208"/>
      <c r="D2" s="209" t="s">
        <v>689</v>
      </c>
      <c r="E2" s="1"/>
    </row>
    <row r="3" spans="1:24" ht="15.75" customHeight="1" x14ac:dyDescent="0.3">
      <c r="A3" s="3" t="s">
        <v>588</v>
      </c>
      <c r="B3" s="210" t="s">
        <v>563</v>
      </c>
      <c r="C3" s="211"/>
      <c r="D3" s="212" t="s">
        <v>690</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30.75" customHeight="1" x14ac:dyDescent="0.25">
      <c r="A6" s="3">
        <v>10</v>
      </c>
      <c r="B6" s="215" t="s">
        <v>542</v>
      </c>
      <c r="C6" s="215" t="s">
        <v>543</v>
      </c>
      <c r="D6" s="163" t="str">
        <f t="array" ref="D6">CONCATENATE("Period Reading
","(",D3,")")</f>
        <v>Period Reading
(µg/m3 )</v>
      </c>
      <c r="E6" s="1"/>
    </row>
    <row r="7" spans="1:24" x14ac:dyDescent="0.25">
      <c r="A7" s="3"/>
      <c r="B7" s="205">
        <v>42948</v>
      </c>
      <c r="C7" s="205">
        <v>43678</v>
      </c>
      <c r="D7" s="216">
        <v>2000</v>
      </c>
      <c r="E7" s="1"/>
      <c r="H7" s="2" t="s">
        <v>679</v>
      </c>
    </row>
    <row r="8" spans="1:24" x14ac:dyDescent="0.25">
      <c r="A8" s="3"/>
      <c r="B8" s="14"/>
      <c r="C8" s="79"/>
      <c r="D8" s="17"/>
      <c r="E8" s="1"/>
      <c r="H8" s="2" t="s">
        <v>691</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OHj248/OC0w1Mi2hJ3XTHrF95ZR4oP1kjFAPOtutgveZKnokJqVICcZQbplYkXY/hQMOpclOEaJS5IOL4UiQwA==" saltValue="u9D/lMrR/GYDi5Frbl0CtA==" spinCount="100000" sheet="1" objects="1" scenarios="1"/>
  <dataValidations count="6">
    <dataValidation type="list" showInputMessage="1" showErrorMessage="1" error="Units cannot edit." sqref="D3:D4">
      <formula1>$H$7:$H$8</formula1>
    </dataValidation>
    <dataValidation type="decimal" allowBlank="1" showInputMessage="1" showErrorMessage="1" error="Please enter a valid reading." sqref="D7">
      <formula1>0</formula1>
      <formula2>9999999999</formula2>
    </dataValidation>
    <dataValidation type="date" allowBlank="1" showInputMessage="1" showErrorMessage="1" error="Please enter a valid date in mm/dd/yyyy format." sqref="B7:C7">
      <formula1>1</formula1>
      <formula2>73051</formula2>
    </dataValidation>
    <dataValidation type="list" allowBlank="1" showInputMessage="1" showErrorMessage="1" sqref="G15:X15">
      <formula1>$G$15:$X$15</formula1>
    </dataValidation>
    <dataValidation allowBlank="1" showInputMessage="1" showErrorMessage="1" error="Please enter a valid date in mm/dd/yyyy format." sqref="B8:D10"/>
    <dataValidation type="textLength" allowBlank="1" showInputMessage="1" showErrorMessage="1" errorTitle="Data Source" error="It can only accept 40 characters." sqref="D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50"/>
  <sheetViews>
    <sheetView tabSelected="1" workbookViewId="0">
      <pane xSplit="1" ySplit="6" topLeftCell="B17" activePane="bottomRight" state="frozen"/>
      <selection activeCell="C24" sqref="C24:F24"/>
      <selection pane="topRight" activeCell="C24" sqref="C24:F24"/>
      <selection pane="bottomLeft" activeCell="C24" sqref="C24:F24"/>
      <selection pane="bottomRight" activeCell="N34" sqref="N34"/>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3" t="s">
        <v>588</v>
      </c>
      <c r="B1" s="3" t="str">
        <f ca="1">MID(CELL("filename",A1),FIND("]",CELL("filename",A1))+1,256)</f>
        <v>Test Energy Meter</v>
      </c>
      <c r="C1" s="1"/>
      <c r="D1" s="3" t="str">
        <f ca="1">B1</f>
        <v>Test Energy Meter</v>
      </c>
      <c r="E1" s="1"/>
    </row>
    <row r="2" spans="1:5" ht="16.5" x14ac:dyDescent="0.3">
      <c r="A2" s="3" t="s">
        <v>588</v>
      </c>
      <c r="B2" s="224" t="s">
        <v>562</v>
      </c>
      <c r="C2" s="208"/>
      <c r="D2" s="214" t="s">
        <v>742</v>
      </c>
      <c r="E2" s="1"/>
    </row>
    <row r="3" spans="1:5" ht="16.5" x14ac:dyDescent="0.3">
      <c r="A3" s="3" t="s">
        <v>588</v>
      </c>
      <c r="B3" s="223" t="s">
        <v>669</v>
      </c>
      <c r="C3" s="211"/>
      <c r="D3" s="214" t="s">
        <v>663</v>
      </c>
      <c r="E3" s="1"/>
    </row>
    <row r="4" spans="1:5" ht="16.5" x14ac:dyDescent="0.3">
      <c r="A4" s="3" t="s">
        <v>588</v>
      </c>
      <c r="B4" s="223" t="s">
        <v>563</v>
      </c>
      <c r="C4" s="211"/>
      <c r="D4" s="214" t="s">
        <v>524</v>
      </c>
      <c r="E4" s="1"/>
    </row>
    <row r="5" spans="1:5" ht="15" customHeight="1" x14ac:dyDescent="0.3">
      <c r="A5" s="3" t="s">
        <v>588</v>
      </c>
      <c r="B5" s="158" t="s">
        <v>670</v>
      </c>
      <c r="C5" s="213"/>
      <c r="D5" s="214"/>
      <c r="E5" s="1"/>
    </row>
    <row r="6" spans="1:5" ht="28.5" customHeight="1" x14ac:dyDescent="0.25">
      <c r="A6" s="3">
        <v>39</v>
      </c>
      <c r="B6" s="215" t="s">
        <v>542</v>
      </c>
      <c r="C6" s="215" t="s">
        <v>543</v>
      </c>
      <c r="D6" s="163" t="str">
        <f>CONCATENATE("Period Consumption 
","(",D4,")")</f>
        <v>Period Consumption 
(kBtu)</v>
      </c>
      <c r="E6" s="1"/>
    </row>
    <row r="7" spans="1:5" x14ac:dyDescent="0.25">
      <c r="A7" s="4"/>
      <c r="B7" s="205">
        <v>43739</v>
      </c>
      <c r="C7" s="205">
        <v>43769</v>
      </c>
      <c r="D7" s="216">
        <v>250</v>
      </c>
      <c r="E7" s="1"/>
    </row>
    <row r="8" spans="1:5" x14ac:dyDescent="0.25">
      <c r="A8" s="4"/>
      <c r="B8" s="205">
        <v>43709</v>
      </c>
      <c r="C8" s="205">
        <v>43738</v>
      </c>
      <c r="D8" s="216">
        <v>150</v>
      </c>
      <c r="E8" s="1"/>
    </row>
    <row r="9" spans="1:5" x14ac:dyDescent="0.25">
      <c r="A9" s="4"/>
      <c r="B9" s="205">
        <v>43678</v>
      </c>
      <c r="C9" s="205">
        <v>43708</v>
      </c>
      <c r="D9" s="216">
        <v>100</v>
      </c>
      <c r="E9" s="1"/>
    </row>
    <row r="10" spans="1:5" x14ac:dyDescent="0.25">
      <c r="A10" s="4"/>
      <c r="B10" s="205">
        <v>43647</v>
      </c>
      <c r="C10" s="205">
        <v>43677</v>
      </c>
      <c r="D10" s="216">
        <v>200</v>
      </c>
      <c r="E10" s="1"/>
    </row>
    <row r="11" spans="1:5" x14ac:dyDescent="0.25">
      <c r="A11" s="4"/>
      <c r="B11" s="205">
        <v>43617</v>
      </c>
      <c r="C11" s="205">
        <v>43646</v>
      </c>
      <c r="D11" s="216">
        <v>240</v>
      </c>
      <c r="E11" s="1"/>
    </row>
    <row r="12" spans="1:5" x14ac:dyDescent="0.25">
      <c r="A12" s="4"/>
      <c r="B12" s="205">
        <v>43586</v>
      </c>
      <c r="C12" s="205">
        <v>43616</v>
      </c>
      <c r="D12" s="216">
        <v>150</v>
      </c>
      <c r="E12" s="1"/>
    </row>
    <row r="13" spans="1:5" x14ac:dyDescent="0.25">
      <c r="A13" s="4"/>
      <c r="B13" s="205">
        <v>43556</v>
      </c>
      <c r="C13" s="205">
        <v>43585</v>
      </c>
      <c r="D13" s="216">
        <v>193</v>
      </c>
      <c r="E13" s="1"/>
    </row>
    <row r="14" spans="1:5" x14ac:dyDescent="0.25">
      <c r="A14" s="4"/>
      <c r="B14" s="205">
        <v>43525</v>
      </c>
      <c r="C14" s="205">
        <v>43555</v>
      </c>
      <c r="D14" s="216">
        <v>410</v>
      </c>
      <c r="E14" s="1"/>
    </row>
    <row r="15" spans="1:5" x14ac:dyDescent="0.25">
      <c r="A15" s="4"/>
      <c r="B15" s="205">
        <v>43497</v>
      </c>
      <c r="C15" s="205">
        <v>43524</v>
      </c>
      <c r="D15" s="216">
        <v>630</v>
      </c>
      <c r="E15" s="1"/>
    </row>
    <row r="16" spans="1:5" x14ac:dyDescent="0.25">
      <c r="A16" s="4"/>
      <c r="B16" s="205">
        <v>43466</v>
      </c>
      <c r="C16" s="205">
        <v>43496</v>
      </c>
      <c r="D16" s="216">
        <v>710</v>
      </c>
      <c r="E16" s="1"/>
    </row>
    <row r="17" spans="1:5" x14ac:dyDescent="0.25">
      <c r="A17" s="4"/>
      <c r="B17" s="205">
        <v>43435</v>
      </c>
      <c r="C17" s="205">
        <v>43465</v>
      </c>
      <c r="D17" s="216">
        <v>882</v>
      </c>
      <c r="E17" s="1"/>
    </row>
    <row r="18" spans="1:5" x14ac:dyDescent="0.25">
      <c r="A18" s="4"/>
      <c r="B18" s="205">
        <v>43405</v>
      </c>
      <c r="C18" s="205">
        <v>43434</v>
      </c>
      <c r="D18" s="216">
        <v>439</v>
      </c>
      <c r="E18" s="1"/>
    </row>
    <row r="19" spans="1:5" x14ac:dyDescent="0.25">
      <c r="A19" s="4"/>
      <c r="B19" s="205">
        <v>43374</v>
      </c>
      <c r="C19" s="205">
        <v>43404</v>
      </c>
      <c r="D19" s="216">
        <v>432</v>
      </c>
      <c r="E19" s="1"/>
    </row>
    <row r="20" spans="1:5" x14ac:dyDescent="0.25">
      <c r="A20" s="4"/>
      <c r="B20" s="205">
        <v>43344</v>
      </c>
      <c r="C20" s="205">
        <v>43373</v>
      </c>
      <c r="D20" s="216">
        <v>160</v>
      </c>
      <c r="E20" s="1"/>
    </row>
    <row r="21" spans="1:5" x14ac:dyDescent="0.25">
      <c r="A21" s="4"/>
      <c r="B21" s="205">
        <v>43313</v>
      </c>
      <c r="C21" s="205">
        <v>43343</v>
      </c>
      <c r="D21" s="216">
        <v>100</v>
      </c>
      <c r="E21" s="1"/>
    </row>
    <row r="22" spans="1:5" x14ac:dyDescent="0.25">
      <c r="A22" s="4"/>
      <c r="B22" s="205">
        <v>43282</v>
      </c>
      <c r="C22" s="205">
        <v>43312</v>
      </c>
      <c r="D22" s="216">
        <v>200</v>
      </c>
      <c r="E22" s="1"/>
    </row>
    <row r="23" spans="1:5" x14ac:dyDescent="0.25">
      <c r="A23" s="4"/>
      <c r="B23" s="205">
        <v>43252</v>
      </c>
      <c r="C23" s="205">
        <v>43281</v>
      </c>
      <c r="D23" s="216">
        <v>240</v>
      </c>
      <c r="E23" s="1"/>
    </row>
    <row r="24" spans="1:5" x14ac:dyDescent="0.25">
      <c r="A24" s="4"/>
      <c r="B24" s="205">
        <v>43221</v>
      </c>
      <c r="C24" s="205">
        <v>43251</v>
      </c>
      <c r="D24" s="216">
        <v>150</v>
      </c>
      <c r="E24" s="1"/>
    </row>
    <row r="25" spans="1:5" x14ac:dyDescent="0.25">
      <c r="A25" s="4"/>
      <c r="B25" s="205">
        <v>43191</v>
      </c>
      <c r="C25" s="205">
        <v>43220</v>
      </c>
      <c r="D25" s="216">
        <v>193</v>
      </c>
      <c r="E25" s="1"/>
    </row>
    <row r="26" spans="1:5" x14ac:dyDescent="0.25">
      <c r="A26" s="4"/>
      <c r="B26" s="205">
        <v>43160</v>
      </c>
      <c r="C26" s="205">
        <v>43190</v>
      </c>
      <c r="D26" s="216">
        <v>410</v>
      </c>
      <c r="E26" s="1"/>
    </row>
    <row r="27" spans="1:5" x14ac:dyDescent="0.25">
      <c r="A27" s="4"/>
      <c r="B27" s="205">
        <v>43132</v>
      </c>
      <c r="C27" s="205">
        <v>43159</v>
      </c>
      <c r="D27" s="216">
        <v>630</v>
      </c>
      <c r="E27" s="1"/>
    </row>
    <row r="28" spans="1:5" x14ac:dyDescent="0.25">
      <c r="A28" s="4"/>
      <c r="B28" s="205">
        <v>43101</v>
      </c>
      <c r="C28" s="205">
        <v>43131</v>
      </c>
      <c r="D28" s="216">
        <v>710</v>
      </c>
      <c r="E28" s="1"/>
    </row>
    <row r="29" spans="1:5" x14ac:dyDescent="0.25">
      <c r="A29" s="4"/>
      <c r="B29" s="205">
        <v>43070</v>
      </c>
      <c r="C29" s="205">
        <v>43100</v>
      </c>
      <c r="D29" s="216">
        <v>882</v>
      </c>
      <c r="E29" s="1"/>
    </row>
    <row r="30" spans="1:5" x14ac:dyDescent="0.25">
      <c r="A30" s="4"/>
      <c r="B30" s="205">
        <v>43040</v>
      </c>
      <c r="C30" s="205">
        <v>43069</v>
      </c>
      <c r="D30" s="216">
        <v>439</v>
      </c>
      <c r="E30" s="1"/>
    </row>
    <row r="31" spans="1:5" x14ac:dyDescent="0.25">
      <c r="A31" s="4"/>
      <c r="B31" s="205">
        <v>43009</v>
      </c>
      <c r="C31" s="205">
        <v>43039</v>
      </c>
      <c r="D31" s="216">
        <v>432</v>
      </c>
      <c r="E31" s="1"/>
    </row>
    <row r="32" spans="1:5" x14ac:dyDescent="0.25">
      <c r="A32" s="4"/>
      <c r="B32" s="205">
        <v>42979</v>
      </c>
      <c r="C32" s="205">
        <v>43008</v>
      </c>
      <c r="D32" s="216">
        <v>772</v>
      </c>
      <c r="E32" s="1"/>
    </row>
    <row r="33" spans="1:10" x14ac:dyDescent="0.25">
      <c r="A33" s="4"/>
      <c r="B33" s="205"/>
      <c r="C33" s="205"/>
      <c r="D33" s="216">
        <f>SUM(D21:D32)</f>
        <v>5158</v>
      </c>
      <c r="E33" s="1"/>
    </row>
    <row r="34" spans="1:10" x14ac:dyDescent="0.25">
      <c r="A34" s="4"/>
      <c r="B34" s="205"/>
      <c r="C34" s="205"/>
      <c r="D34" s="216">
        <f>SUM(D9:D19)</f>
        <v>4386</v>
      </c>
      <c r="E34" s="1"/>
    </row>
    <row r="35" spans="1:10" x14ac:dyDescent="0.25">
      <c r="A35" s="4"/>
      <c r="B35" s="205"/>
      <c r="C35" s="205"/>
      <c r="D35" s="216"/>
      <c r="E35" s="1"/>
    </row>
    <row r="36" spans="1:10" x14ac:dyDescent="0.25">
      <c r="A36" s="4"/>
      <c r="B36" s="205"/>
      <c r="C36" s="205"/>
      <c r="D36" s="216"/>
      <c r="E36" s="1"/>
    </row>
    <row r="37" spans="1:10" ht="12.75" customHeight="1" x14ac:dyDescent="0.25">
      <c r="A37" s="3"/>
      <c r="B37" s="14"/>
      <c r="C37" s="14"/>
      <c r="D37" s="17"/>
      <c r="E37" s="1"/>
      <c r="J37" s="2" t="s">
        <v>547</v>
      </c>
    </row>
    <row r="38" spans="1:10" ht="13.5" hidden="1" customHeight="1" x14ac:dyDescent="0.25">
      <c r="A38" s="3"/>
      <c r="B38" s="15"/>
      <c r="C38" s="15"/>
      <c r="D38" s="15"/>
      <c r="E38" s="1"/>
      <c r="J38" t="s">
        <v>663</v>
      </c>
    </row>
    <row r="39" spans="1:10" ht="25.5" customHeight="1" x14ac:dyDescent="0.25">
      <c r="A39" s="3" t="s">
        <v>544</v>
      </c>
      <c r="B39" s="15"/>
      <c r="C39" s="15"/>
      <c r="D39" s="15"/>
      <c r="E39" s="1"/>
      <c r="J39" s="2" t="s">
        <v>671</v>
      </c>
    </row>
    <row r="44" spans="1:10" x14ac:dyDescent="0.25">
      <c r="G44" s="2" t="s">
        <v>528</v>
      </c>
    </row>
    <row r="45" spans="1:10" x14ac:dyDescent="0.25">
      <c r="G45" s="2" t="s">
        <v>535</v>
      </c>
    </row>
    <row r="46" spans="1:10" x14ac:dyDescent="0.25">
      <c r="G46" s="2" t="s">
        <v>550</v>
      </c>
    </row>
    <row r="47" spans="1:10" x14ac:dyDescent="0.25">
      <c r="G47" s="2" t="s">
        <v>524</v>
      </c>
    </row>
    <row r="48" spans="1:10" x14ac:dyDescent="0.25">
      <c r="G48" s="2" t="s">
        <v>548</v>
      </c>
    </row>
    <row r="50" spans="7:7" x14ac:dyDescent="0.25">
      <c r="G50" s="2" t="s">
        <v>547</v>
      </c>
    </row>
  </sheetData>
  <sheetProtection algorithmName="SHA-512" hashValue="xK8aCEQUQ6udgAJXYXTldTBTM+YT8FXC5pYsi9vaWqjgT1Pw/5lxu6wnNG/chwyEa0hsT1quiLxX5/N7mWYwJw==" saltValue="dPe4hhT5F2u8coo4B1xVeQ==" spinCount="100000" sheet="1" objects="1" scenarios="1"/>
  <dataValidations count="6">
    <dataValidation type="textLength" allowBlank="1" showInputMessage="1" showErrorMessage="1" errorTitle="Data Source" error="It can only accept 40 characters." sqref="D5">
      <formula1>0</formula1>
      <formula2>40</formula2>
    </dataValidation>
    <dataValidation type="decimal" allowBlank="1" showInputMessage="1" showErrorMessage="1" error="Please enter a valid reading." sqref="D7:D36">
      <formula1>0</formula1>
      <formula2>9999999999</formula2>
    </dataValidation>
    <dataValidation type="date" allowBlank="1" showInputMessage="1" showErrorMessage="1" error="Please enter a valid date in mm/dd/yyyy format." sqref="B7:C36">
      <formula1>1</formula1>
      <formula2>73415</formula2>
    </dataValidation>
    <dataValidation allowBlank="1" showInputMessage="1" showErrorMessage="1" error="Please enter a valid date in mm/dd/yyyy format." sqref="B37:D39"/>
    <dataValidation type="list" allowBlank="1" showInputMessage="1" showErrorMessage="1" sqref="D3">
      <formula1>ElectricityDrp</formula1>
    </dataValidation>
    <dataValidation type="list" allowBlank="1" showInputMessage="1" showErrorMessage="1" error="Units cannot edit." sqref="D4">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4034" r:id="rId4" name="Button 2">
              <controlPr defaultSize="0" print="0" autoFill="0" autoPict="0" macro="[0]!Button7_Click">
                <anchor moveWithCells="1">
                  <from>
                    <xdr:col>1</xdr:col>
                    <xdr:colOff>123825</xdr:colOff>
                    <xdr:row>38</xdr:row>
                    <xdr:rowOff>9525</xdr:rowOff>
                  </from>
                  <to>
                    <xdr:col>2</xdr:col>
                    <xdr:colOff>0</xdr:colOff>
                    <xdr:row>38</xdr:row>
                    <xdr:rowOff>276225</xdr:rowOff>
                  </to>
                </anchor>
              </controlPr>
            </control>
          </mc:Choice>
        </mc:AlternateContent>
        <mc:AlternateContent xmlns:mc="http://schemas.openxmlformats.org/markup-compatibility/2006">
          <mc:Choice Requires="x14">
            <control shapeId="44035" r:id="rId5" name="Button 3">
              <controlPr defaultSize="0" print="0" autoFill="0" autoPict="0" macro="[0]!Button13_Click">
                <anchor moveWithCells="1">
                  <from>
                    <xdr:col>2</xdr:col>
                    <xdr:colOff>47625</xdr:colOff>
                    <xdr:row>38</xdr:row>
                    <xdr:rowOff>9525</xdr:rowOff>
                  </from>
                  <to>
                    <xdr:col>2</xdr:col>
                    <xdr:colOff>1304925</xdr:colOff>
                    <xdr:row>38</xdr:row>
                    <xdr:rowOff>276225</xdr:rowOff>
                  </to>
                </anchor>
              </controlPr>
            </control>
          </mc:Choice>
        </mc:AlternateContent>
        <mc:AlternateContent xmlns:mc="http://schemas.openxmlformats.org/markup-compatibility/2006">
          <mc:Choice Requires="x14">
            <control shapeId="44036" r:id="rId6" name="Button 4">
              <controlPr defaultSize="0" print="0" autoFill="0" autoPict="0" macro="[0]!Button6_Click">
                <anchor moveWithCells="1" sizeWithCells="1">
                  <from>
                    <xdr:col>2</xdr:col>
                    <xdr:colOff>1362075</xdr:colOff>
                    <xdr:row>36</xdr:row>
                    <xdr:rowOff>142875</xdr:rowOff>
                  </from>
                  <to>
                    <xdr:col>3</xdr:col>
                    <xdr:colOff>1104900</xdr:colOff>
                    <xdr:row>38</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I76"/>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K14" sqref="K14"/>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3" t="s">
        <v>588</v>
      </c>
      <c r="B1" s="3" t="str">
        <f ca="1">MID(CELL("filename",A1),FIND("]",CELL("filename",A1))+1,256)</f>
        <v>Test Water Meter</v>
      </c>
      <c r="C1" s="1"/>
      <c r="D1" s="78" t="str">
        <f ca="1">B1</f>
        <v>Test Water Meter</v>
      </c>
      <c r="E1" s="1"/>
    </row>
    <row r="2" spans="1:5" ht="16.5" x14ac:dyDescent="0.3">
      <c r="A2" s="3" t="s">
        <v>588</v>
      </c>
      <c r="B2" s="224" t="s">
        <v>562</v>
      </c>
      <c r="C2" s="208"/>
      <c r="D2" s="214" t="s">
        <v>743</v>
      </c>
      <c r="E2" s="1"/>
    </row>
    <row r="3" spans="1:5" ht="16.5" x14ac:dyDescent="0.3">
      <c r="A3" s="3" t="s">
        <v>588</v>
      </c>
      <c r="B3" s="223" t="s">
        <v>669</v>
      </c>
      <c r="C3" s="211"/>
      <c r="D3" s="214" t="s">
        <v>664</v>
      </c>
      <c r="E3" s="1"/>
    </row>
    <row r="4" spans="1:5" ht="16.5" x14ac:dyDescent="0.3">
      <c r="A4" s="3" t="s">
        <v>588</v>
      </c>
      <c r="B4" s="223" t="s">
        <v>563</v>
      </c>
      <c r="C4" s="211"/>
      <c r="D4" s="214" t="s">
        <v>523</v>
      </c>
      <c r="E4" s="1"/>
    </row>
    <row r="5" spans="1:5" ht="15" customHeight="1" x14ac:dyDescent="0.3">
      <c r="A5" s="3" t="s">
        <v>588</v>
      </c>
      <c r="B5" s="158" t="s">
        <v>670</v>
      </c>
      <c r="C5" s="213"/>
      <c r="D5" s="214"/>
      <c r="E5" s="1"/>
    </row>
    <row r="6" spans="1:5" ht="31.5" customHeight="1" x14ac:dyDescent="0.25">
      <c r="A6" s="3">
        <v>47</v>
      </c>
      <c r="B6" s="215" t="s">
        <v>542</v>
      </c>
      <c r="C6" s="215" t="s">
        <v>543</v>
      </c>
      <c r="D6" s="163" t="str">
        <f>CONCATENATE("Period Consumption 
","(",D4,")")</f>
        <v>Period Consumption 
(gal)</v>
      </c>
      <c r="E6" s="1"/>
    </row>
    <row r="7" spans="1:5" x14ac:dyDescent="0.25">
      <c r="A7" s="3"/>
      <c r="B7" s="205">
        <v>43739</v>
      </c>
      <c r="C7" s="205">
        <v>43769</v>
      </c>
      <c r="D7" s="216">
        <v>250</v>
      </c>
      <c r="E7" s="1"/>
    </row>
    <row r="8" spans="1:5" x14ac:dyDescent="0.25">
      <c r="A8" s="3">
        <v>0</v>
      </c>
      <c r="B8" s="205">
        <v>43709</v>
      </c>
      <c r="C8" s="205">
        <v>43738</v>
      </c>
      <c r="D8" s="216">
        <v>150</v>
      </c>
      <c r="E8" s="1"/>
    </row>
    <row r="9" spans="1:5" x14ac:dyDescent="0.25">
      <c r="A9" s="3">
        <v>0</v>
      </c>
      <c r="B9" s="205">
        <v>43678</v>
      </c>
      <c r="C9" s="205">
        <v>43708</v>
      </c>
      <c r="D9" s="216">
        <v>100</v>
      </c>
      <c r="E9" s="1"/>
    </row>
    <row r="10" spans="1:5" x14ac:dyDescent="0.25">
      <c r="A10" s="3">
        <v>0</v>
      </c>
      <c r="B10" s="205">
        <v>43647</v>
      </c>
      <c r="C10" s="205">
        <v>43677</v>
      </c>
      <c r="D10" s="216">
        <v>200</v>
      </c>
      <c r="E10" s="1"/>
    </row>
    <row r="11" spans="1:5" x14ac:dyDescent="0.25">
      <c r="A11" s="3">
        <v>0</v>
      </c>
      <c r="B11" s="205">
        <v>43617</v>
      </c>
      <c r="C11" s="205">
        <v>43646</v>
      </c>
      <c r="D11" s="216">
        <v>240</v>
      </c>
      <c r="E11" s="1"/>
    </row>
    <row r="12" spans="1:5" x14ac:dyDescent="0.25">
      <c r="A12" s="3">
        <v>0</v>
      </c>
      <c r="B12" s="205">
        <v>43586</v>
      </c>
      <c r="C12" s="205">
        <v>43616</v>
      </c>
      <c r="D12" s="216">
        <v>150</v>
      </c>
      <c r="E12" s="1"/>
    </row>
    <row r="13" spans="1:5" x14ac:dyDescent="0.25">
      <c r="A13" s="3">
        <v>0</v>
      </c>
      <c r="B13" s="205">
        <v>43556</v>
      </c>
      <c r="C13" s="205">
        <v>43585</v>
      </c>
      <c r="D13" s="216">
        <v>193</v>
      </c>
      <c r="E13" s="1"/>
    </row>
    <row r="14" spans="1:5" x14ac:dyDescent="0.25">
      <c r="A14" s="3">
        <v>0</v>
      </c>
      <c r="B14" s="205">
        <v>43525</v>
      </c>
      <c r="C14" s="205">
        <v>43555</v>
      </c>
      <c r="D14" s="216">
        <v>410</v>
      </c>
      <c r="E14" s="1"/>
    </row>
    <row r="15" spans="1:5" x14ac:dyDescent="0.25">
      <c r="A15" s="3">
        <v>0</v>
      </c>
      <c r="B15" s="205">
        <v>43497</v>
      </c>
      <c r="C15" s="205">
        <v>43524</v>
      </c>
      <c r="D15" s="216">
        <v>630</v>
      </c>
      <c r="E15" s="1"/>
    </row>
    <row r="16" spans="1:5" x14ac:dyDescent="0.25">
      <c r="A16" s="3">
        <v>0</v>
      </c>
      <c r="B16" s="205">
        <v>43466</v>
      </c>
      <c r="C16" s="205">
        <v>43496</v>
      </c>
      <c r="D16" s="216">
        <v>710</v>
      </c>
      <c r="E16" s="1"/>
    </row>
    <row r="17" spans="1:5" x14ac:dyDescent="0.25">
      <c r="A17" s="3">
        <v>0</v>
      </c>
      <c r="B17" s="205">
        <v>43435</v>
      </c>
      <c r="C17" s="205">
        <v>43465</v>
      </c>
      <c r="D17" s="216">
        <v>882</v>
      </c>
      <c r="E17" s="1"/>
    </row>
    <row r="18" spans="1:5" x14ac:dyDescent="0.25">
      <c r="A18" s="3">
        <v>0</v>
      </c>
      <c r="B18" s="205">
        <v>43405</v>
      </c>
      <c r="C18" s="205">
        <v>43434</v>
      </c>
      <c r="D18" s="216">
        <v>439</v>
      </c>
      <c r="E18" s="1"/>
    </row>
    <row r="19" spans="1:5" x14ac:dyDescent="0.25">
      <c r="A19" s="3">
        <v>0</v>
      </c>
      <c r="B19" s="205">
        <v>43374</v>
      </c>
      <c r="C19" s="205">
        <v>43404</v>
      </c>
      <c r="D19" s="216">
        <v>432</v>
      </c>
      <c r="E19" s="1"/>
    </row>
    <row r="20" spans="1:5" x14ac:dyDescent="0.25">
      <c r="A20" s="3"/>
      <c r="B20" s="205">
        <v>43344</v>
      </c>
      <c r="C20" s="205">
        <v>43373</v>
      </c>
      <c r="D20" s="216">
        <v>160</v>
      </c>
      <c r="E20" s="1"/>
    </row>
    <row r="21" spans="1:5" x14ac:dyDescent="0.25">
      <c r="A21" s="3"/>
      <c r="B21" s="205">
        <v>43313</v>
      </c>
      <c r="C21" s="205">
        <v>43343</v>
      </c>
      <c r="D21" s="216">
        <v>100</v>
      </c>
      <c r="E21" s="1"/>
    </row>
    <row r="22" spans="1:5" x14ac:dyDescent="0.25">
      <c r="A22" s="3"/>
      <c r="B22" s="205">
        <v>43282</v>
      </c>
      <c r="C22" s="205">
        <v>43312</v>
      </c>
      <c r="D22" s="216">
        <v>200</v>
      </c>
      <c r="E22" s="1"/>
    </row>
    <row r="23" spans="1:5" x14ac:dyDescent="0.25">
      <c r="A23" s="3"/>
      <c r="B23" s="205">
        <v>43252</v>
      </c>
      <c r="C23" s="205">
        <v>43281</v>
      </c>
      <c r="D23" s="216">
        <v>240</v>
      </c>
      <c r="E23" s="1"/>
    </row>
    <row r="24" spans="1:5" x14ac:dyDescent="0.25">
      <c r="A24" s="3"/>
      <c r="B24" s="205">
        <v>43221</v>
      </c>
      <c r="C24" s="205">
        <v>43251</v>
      </c>
      <c r="D24" s="216">
        <v>150</v>
      </c>
      <c r="E24" s="1"/>
    </row>
    <row r="25" spans="1:5" x14ac:dyDescent="0.25">
      <c r="A25" s="3"/>
      <c r="B25" s="205">
        <v>43191</v>
      </c>
      <c r="C25" s="205">
        <v>43220</v>
      </c>
      <c r="D25" s="216">
        <v>193</v>
      </c>
      <c r="E25" s="1"/>
    </row>
    <row r="26" spans="1:5" x14ac:dyDescent="0.25">
      <c r="A26" s="3"/>
      <c r="B26" s="205">
        <v>43160</v>
      </c>
      <c r="C26" s="205">
        <v>43190</v>
      </c>
      <c r="D26" s="216">
        <v>410</v>
      </c>
      <c r="E26" s="1"/>
    </row>
    <row r="27" spans="1:5" x14ac:dyDescent="0.25">
      <c r="A27" s="3"/>
      <c r="B27" s="205">
        <v>43132</v>
      </c>
      <c r="C27" s="205">
        <v>43159</v>
      </c>
      <c r="D27" s="216">
        <v>630</v>
      </c>
      <c r="E27" s="1"/>
    </row>
    <row r="28" spans="1:5" x14ac:dyDescent="0.25">
      <c r="A28" s="3"/>
      <c r="B28" s="205">
        <v>43101</v>
      </c>
      <c r="C28" s="205">
        <v>43131</v>
      </c>
      <c r="D28" s="216">
        <v>710</v>
      </c>
      <c r="E28" s="1"/>
    </row>
    <row r="29" spans="1:5" x14ac:dyDescent="0.25">
      <c r="A29" s="3"/>
      <c r="B29" s="205">
        <v>43070</v>
      </c>
      <c r="C29" s="205">
        <v>43100</v>
      </c>
      <c r="D29" s="216">
        <v>882</v>
      </c>
      <c r="E29" s="1"/>
    </row>
    <row r="30" spans="1:5" x14ac:dyDescent="0.25">
      <c r="A30" s="3"/>
      <c r="B30" s="205">
        <v>43040</v>
      </c>
      <c r="C30" s="205">
        <v>43069</v>
      </c>
      <c r="D30" s="216">
        <v>439</v>
      </c>
      <c r="E30" s="1"/>
    </row>
    <row r="31" spans="1:5" x14ac:dyDescent="0.25">
      <c r="A31" s="3"/>
      <c r="B31" s="205">
        <v>43009</v>
      </c>
      <c r="C31" s="205">
        <v>43039</v>
      </c>
      <c r="D31" s="216">
        <v>432</v>
      </c>
      <c r="E31" s="1"/>
    </row>
    <row r="32" spans="1:5" x14ac:dyDescent="0.25">
      <c r="A32" s="3"/>
      <c r="B32" s="205">
        <v>42979</v>
      </c>
      <c r="C32" s="205">
        <v>43008</v>
      </c>
      <c r="D32" s="216">
        <v>772</v>
      </c>
      <c r="E32" s="1"/>
    </row>
    <row r="33" spans="1:9" x14ac:dyDescent="0.25">
      <c r="A33" s="3"/>
      <c r="B33" s="205"/>
      <c r="C33" s="205"/>
      <c r="D33" s="206"/>
      <c r="E33" s="1"/>
    </row>
    <row r="34" spans="1:9" x14ac:dyDescent="0.25">
      <c r="A34" s="3"/>
      <c r="B34" s="205"/>
      <c r="C34" s="205"/>
      <c r="D34" s="206"/>
      <c r="E34" s="1"/>
    </row>
    <row r="35" spans="1:9" x14ac:dyDescent="0.25">
      <c r="A35" s="3"/>
      <c r="B35" s="205"/>
      <c r="C35" s="205"/>
      <c r="D35" s="206"/>
      <c r="E35" s="1"/>
    </row>
    <row r="36" spans="1:9" x14ac:dyDescent="0.25">
      <c r="A36" s="3"/>
      <c r="B36" s="205"/>
      <c r="C36" s="205"/>
      <c r="D36" s="206"/>
      <c r="E36" s="1"/>
    </row>
    <row r="37" spans="1:9" x14ac:dyDescent="0.25">
      <c r="A37" s="3"/>
      <c r="B37" s="205"/>
      <c r="C37" s="205"/>
      <c r="D37" s="206"/>
      <c r="E37" s="1"/>
    </row>
    <row r="38" spans="1:9" x14ac:dyDescent="0.25">
      <c r="A38" s="3"/>
      <c r="B38" s="205"/>
      <c r="C38" s="205"/>
      <c r="D38" s="206"/>
      <c r="E38" s="1"/>
    </row>
    <row r="39" spans="1:9" x14ac:dyDescent="0.25">
      <c r="A39" s="3"/>
      <c r="B39" s="205"/>
      <c r="C39" s="205"/>
      <c r="D39" s="206"/>
      <c r="E39" s="1"/>
    </row>
    <row r="40" spans="1:9" x14ac:dyDescent="0.25">
      <c r="A40" s="3"/>
      <c r="B40" s="205"/>
      <c r="C40" s="205"/>
      <c r="D40" s="206"/>
      <c r="E40" s="1"/>
    </row>
    <row r="41" spans="1:9" x14ac:dyDescent="0.25">
      <c r="A41" s="3"/>
      <c r="B41" s="205"/>
      <c r="C41" s="205"/>
      <c r="D41" s="206"/>
      <c r="E41" s="1"/>
    </row>
    <row r="42" spans="1:9" x14ac:dyDescent="0.25">
      <c r="A42" s="3"/>
      <c r="B42" s="205"/>
      <c r="C42" s="205"/>
      <c r="D42" s="206"/>
      <c r="E42" s="1"/>
    </row>
    <row r="43" spans="1:9" x14ac:dyDescent="0.25">
      <c r="A43" s="3"/>
      <c r="B43" s="205"/>
      <c r="C43" s="205"/>
      <c r="D43" s="206"/>
      <c r="E43" s="1"/>
    </row>
    <row r="44" spans="1:9" x14ac:dyDescent="0.25">
      <c r="A44" s="3"/>
      <c r="B44" s="205"/>
      <c r="C44" s="205"/>
      <c r="D44" s="206"/>
      <c r="E44" s="1"/>
    </row>
    <row r="45" spans="1:9" x14ac:dyDescent="0.25">
      <c r="A45" s="3"/>
      <c r="B45" s="14"/>
      <c r="C45" s="14"/>
      <c r="D45" s="17"/>
      <c r="E45" s="1"/>
    </row>
    <row r="46" spans="1:9" ht="6" customHeight="1" x14ac:dyDescent="0.25">
      <c r="A46" s="3"/>
      <c r="B46" s="14"/>
      <c r="C46" s="14"/>
      <c r="D46" s="17"/>
      <c r="E46" s="1"/>
      <c r="I46" t="s">
        <v>664</v>
      </c>
    </row>
    <row r="47" spans="1:9" ht="25.5" customHeight="1" x14ac:dyDescent="0.25">
      <c r="A47" s="3" t="s">
        <v>544</v>
      </c>
      <c r="B47" s="15"/>
      <c r="C47" s="15"/>
      <c r="D47" s="15"/>
      <c r="E47" s="1"/>
      <c r="I47" t="s">
        <v>665</v>
      </c>
    </row>
    <row r="48" spans="1:9" x14ac:dyDescent="0.25">
      <c r="I48" t="s">
        <v>666</v>
      </c>
    </row>
    <row r="52" spans="8:8" x14ac:dyDescent="0.25">
      <c r="H52" t="s">
        <v>523</v>
      </c>
    </row>
    <row r="53" spans="8:8" x14ac:dyDescent="0.25">
      <c r="H53" t="s">
        <v>526</v>
      </c>
    </row>
    <row r="54" spans="8:8" x14ac:dyDescent="0.25">
      <c r="H54" t="s">
        <v>545</v>
      </c>
    </row>
    <row r="55" spans="8:8" x14ac:dyDescent="0.25">
      <c r="H55" t="s">
        <v>546</v>
      </c>
    </row>
    <row r="56" spans="8:8" x14ac:dyDescent="0.25">
      <c r="H56" t="s">
        <v>520</v>
      </c>
    </row>
    <row r="57" spans="8:8" x14ac:dyDescent="0.25">
      <c r="H57" t="s">
        <v>525</v>
      </c>
    </row>
    <row r="58" spans="8:8" x14ac:dyDescent="0.25">
      <c r="H58" t="s">
        <v>540</v>
      </c>
    </row>
    <row r="59" spans="8:8" x14ac:dyDescent="0.25">
      <c r="H59" t="s">
        <v>559</v>
      </c>
    </row>
    <row r="60" spans="8:8" x14ac:dyDescent="0.25">
      <c r="H60" t="s">
        <v>522</v>
      </c>
    </row>
    <row r="61" spans="8:8" x14ac:dyDescent="0.25">
      <c r="H61" s="2" t="s">
        <v>541</v>
      </c>
    </row>
    <row r="62" spans="8:8" x14ac:dyDescent="0.25">
      <c r="H62" s="2" t="s">
        <v>560</v>
      </c>
    </row>
    <row r="63" spans="8:8" x14ac:dyDescent="0.25">
      <c r="H63" s="2" t="s">
        <v>561</v>
      </c>
    </row>
    <row r="64" spans="8:8" x14ac:dyDescent="0.25">
      <c r="H64" t="s">
        <v>667</v>
      </c>
    </row>
    <row r="65" spans="8:8" x14ac:dyDescent="0.25">
      <c r="H65" t="s">
        <v>668</v>
      </c>
    </row>
    <row r="66" spans="8:8" x14ac:dyDescent="0.25">
      <c r="H66" t="s">
        <v>662</v>
      </c>
    </row>
    <row r="67" spans="8:8" x14ac:dyDescent="0.25">
      <c r="H67"/>
    </row>
    <row r="68" spans="8:8" x14ac:dyDescent="0.25">
      <c r="H68"/>
    </row>
    <row r="69" spans="8:8" x14ac:dyDescent="0.25">
      <c r="H69"/>
    </row>
    <row r="70" spans="8:8" x14ac:dyDescent="0.25">
      <c r="H70"/>
    </row>
    <row r="71" spans="8:8" x14ac:dyDescent="0.25">
      <c r="H71"/>
    </row>
    <row r="72" spans="8:8" x14ac:dyDescent="0.25">
      <c r="H72"/>
    </row>
    <row r="73" spans="8:8" x14ac:dyDescent="0.25">
      <c r="H73"/>
    </row>
    <row r="74" spans="8:8" x14ac:dyDescent="0.25">
      <c r="H74"/>
    </row>
    <row r="75" spans="8:8" x14ac:dyDescent="0.25">
      <c r="H75"/>
    </row>
    <row r="76" spans="8:8" x14ac:dyDescent="0.25">
      <c r="H76"/>
    </row>
  </sheetData>
  <sheetProtection algorithmName="SHA-512" hashValue="M3MIf3SY1ir07Nn+FwCLQNb45Sk5jHMsn0WGhA3WXL5qL1qg8DMgWg2bSdJ5YuwJPYnx8A5QLpuNQ7tRFDiQNA==" saltValue="H3V/SMmCBBcmzua7VOmMvA==" spinCount="100000" sheet="1" objects="1" scenarios="1"/>
  <dataValidations count="6">
    <dataValidation type="textLength" allowBlank="1" showInputMessage="1" showErrorMessage="1" errorTitle="Data Source" error="It can only accept 40 characters." sqref="D5">
      <formula1>0</formula1>
      <formula2>40</formula2>
    </dataValidation>
    <dataValidation allowBlank="1" showInputMessage="1" showErrorMessage="1" error="Please enter a valid date in mm/dd/yyyy format." sqref="B45:D47"/>
    <dataValidation type="list" allowBlank="1" showInputMessage="1" showErrorMessage="1" sqref="D3">
      <formula1>WaterDrp</formula1>
    </dataValidation>
    <dataValidation type="list" allowBlank="1" showInputMessage="1" showErrorMessage="1" error="Units cannot edit." sqref="D4">
      <formula1>watUni</formula1>
    </dataValidation>
    <dataValidation type="decimal" allowBlank="1" showInputMessage="1" showErrorMessage="1" error="Please enter a valid reading." sqref="D7:D44">
      <formula1>0</formula1>
      <formula2>9999999999</formula2>
    </dataValidation>
    <dataValidation type="date" allowBlank="1" showInputMessage="1" showErrorMessage="1" error="Please enter a valid date in mm/dd/yyyy format." sqref="B7:C44">
      <formula1>1</formula1>
      <formula2>73415</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7_Click">
                <anchor moveWithCells="1">
                  <from>
                    <xdr:col>1</xdr:col>
                    <xdr:colOff>123825</xdr:colOff>
                    <xdr:row>45</xdr:row>
                    <xdr:rowOff>0</xdr:rowOff>
                  </from>
                  <to>
                    <xdr:col>2</xdr:col>
                    <xdr:colOff>0</xdr:colOff>
                    <xdr:row>46</xdr:row>
                    <xdr:rowOff>190500</xdr:rowOff>
                  </to>
                </anchor>
              </controlPr>
            </control>
          </mc:Choice>
        </mc:AlternateContent>
        <mc:AlternateContent xmlns:mc="http://schemas.openxmlformats.org/markup-compatibility/2006">
          <mc:Choice Requires="x14">
            <control shapeId="45058" r:id="rId5" name="Button 2">
              <controlPr defaultSize="0" print="0" autoFill="0" autoPict="0" macro="[0]!Button13_Click">
                <anchor moveWithCells="1">
                  <from>
                    <xdr:col>2</xdr:col>
                    <xdr:colOff>38100</xdr:colOff>
                    <xdr:row>45</xdr:row>
                    <xdr:rowOff>0</xdr:rowOff>
                  </from>
                  <to>
                    <xdr:col>2</xdr:col>
                    <xdr:colOff>1295400</xdr:colOff>
                    <xdr:row>46</xdr:row>
                    <xdr:rowOff>190500</xdr:rowOff>
                  </to>
                </anchor>
              </controlPr>
            </control>
          </mc:Choice>
        </mc:AlternateContent>
        <mc:AlternateContent xmlns:mc="http://schemas.openxmlformats.org/markup-compatibility/2006">
          <mc:Choice Requires="x14">
            <control shapeId="45059" r:id="rId6" name="Button 3">
              <controlPr defaultSize="0" print="0" autoFill="0" autoPict="0" macro="[0]!Button15_Click">
                <anchor moveWithCells="1" sizeWithCells="1">
                  <from>
                    <xdr:col>2</xdr:col>
                    <xdr:colOff>1343025</xdr:colOff>
                    <xdr:row>44</xdr:row>
                    <xdr:rowOff>180975</xdr:rowOff>
                  </from>
                  <to>
                    <xdr:col>3</xdr:col>
                    <xdr:colOff>1085850</xdr:colOff>
                    <xdr:row>46</xdr:row>
                    <xdr:rowOff>209550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Test Energy Meter</vt:lpstr>
      <vt:lpstr>Test Water Meter</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Formaldehyde!elecName</vt:lpstr>
      <vt:lpstr>'Naphthalene '!elecName</vt:lpstr>
      <vt:lpstr>Ozone!elecName</vt:lpstr>
      <vt:lpstr>Styrene!elecName</vt:lpstr>
      <vt:lpstr>'Test Energy Meter'!elecName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Formaldehyde!ElectricityDrp</vt:lpstr>
      <vt:lpstr>'Naphthalene '!ElectricityDrp</vt:lpstr>
      <vt:lpstr>Ozone!ElectricityDrp</vt:lpstr>
      <vt:lpstr>Styrene!ElectricityDrp</vt:lpstr>
      <vt:lpstr>'Test Energy Meter'!ElectricityDrp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'Test Water Meter'!water_meter_type</vt:lpstr>
      <vt:lpstr>water_meter_type</vt:lpstr>
      <vt:lpstr>'Test Water Meter'!water_type</vt:lpstr>
      <vt:lpstr>water_type</vt:lpstr>
      <vt:lpstr>'Test Water Meter'!water_units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'Test Water Meter'!WaterDrp</vt:lpstr>
      <vt:lpstr>Toluene!WaterDrp</vt:lpstr>
      <vt:lpstr>'Xylenes-total'!WaterDrp</vt:lpstr>
      <vt:lpstr>WaterDrp</vt:lpstr>
      <vt:lpstr>'Test Water Meter'!waterType</vt:lpstr>
      <vt:lpstr>waterType</vt:lpstr>
      <vt:lpstr>'Test Water Meter'!waterUnits</vt:lpstr>
      <vt:lpstr>waterUnits</vt:lpstr>
      <vt:lpstr>'Test Water Meter'!watUn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'Test Water Meter'!watUni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'Test Water Meter'!zep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2019-09-03T15:55:19Z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