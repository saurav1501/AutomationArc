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\AutomationArc\AutomationArc\ARCDataTemplete\"/>
    </mc:Choice>
  </mc:AlternateContent>
  <xr:revisionPtr revIDLastSave="0" documentId="13_ncr:1_{4940E273-0499-4C71-9A4C-AB4C3C86AEE9}" xr6:coauthVersionLast="36" xr6:coauthVersionMax="43" xr10:uidLastSave="{00000000-0000-0000-0000-000000000000}"/>
  <workbookProtection workbookAlgorithmName="SHA-512" workbookHashValue="ntvOSEtvMjyt4TIe4kwDvfjtEaYXvmtVXVE3hj7l8tt95Jb2/CEybk90L08xhiPoUjlRRNOaJAH0337MKKxzbA==" workbookSaltValue="3LvcAuIpPvGWMb1i79uqjA==" workbookSpinCount="100000" lockStructure="1"/>
  <bookViews>
    <workbookView xWindow="-120" yWindow="-120" windowWidth="20730" windowHeight="11160" firstSheet="4" activeTab="8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Meter" sheetId="28" r:id="rId5"/>
    <sheet name="AnalyticWaterMeter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4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20">base_e!$G$15:$G$19</definedName>
    <definedName name="elecName" localSheetId="14">base_e!$G$15:$G$19</definedName>
    <definedName name="elecName" localSheetId="12">Solar!$G$15:$G$19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4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20">base_e!$J$9:$J$10</definedName>
    <definedName name="ElectricityDrp" localSheetId="14">base_e!$J$9:$J$10</definedName>
    <definedName name="ElectricityDrp" localSheetId="12">Solar!$J$9:$J$10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4">base_f!#REF!</definedName>
    <definedName name="fuelname" localSheetId="5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20">'Naphthalene '!#REF!</definedName>
    <definedName name="fuelname" localSheetId="14">Ozone!#REF!</definedName>
    <definedName name="fuelname" localSheetId="12">base_f!#REF!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2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5">COUNTIF(AnalyticWaterMeter!$B:$B,AnalyticWaterMeter!A1)=1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AnalyticWaterMeter!$H$28:$I$40</definedName>
    <definedName name="water_meter_type">base_w!$H$27:$I$39</definedName>
    <definedName name="water_type" localSheetId="5">AnalyticWaterMeter!$H$28:$I$40</definedName>
    <definedName name="water_type">base_w!$H$27:$I$39</definedName>
    <definedName name="water_units" localSheetId="5">AnalyticWaterMeter!$H$16:$H$24</definedName>
    <definedName name="water_units">base_w!$H$15:$H$23</definedName>
    <definedName name="WaterDrp" localSheetId="16">base_w!$I$9:$I$11</definedName>
    <definedName name="WaterDrp" localSheetId="5">AnalyticWaterMeter!$I$10:$I$12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5">AnalyticWaterMeter!$H$28:$H$40</definedName>
    <definedName name="waterType">base_w!$H$27:$H$39</definedName>
    <definedName name="waterUnits" localSheetId="5">AnalyticWaterMeter!$J$11:$J$15</definedName>
    <definedName name="waterUnits">base_w!$J$10:$J$14</definedName>
    <definedName name="watUn" localSheetId="5">AnalyticWaterMeter!$H$16:$H$24</definedName>
    <definedName name="watUn">base_w!$H$15:$H$23</definedName>
    <definedName name="watUni" localSheetId="16">base_w!$H$15:$H$29</definedName>
    <definedName name="watUni" localSheetId="5">AnalyticWaterMeter!$H$16:$H$30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5">AnalyticWaterMeter!$J$9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8" i="14" l="1" a="1"/>
  <c r="H8" i="14" s="1"/>
  <c r="H6" i="14" l="1"/>
  <c r="H14" i="14"/>
  <c r="H10" i="14" a="1"/>
  <c r="H10" i="14" s="1"/>
  <c r="H15" i="14" s="1"/>
  <c r="H11" i="14" a="1"/>
  <c r="H11" i="14" s="1"/>
  <c r="E7" i="12"/>
  <c r="E8" i="12" l="1"/>
  <c r="D6" i="30"/>
  <c r="B1" i="30"/>
  <c r="D1" i="30" s="1"/>
  <c r="E7" i="13"/>
  <c r="E8" i="13" s="1"/>
  <c r="B8" i="13" s="1"/>
  <c r="B7" i="13"/>
  <c r="D7" i="13" s="1" a="1"/>
  <c r="D7" i="13" s="1"/>
  <c r="A7" i="13" s="1"/>
  <c r="I8" i="15" a="1"/>
  <c r="I8" i="15" s="1"/>
  <c r="C8" i="13" l="1"/>
  <c r="D8" i="13" a="1"/>
  <c r="D8" i="13" s="1"/>
  <c r="A8" i="13" s="1"/>
  <c r="C7" i="13"/>
  <c r="I6" i="15"/>
  <c r="I14" i="15"/>
  <c r="I10" i="15" a="1"/>
  <c r="I10" i="15" s="1"/>
  <c r="I15" i="15" s="1"/>
  <c r="I11" i="15" a="1"/>
  <c r="I11" i="15" s="1"/>
  <c r="D6" i="29"/>
  <c r="B1" i="29"/>
  <c r="D1" i="29" s="1"/>
  <c r="D6" i="28"/>
  <c r="B1" i="28"/>
  <c r="D1" i="28" s="1"/>
  <c r="J8" i="16" l="1"/>
  <c r="J9" i="16"/>
  <c r="J10" i="16"/>
  <c r="J11" i="16"/>
  <c r="J12" i="16"/>
  <c r="J13" i="16"/>
  <c r="J14" i="16"/>
  <c r="J15" i="16"/>
  <c r="J16" i="16"/>
  <c r="J17" i="16"/>
  <c r="J18" i="16"/>
  <c r="I19" i="16"/>
  <c r="F19" i="16" l="1"/>
  <c r="K8" i="16" l="1"/>
  <c r="K9" i="16"/>
  <c r="K10" i="16"/>
  <c r="K11" i="16"/>
  <c r="K12" i="16"/>
  <c r="K13" i="16"/>
  <c r="K14" i="16"/>
  <c r="K15" i="16"/>
  <c r="K16" i="16"/>
  <c r="K17" i="16"/>
  <c r="K18" i="16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D25" i="16" s="1"/>
  <c r="H19" i="16" l="1"/>
  <c r="H8" i="15" l="1" a="1"/>
  <c r="H8" i="15" s="1"/>
  <c r="G8" i="14" a="1"/>
  <c r="G8" i="14" s="1"/>
  <c r="B8" i="12" l="1"/>
  <c r="E19" i="16"/>
  <c r="C8" i="12" l="1"/>
  <c r="L17" i="16"/>
  <c r="L18" i="16"/>
  <c r="B10" i="15" l="1" a="1"/>
  <c r="B10" i="15" s="1"/>
  <c r="B10" i="14" a="1"/>
  <c r="B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A10" i="15"/>
  <c r="B11" i="15" a="1"/>
  <c r="B11" i="15" s="1"/>
  <c r="H10" i="15" a="1"/>
  <c r="H10" i="15" s="1"/>
  <c r="H6" i="15"/>
  <c r="H14" i="15"/>
  <c r="D1" i="8"/>
  <c r="D1" i="6"/>
  <c r="D1" i="4"/>
  <c r="J19" i="16"/>
  <c r="G6" i="14"/>
  <c r="G14" i="14"/>
  <c r="A10" i="14"/>
  <c r="G10" i="14" a="1"/>
  <c r="G10" i="14" s="1"/>
  <c r="B7" i="12" l="1"/>
  <c r="D28" i="16"/>
  <c r="D27" i="16"/>
  <c r="B18" i="15"/>
  <c r="C18" i="15" s="1"/>
  <c r="G11" i="14" a="1"/>
  <c r="G11" i="14" s="1"/>
  <c r="A11" i="14"/>
  <c r="A11" i="15"/>
  <c r="H11" i="15" a="1"/>
  <c r="H11" i="15" s="1"/>
  <c r="B18" i="14"/>
  <c r="C18" i="14" s="1"/>
  <c r="D8" i="12" l="1"/>
  <c r="A8" i="12" s="1"/>
  <c r="G15" i="14"/>
  <c r="D7" i="12" s="1"/>
  <c r="A7" i="12" s="1"/>
  <c r="C7" i="12"/>
  <c r="H15" i="15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<sst xmlns="http://schemas.openxmlformats.org/spreadsheetml/2006/main" count="3907" uniqueCount="747">
  <si>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</si>
  <si>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</si>
  <si>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</si>
  <si>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</si>
  <si>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</si>
  <si>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</si>
  <si>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</si>
  <si>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</si>
  <si>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</si>
  <si>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</si>
  <si>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</si>
  <si>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</si>
  <si>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</si>
  <si>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</si>
  <si>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</si>
  <si>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</si>
  <si>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</si>
  <si>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</si>
  <si>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</si>
  <si>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</si>
  <si>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</si>
  <si>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</si>
  <si>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</si>
  <si>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</si>
  <si>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</si>
  <si>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</si>
  <si>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</si>
  <si>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</si>
  <si>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</si>
  <si>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</si>
  <si>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</si>
  <si>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</si>
  <si>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</si>
  <si>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</si>
  <si>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</si>
  <si>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</si>
  <si>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</si>
  <si>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</si>
  <si>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</si>
  <si>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</si>
  <si>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</si>
  <si>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</si>
  <si>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</si>
  <si>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</si>
  <si>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</si>
  <si>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</si>
  <si>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</si>
  <si>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</si>
  <si>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</si>
  <si>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</si>
  <si>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</si>
  <si>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</si>
  <si>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</si>
  <si>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</si>
  <si>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</si>
  <si>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</si>
  <si>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</si>
  <si>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</si>
  <si>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</si>
  <si>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</si>
  <si>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</si>
  <si>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</si>
  <si>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</si>
  <si>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</si>
  <si>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</si>
  <si>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</si>
  <si>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</si>
  <si>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</si>
  <si>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</si>
  <si>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</si>
  <si>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</si>
  <si>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</si>
  <si>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</si>
  <si>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</si>
  <si>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</si>
  <si>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</si>
  <si>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</si>
  <si>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</si>
  <si>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</si>
  <si>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</si>
  <si>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</si>
  <si>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</si>
  <si>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</si>
  <si>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</si>
  <si>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</si>
  <si>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</si>
  <si>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</si>
  <si>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</si>
  <si>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</si>
  <si>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</si>
  <si>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</si>
  <si>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</si>
  <si>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</si>
  <si>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</si>
  <si>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</si>
  <si>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</si>
  <si>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</si>
  <si>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</si>
  <si>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</si>
  <si>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</si>
  <si>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</si>
  <si>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</si>
  <si>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</si>
  <si>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</si>
  <si>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</si>
  <si>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</si>
  <si>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</si>
  <si>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</si>
  <si>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</si>
  <si>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</si>
  <si>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</si>
  <si>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</si>
  <si>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</si>
  <si>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</si>
  <si>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</si>
  <si>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</si>
  <si>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</si>
  <si>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</si>
  <si>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</si>
  <si>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</si>
  <si>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</si>
  <si>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</si>
  <si>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</si>
  <si>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</si>
  <si>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</si>
  <si>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</si>
  <si>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</si>
  <si>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</si>
  <si>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</si>
  <si>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</si>
  <si>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</si>
  <si>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</si>
  <si>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</si>
  <si>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</si>
  <si>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</si>
  <si>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</si>
  <si>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</si>
  <si>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</si>
  <si>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</si>
  <si>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</si>
  <si>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</si>
  <si>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</si>
  <si>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</si>
  <si>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</si>
  <si>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</si>
  <si>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</si>
  <si>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</si>
  <si>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</si>
  <si>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</si>
  <si>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</si>
  <si>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</si>
  <si>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</si>
  <si>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</si>
  <si>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</si>
  <si>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</si>
  <si>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</si>
  <si>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</si>
  <si>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</si>
  <si>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</si>
  <si>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</si>
  <si>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</si>
  <si>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</si>
  <si>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</si>
  <si>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</si>
  <si>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</si>
  <si>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</si>
  <si>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</si>
  <si>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</si>
  <si>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</si>
  <si>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</si>
  <si>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</si>
  <si>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</si>
  <si>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</si>
  <si>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</si>
  <si>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</si>
  <si>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</si>
  <si>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</si>
  <si>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</si>
  <si>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</si>
  <si>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</si>
  <si>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</si>
  <si>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</si>
  <si>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</si>
  <si>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</si>
  <si>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</si>
  <si>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</si>
  <si>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</si>
  <si>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</si>
  <si>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</si>
  <si>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</si>
  <si>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</si>
  <si>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</si>
  <si>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</si>
  <si>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</si>
  <si>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</si>
  <si>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</si>
  <si>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</si>
  <si>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</si>
  <si>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</si>
  <si>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</si>
  <si>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</si>
  <si>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</si>
  <si>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</si>
  <si>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</si>
  <si>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</si>
  <si>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</si>
  <si>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</si>
  <si>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</si>
  <si>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</si>
  <si>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</si>
  <si>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</si>
  <si>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</si>
  <si>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</si>
  <si>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</si>
  <si>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</si>
  <si>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</si>
  <si>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</si>
  <si>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</si>
  <si>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</si>
  <si>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</si>
  <si>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</si>
  <si>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</si>
  <si>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</si>
  <si>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</si>
  <si>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</si>
  <si>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</si>
  <si>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</si>
  <si>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</si>
  <si>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</si>
  <si>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</si>
  <si>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</si>
  <si>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</si>
  <si>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</si>
  <si>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</si>
  <si>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</si>
  <si>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</si>
  <si>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</si>
  <si>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</si>
  <si>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</si>
  <si>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</si>
  <si>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</si>
  <si>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</si>
  <si>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</si>
  <si>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</si>
  <si>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</si>
  <si>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</si>
  <si>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</si>
  <si>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</si>
  <si>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</si>
  <si>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</si>
  <si>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</si>
  <si>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</si>
  <si>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</si>
  <si>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</si>
  <si>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</si>
  <si>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</si>
  <si>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</si>
  <si>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</si>
  <si>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</si>
  <si>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</si>
  <si>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</si>
  <si>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</si>
  <si>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</si>
  <si>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</si>
  <si>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</si>
  <si>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</si>
  <si>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</si>
  <si>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</si>
  <si>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</si>
  <si>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</si>
  <si>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</si>
  <si>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</si>
  <si>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</si>
  <si>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</si>
  <si>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</si>
  <si>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</si>
  <si>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</si>
  <si>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</si>
  <si>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</si>
  <si>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</si>
  <si>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</si>
  <si>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</si>
  <si>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</si>
  <si>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</si>
  <si>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</si>
  <si>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</si>
  <si>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</si>
  <si>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</si>
  <si>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</si>
  <si>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</si>
  <si>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</si>
  <si>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</si>
  <si>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</si>
  <si>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</si>
  <si>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</si>
  <si>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</si>
  <si>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</si>
  <si>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</si>
  <si>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</si>
  <si>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</si>
  <si>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</si>
  <si>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</si>
  <si>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</si>
  <si>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</si>
  <si>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</si>
  <si>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</si>
  <si>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</si>
  <si>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</si>
  <si>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</si>
  <si>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</si>
  <si>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</si>
  <si>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</si>
  <si>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</si>
  <si>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</si>
  <si>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</si>
  <si>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</si>
  <si>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</si>
  <si>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</si>
  <si>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</si>
  <si>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</si>
  <si>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</si>
  <si>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</si>
  <si>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</si>
  <si>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</si>
  <si>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</si>
  <si>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</si>
  <si>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</si>
  <si>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</si>
  <si>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</si>
  <si>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</si>
  <si>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</si>
  <si>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</si>
  <si>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</si>
  <si>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</si>
  <si>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</si>
  <si>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</si>
  <si>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</si>
  <si>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</si>
  <si>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</si>
  <si>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</si>
  <si>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</si>
  <si>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</si>
  <si>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</si>
  <si>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</si>
  <si>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</si>
  <si>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</si>
  <si>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</si>
  <si>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</si>
  <si>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</si>
  <si>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</si>
  <si>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</si>
  <si>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</si>
  <si>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</si>
  <si>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</si>
  <si>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</si>
  <si>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</si>
  <si>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</si>
  <si>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</si>
  <si>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</si>
  <si>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</si>
  <si>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</si>
  <si>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</si>
  <si>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</si>
  <si>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</si>
  <si>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</si>
  <si>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</si>
  <si>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</si>
  <si>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</si>
  <si>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</si>
  <si>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</si>
  <si>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</si>
  <si>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</si>
  <si>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</si>
  <si>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</si>
  <si>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</si>
  <si>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</si>
  <si>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</si>
  <si>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</si>
  <si>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</si>
  <si>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</si>
  <si>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</si>
  <si>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</si>
  <si>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</si>
  <si>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</si>
  <si>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</si>
  <si>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</si>
  <si>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</si>
  <si>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</si>
  <si>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</si>
  <si>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</si>
  <si>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</si>
  <si>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</si>
  <si>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</si>
  <si>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</si>
  <si>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</si>
  <si>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</si>
  <si>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</si>
  <si>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</si>
  <si>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</si>
  <si>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</si>
  <si>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</si>
  <si>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</si>
  <si>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</si>
  <si>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</si>
  <si>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</si>
  <si>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</si>
  <si>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</si>
  <si>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</si>
  <si>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</si>
  <si>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</si>
  <si>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</si>
  <si>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</si>
  <si>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</si>
  <si>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</si>
  <si>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</si>
  <si>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</si>
  <si>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</si>
  <si>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</si>
  <si>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</si>
  <si>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</si>
  <si>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</si>
  <si>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</si>
  <si>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</si>
  <si>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</si>
  <si>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</si>
  <si>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</si>
  <si>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</si>
  <si>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</si>
  <si>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</si>
  <si>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</si>
  <si>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</si>
  <si>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</si>
  <si>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</si>
  <si>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</si>
  <si>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</si>
  <si>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</si>
  <si>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</si>
  <si>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</si>
  <si>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</si>
  <si>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</si>
  <si>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</si>
  <si>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</si>
  <si>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</si>
  <si>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</si>
  <si>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</si>
  <si>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</si>
  <si>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</si>
  <si>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</si>
  <si>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</si>
  <si>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</si>
  <si>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</si>
  <si>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</si>
  <si>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</si>
  <si>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</si>
  <si>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</si>
  <si>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</si>
  <si>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</si>
  <si>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</si>
  <si>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</si>
  <si>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</si>
  <si>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</si>
  <si>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</si>
  <si>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</si>
  <si>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</si>
  <si>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</si>
  <si>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</si>
  <si>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</si>
  <si>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</si>
  <si>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</si>
  <si>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</si>
  <si>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</si>
  <si>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</si>
  <si>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</si>
  <si>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</si>
  <si>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</si>
  <si>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</si>
  <si>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</si>
  <si>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</si>
  <si>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</si>
  <si>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</si>
  <si>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</si>
  <si>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</si>
  <si>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</si>
  <si>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</si>
  <si>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</si>
  <si>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</si>
  <si>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</si>
  <si>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</si>
  <si>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</si>
  <si>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</si>
  <si>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</si>
  <si>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</si>
  <si>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</si>
  <si>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</si>
  <si>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</si>
  <si>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</si>
  <si>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</si>
  <si>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</si>
  <si>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</si>
  <si>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</si>
  <si>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</si>
  <si>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</si>
  <si>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</si>
  <si>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</si>
  <si>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</si>
  <si>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</si>
  <si>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</si>
  <si>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</si>
  <si>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</si>
  <si>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</si>
  <si>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</si>
  <si>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</si>
  <si>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</si>
  <si>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</si>
  <si>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</si>
  <si>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</si>
  <si>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</si>
  <si>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</si>
  <si>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</si>
  <si>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</si>
  <si>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</si>
  <si>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</si>
  <si>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</si>
  <si>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</si>
  <si>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</si>
  <si>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</si>
  <si>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</si>
  <si>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</si>
  <si>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</si>
  <si>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</si>
  <si>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</si>
  <si>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</si>
  <si>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</si>
  <si>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</si>
  <si>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</si>
  <si>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</si>
  <si>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</si>
  <si>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</si>
  <si>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</si>
  <si>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</si>
  <si>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</si>
  <si>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</si>
  <si>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</si>
  <si>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</si>
  <si>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</si>
  <si>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</si>
  <si>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</si>
  <si>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</si>
  <si>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</si>
  <si>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</si>
  <si>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</si>
  <si>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</si>
  <si>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</si>
  <si>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</si>
  <si>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</si>
  <si>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</si>
  <si>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</si>
  <si>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</si>
  <si>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</si>
  <si>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</si>
  <si>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</si>
  <si>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</si>
  <si>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</si>
  <si>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</si>
  <si>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</si>
  <si>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</si>
  <si>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</si>
  <si>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</si>
  <si>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</si>
  <si>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</si>
  <si>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</si>
  <si>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</si>
  <si>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</si>
  <si>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</si>
  <si>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</si>
  <si>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</si>
  <si>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</si>
  <si>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</si>
  <si>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</si>
  <si>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</si>
  <si>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</si>
  <si>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</si>
  <si>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</si>
  <si>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</si>
  <si>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</si>
  <si>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</si>
  <si>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</si>
  <si>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</si>
  <si>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</si>
  <si>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</si>
  <si>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</si>
  <si>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</si>
  <si>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</si>
  <si>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</si>
  <si>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</si>
  <si>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</si>
  <si>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</si>
  <si>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</si>
  <si>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</si>
  <si>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</si>
  <si>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</si>
  <si>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</si>
  <si>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</si>
  <si>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</si>
  <si>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</si>
  <si>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</si>
  <si>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</si>
  <si>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</si>
  <si>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</si>
  <si>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</si>
  <si>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</si>
  <si>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</si>
  <si>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</si>
  <si>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</si>
  <si>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</si>
  <si>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</si>
  <si>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</si>
  <si>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</si>
  <si>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</si>
  <si>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</si>
  <si>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</si>
  <si>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</si>
  <si>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</si>
  <si>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</si>
  <si>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</si>
  <si>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</si>
  <si>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</si>
  <si>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</si>
  <si>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</si>
  <si>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</si>
  <si>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</si>
  <si>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</si>
  <si>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</si>
  <si>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</si>
  <si>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</si>
  <si>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</si>
  <si>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</si>
  <si>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</si>
  <si>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</si>
  <si>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</si>
  <si>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</si>
  <si>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</si>
  <si>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</si>
  <si>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</si>
  <si>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</si>
  <si>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</si>
  <si>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</si>
  <si>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</si>
  <si>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</si>
  <si>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</si>
  <si>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</si>
  <si>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</si>
  <si>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</si>
  <si>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</si>
  <si>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</si>
  <si>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</si>
  <si>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</si>
  <si>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</si>
  <si>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</si>
  <si>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</si>
  <si>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</si>
  <si>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</si>
  <si>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</si>
  <si>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</si>
  <si>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</si>
  <si>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</si>
  <si>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</si>
  <si>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</si>
  <si>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</si>
  <si>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</si>
  <si>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</si>
  <si>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</si>
  <si>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</si>
  <si>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</si>
  <si>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</si>
  <si>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</si>
  <si>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</si>
  <si>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</si>
  <si>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</si>
  <si>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</si>
  <si>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</si>
  <si>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</si>
  <si>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</si>
  <si>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</si>
  <si>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</si>
  <si>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</si>
  <si>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</si>
  <si>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</si>
  <si>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</si>
  <si>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</si>
  <si>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</si>
  <si>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</si>
  <si>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</si>
  <si>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</si>
  <si>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</si>
  <si>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</si>
  <si>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</si>
  <si>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</si>
  <si>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</si>
  <si>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</si>
  <si>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</si>
  <si>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</si>
  <si>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</si>
  <si>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</si>
  <si>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</si>
  <si>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</si>
  <si>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</si>
  <si>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</si>
  <si>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</si>
  <si>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</si>
  <si>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</si>
  <si>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</si>
  <si>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</si>
  <si>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</si>
  <si>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</si>
  <si>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</si>
  <si>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</si>
  <si>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</si>
  <si>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</si>
  <si>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</si>
  <si>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</si>
  <si>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</si>
  <si>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</si>
  <si>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</si>
  <si>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</si>
  <si>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</si>
  <si>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</si>
  <si>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</si>
  <si>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</si>
  <si>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</si>
  <si>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</si>
  <si>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</si>
  <si>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</si>
  <si>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</si>
  <si>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</si>
  <si>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</si>
  <si>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T</t>
  </si>
  <si>
    <t>Space Name or Description1</t>
  </si>
  <si>
    <t>Space Name or Description2</t>
  </si>
  <si>
    <t>Space Name or Description3</t>
  </si>
  <si>
    <t>Exclude</t>
  </si>
  <si>
    <t>AnalyticsEnergyMeter</t>
  </si>
  <si>
    <t>AnalyticWaterMeter</t>
  </si>
  <si>
    <t>Delhi</t>
  </si>
  <si>
    <t>Noida</t>
  </si>
  <si>
    <t>Gurugram</t>
  </si>
  <si>
    <t>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</si>
</sst>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  <numFmt numFmtId="171" formatCode="0;[Red]0"/>
    <numFmt numFmtId="172" formatCode="h:mm;@"/>
    <numFmt numFmtId="173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12" xfId="0" applyNumberFormat="1" applyFont="1" applyBorder="1" applyAlignment="1">
      <alignment horizontal="right" vertical="center"/>
    </xf>
    <xf numFmtId="170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6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1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2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3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6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0" borderId="0" xfId="1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left" vertical="center" indent="1"/>
    </xf>
    <xf numFmtId="0" fontId="2" fillId="6" borderId="58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0</xdr:rowOff>
        </xdr:from>
        <xdr:to>
          <xdr:col>2</xdr:col>
          <xdr:colOff>0</xdr:colOff>
          <xdr:row>10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0</xdr:rowOff>
        </xdr:from>
        <xdr:to>
          <xdr:col>2</xdr:col>
          <xdr:colOff>1295400</xdr:colOff>
          <xdr:row>10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8</xdr:row>
          <xdr:rowOff>180975</xdr:rowOff>
        </xdr:from>
        <xdr:to>
          <xdr:col>3</xdr:col>
          <xdr:colOff>1085850</xdr:colOff>
          <xdr:row>10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5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E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F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F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6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1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Q+DlJHp5BvaltlXsGLPi4a2h3TbuRndRpiUoQngY3iWLgUnn2nXZulhJ+qTcTQ6ouF63u0ZDY3zFsoSNDOSE4w==" saltValue="nBzXi8p0g2m/zvQ4pWRWlw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opLeftCell="A21" zoomScale="90" zoomScaleNormal="90" workbookViewId="0">
      <pane xSplit="4" topLeftCell="G1" activePane="topRight" state="frozen"/>
      <selection pane="topRight" activeCell="I38" sqref="I38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customWidth="1"/>
    <col min="15" max="17" width="16.140625" style="104" customWidth="1"/>
    <col min="18" max="18" width="33.140625" style="104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01" t="s">
        <v>593</v>
      </c>
      <c r="C4" s="201"/>
      <c r="D4" s="201"/>
      <c r="E4" s="201"/>
      <c r="F4" s="201"/>
      <c r="G4" s="201"/>
      <c r="H4" s="201"/>
      <c r="I4" s="201"/>
      <c r="J4" s="201"/>
      <c r="K4" s="168"/>
    </row>
    <row r="5" spans="1:19" ht="30" customHeight="1" x14ac:dyDescent="0.2">
      <c r="A5" s="142" t="s">
        <v>736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9" t="s">
        <v>732</v>
      </c>
      <c r="O5" s="210"/>
      <c r="P5" s="210"/>
      <c r="Q5" s="210"/>
      <c r="R5" s="211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737</v>
      </c>
      <c r="C7" s="118" t="s">
        <v>617</v>
      </c>
      <c r="D7" s="117">
        <v>1000</v>
      </c>
      <c r="E7" s="116">
        <v>100</v>
      </c>
      <c r="F7" s="116">
        <v>9</v>
      </c>
      <c r="G7" s="116"/>
      <c r="H7" s="116"/>
      <c r="I7" s="192">
        <v>0.5</v>
      </c>
      <c r="J7" s="190"/>
      <c r="K7" s="169">
        <f>G7*H7</f>
        <v>0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738</v>
      </c>
      <c r="C8" s="118" t="s">
        <v>619</v>
      </c>
      <c r="D8" s="117"/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740</v>
      </c>
      <c r="O8" s="183" t="s">
        <v>740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739</v>
      </c>
      <c r="C9" s="118" t="s">
        <v>622</v>
      </c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740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02" t="s">
        <v>735</v>
      </c>
      <c r="C19" s="203"/>
      <c r="D19" s="158">
        <f>IFERROR(SUM(D7:D18)," ")</f>
        <v>1000</v>
      </c>
      <c r="E19" s="119">
        <f t="shared" ref="E19:J19" si="5">SUM(E7:E18)</f>
        <v>100</v>
      </c>
      <c r="F19" s="119">
        <f t="shared" si="5"/>
        <v>9</v>
      </c>
      <c r="G19" s="119">
        <f t="shared" si="5"/>
        <v>0</v>
      </c>
      <c r="H19" s="119">
        <f t="shared" si="5"/>
        <v>0</v>
      </c>
      <c r="I19" s="193">
        <f>SUM(I7:I18)</f>
        <v>0.5</v>
      </c>
      <c r="J19" s="191">
        <f t="shared" si="5"/>
        <v>0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1000</v>
      </c>
      <c r="F24" s="206"/>
      <c r="G24" s="206"/>
      <c r="H24" s="206"/>
      <c r="I24" s="206"/>
      <c r="L24" s="144"/>
    </row>
    <row r="25" spans="1:18" x14ac:dyDescent="0.2">
      <c r="A25" s="143"/>
      <c r="B25" s="207" t="s">
        <v>602</v>
      </c>
      <c r="C25" s="208"/>
      <c r="D25" s="157">
        <f>IFERROR(ROUND(SUM(L7:L18)/D19, 0)," ")</f>
        <v>100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14" t="s">
        <v>603</v>
      </c>
      <c r="C28" s="215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2" t="s">
        <v>723</v>
      </c>
      <c r="C30" s="213"/>
      <c r="D30" s="197">
        <v>43101</v>
      </c>
    </row>
    <row r="32" spans="1:18" x14ac:dyDescent="0.2">
      <c r="B32" s="176" t="s">
        <v>724</v>
      </c>
    </row>
    <row r="36" spans="2:4" x14ac:dyDescent="0.2">
      <c r="B36" s="104" t="s">
        <v>726</v>
      </c>
    </row>
    <row r="38" spans="2:4" x14ac:dyDescent="0.2">
      <c r="B38" s="204" t="str">
        <f>CONCATENATE("Gross 
Floor Area 
",IF(Instructions!$F$9="SI Units","(sq m)","(sq ft)"))</f>
        <v>Gross 
Floor Area 
(sq ft)</v>
      </c>
      <c r="C38" s="205"/>
      <c r="D38" s="156">
        <v>1000</v>
      </c>
    </row>
    <row r="39" spans="2:4" x14ac:dyDescent="0.2">
      <c r="B39" s="208" t="s">
        <v>602</v>
      </c>
      <c r="C39" s="208"/>
      <c r="D39" s="157">
        <v>100</v>
      </c>
    </row>
    <row r="40" spans="2:4" x14ac:dyDescent="0.2">
      <c r="B40" s="214" t="s">
        <v>603</v>
      </c>
      <c r="C40" s="215"/>
      <c r="D40" s="157">
        <v>9</v>
      </c>
    </row>
    <row r="42" spans="2:4" x14ac:dyDescent="0.2">
      <c r="B42" s="104" t="s">
        <v>727</v>
      </c>
    </row>
    <row r="44" spans="2:4" x14ac:dyDescent="0.2">
      <c r="B44" s="204" t="str">
        <f>CONCATENATE("Gross 
Floor Area 
",IF(Instructions!$F$9="SI Units","(sq m)","(sq ft)"))</f>
        <v>Gross 
Floor Area 
(sq ft)</v>
      </c>
      <c r="C44" s="205"/>
      <c r="D44" s="156">
        <v>1000</v>
      </c>
    </row>
    <row r="45" spans="2:4" x14ac:dyDescent="0.2">
      <c r="B45" s="208" t="s">
        <v>602</v>
      </c>
      <c r="C45" s="208"/>
      <c r="D45" s="157">
        <v>100</v>
      </c>
    </row>
    <row r="46" spans="2:4" x14ac:dyDescent="0.2">
      <c r="B46" s="214" t="s">
        <v>603</v>
      </c>
      <c r="C46" s="215"/>
      <c r="D46" s="157">
        <v>9</v>
      </c>
    </row>
    <row r="48" spans="2:4" x14ac:dyDescent="0.2">
      <c r="B48" s="104" t="s">
        <v>728</v>
      </c>
    </row>
    <row r="50" spans="2:4" x14ac:dyDescent="0.2">
      <c r="B50" s="204" t="str">
        <f>CONCATENATE("Gross 
Floor Area 
",IF(Instructions!$F$9="SI Units","(sq m)","(sq ft)"))</f>
        <v>Gross 
Floor Area 
(sq ft)</v>
      </c>
      <c r="C50" s="205"/>
      <c r="D50" s="156">
        <v>1000</v>
      </c>
    </row>
    <row r="51" spans="2:4" x14ac:dyDescent="0.2">
      <c r="B51" s="208" t="s">
        <v>602</v>
      </c>
      <c r="C51" s="208"/>
      <c r="D51" s="157">
        <v>100</v>
      </c>
    </row>
    <row r="52" spans="2:4" x14ac:dyDescent="0.2">
      <c r="B52" s="214" t="s">
        <v>603</v>
      </c>
      <c r="C52" s="215"/>
      <c r="D52" s="157">
        <v>9</v>
      </c>
    </row>
    <row r="54" spans="2:4" x14ac:dyDescent="0.2">
      <c r="B54" s="104" t="s">
        <v>729</v>
      </c>
    </row>
    <row r="56" spans="2:4" x14ac:dyDescent="0.2">
      <c r="B56" s="181" t="s">
        <v>721</v>
      </c>
      <c r="C56" s="165"/>
      <c r="D56" s="120">
        <v>9</v>
      </c>
    </row>
    <row r="57" spans="2:4" x14ac:dyDescent="0.2">
      <c r="B57" s="181" t="s">
        <v>722</v>
      </c>
      <c r="C57" s="165"/>
      <c r="D57" s="120">
        <v>0</v>
      </c>
    </row>
    <row r="58" spans="2:4" x14ac:dyDescent="0.2">
      <c r="B58" s="214" t="s">
        <v>603</v>
      </c>
      <c r="C58" s="215"/>
      <c r="D58" s="157">
        <v>9</v>
      </c>
    </row>
    <row r="60" spans="2:4" x14ac:dyDescent="0.2">
      <c r="B60" s="104" t="s">
        <v>730</v>
      </c>
    </row>
    <row r="62" spans="2:4" x14ac:dyDescent="0.2">
      <c r="B62" s="181" t="s">
        <v>721</v>
      </c>
      <c r="C62" s="165"/>
      <c r="D62" s="120">
        <v>9</v>
      </c>
    </row>
    <row r="63" spans="2:4" x14ac:dyDescent="0.2">
      <c r="B63" s="181" t="s">
        <v>722</v>
      </c>
      <c r="C63" s="165"/>
      <c r="D63" s="120">
        <v>0</v>
      </c>
    </row>
    <row r="64" spans="2:4" x14ac:dyDescent="0.2">
      <c r="B64" s="214" t="s">
        <v>603</v>
      </c>
      <c r="C64" s="215"/>
      <c r="D64" s="157">
        <v>9</v>
      </c>
    </row>
  </sheetData>
  <sheetProtection algorithmName="SHA-512" hashValue="Ohr+rm//PNIXaZOfQjoy0Lhcj203hFUw87eAWxNSGA6VNXBRWo9udPGtZOvZXUbOFEfMtyPeMLPICWDn8JJZZA==" saltValue="Ss2WWIY8Z7KD8X6oTsBsdg==" spinCount="100000" sheet="1" objects="1" scenarios="1"/>
  <mergeCells count="20"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  <mergeCell ref="N5:R5"/>
    <mergeCell ref="F24:G24"/>
    <mergeCell ref="B30:C30"/>
    <mergeCell ref="B38:C38"/>
    <mergeCell ref="B39:C39"/>
    <mergeCell ref="B28:C28"/>
    <mergeCell ref="B4:J4"/>
    <mergeCell ref="B19:C19"/>
    <mergeCell ref="B24:C24"/>
    <mergeCell ref="H24:I24"/>
    <mergeCell ref="B25:C25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671-3DA3-4D48-B7E1-3B64583A978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9" sqref="L19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741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dataValidations count="6">
    <dataValidation type="textLength" allowBlank="1" showInputMessage="1" showErrorMessage="1" errorTitle="Data Source" error="It can only accept 40 characters." sqref="D5" xr:uid="{E58DA960-509D-4D4D-85AF-DBB79A55855F}">
      <formula1>0</formula1>
      <formula2>40</formula2>
    </dataValidation>
    <dataValidation type="decimal" allowBlank="1" showInputMessage="1" showErrorMessage="1" error="Please enter a valid reading." sqref="D7" xr:uid="{BAA65C28-E119-4E03-8E18-8C8300973ADD}">
      <formula1>0</formula1>
      <formula2>9999999999</formula2>
    </dataValidation>
    <dataValidation type="date" allowBlank="1" showInputMessage="1" showErrorMessage="1" error="Please enter a valid date in mm/dd/yyyy format." sqref="B7:C7" xr:uid="{099B8438-045E-43DD-9935-7A63628D6FFB}">
      <formula1>1</formula1>
      <formula2>73415</formula2>
    </dataValidation>
    <dataValidation allowBlank="1" showInputMessage="1" showErrorMessage="1" error="Please enter a valid date in mm/dd/yyyy format." sqref="B8:D10" xr:uid="{2CC6ADAE-8E01-4B43-A82E-29DA7AC6DB39}"/>
    <dataValidation type="list" allowBlank="1" showInputMessage="1" showErrorMessage="1" sqref="D3" xr:uid="{CDDE7969-D1CA-446F-BFEB-C0621ACCEBDE}">
      <formula1>ElectricityDrp</formula1>
    </dataValidation>
    <dataValidation type="list" allowBlank="1" showInputMessage="1" showErrorMessage="1" error="Units cannot edit." sqref="D4" xr:uid="{C1EF7FF5-571C-4FC9-B460-A25D10E1A4CB}">
      <formula1>elecName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EB5-80F3-4CD8-8511-96B29B8E16A6}">
  <sheetPr codeName="Sheet24"/>
  <dimension ref="A1:I4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8" sqref="C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AnalyticWaterMeter</v>
      </c>
      <c r="C1" s="1"/>
      <c r="D1" s="155" t="str">
        <f ca="1">B1</f>
        <v>AnalyticWaterMeter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742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11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>
        <v>0</v>
      </c>
      <c r="B8" s="35">
        <v>43435</v>
      </c>
      <c r="C8" s="35">
        <v>43496</v>
      </c>
      <c r="D8" s="21">
        <v>5.46</v>
      </c>
      <c r="E8" s="1"/>
    </row>
    <row r="9" spans="1:9" x14ac:dyDescent="0.25">
      <c r="A9" s="4"/>
      <c r="B9" s="23"/>
      <c r="C9" s="23"/>
      <c r="D9" s="26"/>
      <c r="E9" s="1"/>
    </row>
    <row r="10" spans="1:9" ht="6" customHeight="1" x14ac:dyDescent="0.25">
      <c r="A10" s="4"/>
      <c r="B10" s="23"/>
      <c r="C10" s="23"/>
      <c r="D10" s="26"/>
      <c r="E10" s="1"/>
      <c r="I10" t="s">
        <v>674</v>
      </c>
    </row>
    <row r="11" spans="1:9" ht="25.5" customHeight="1" x14ac:dyDescent="0.25">
      <c r="A11" s="4" t="s">
        <v>545</v>
      </c>
      <c r="B11" s="24"/>
      <c r="C11" s="24"/>
      <c r="D11" s="24"/>
      <c r="E11" s="1"/>
      <c r="I11" t="s">
        <v>675</v>
      </c>
    </row>
    <row r="12" spans="1:9" x14ac:dyDescent="0.25">
      <c r="I12" t="s">
        <v>676</v>
      </c>
    </row>
    <row r="16" spans="1:9" x14ac:dyDescent="0.25">
      <c r="H16" t="s">
        <v>524</v>
      </c>
    </row>
    <row r="17" spans="8:8" x14ac:dyDescent="0.25">
      <c r="H17" t="s">
        <v>527</v>
      </c>
    </row>
    <row r="18" spans="8:8" x14ac:dyDescent="0.25">
      <c r="H18" t="s">
        <v>546</v>
      </c>
    </row>
    <row r="19" spans="8:8" x14ac:dyDescent="0.25">
      <c r="H19" t="s">
        <v>547</v>
      </c>
    </row>
    <row r="20" spans="8:8" x14ac:dyDescent="0.25">
      <c r="H20" t="s">
        <v>521</v>
      </c>
    </row>
    <row r="21" spans="8:8" x14ac:dyDescent="0.25">
      <c r="H21" t="s">
        <v>526</v>
      </c>
    </row>
    <row r="22" spans="8:8" x14ac:dyDescent="0.25">
      <c r="H22" t="s">
        <v>541</v>
      </c>
    </row>
    <row r="23" spans="8:8" x14ac:dyDescent="0.25">
      <c r="H23" t="s">
        <v>560</v>
      </c>
    </row>
    <row r="24" spans="8:8" x14ac:dyDescent="0.25">
      <c r="H24" t="s">
        <v>523</v>
      </c>
    </row>
    <row r="25" spans="8:8" x14ac:dyDescent="0.25">
      <c r="H25" s="2" t="s">
        <v>542</v>
      </c>
    </row>
    <row r="26" spans="8:8" x14ac:dyDescent="0.25">
      <c r="H26" s="2" t="s">
        <v>561</v>
      </c>
    </row>
    <row r="27" spans="8:8" x14ac:dyDescent="0.25">
      <c r="H27" s="2" t="s">
        <v>562</v>
      </c>
    </row>
    <row r="28" spans="8:8" x14ac:dyDescent="0.25">
      <c r="H28" t="s">
        <v>677</v>
      </c>
    </row>
    <row r="29" spans="8:8" x14ac:dyDescent="0.25">
      <c r="H29" t="s">
        <v>678</v>
      </c>
    </row>
    <row r="30" spans="8:8" x14ac:dyDescent="0.25">
      <c r="H30" t="s">
        <v>672</v>
      </c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</sheetData>
  <sheetProtection algorithmName="SHA-512" hashValue="A095sJn7hgWf6DV7RzpG12spvLkGWo8qvgQp23aReVMfBxDXFW6WWg8UT3Rhi9UITlA/tqE/CBYi8igRBOTdPg==" saltValue="2FSzLyry4LRsDCteqbc0Mw==" spinCount="100000" sheet="1" objects="1" scenarios="1"/>
  <dataValidations count="6">
    <dataValidation type="textLength" allowBlank="1" showInputMessage="1" showErrorMessage="1" errorTitle="Data Source" error="It can only accept 40 characters." sqref="D5" xr:uid="{8A7E23B1-D818-44A4-BB89-3629A86ABF90}">
      <formula1>0</formula1>
      <formula2>40</formula2>
    </dataValidation>
    <dataValidation type="decimal" allowBlank="1" showInputMessage="1" showErrorMessage="1" error="Please enter a valid reading." sqref="D7:D8" xr:uid="{E82F16CE-A00B-4CC4-8273-F2CA143BD65A}">
      <formula1>0</formula1>
      <formula2>9999999999</formula2>
    </dataValidation>
    <dataValidation type="date" allowBlank="1" showInputMessage="1" showErrorMessage="1" error="Please enter a valid date in mm/dd/yyyy format." sqref="B7:C8" xr:uid="{EC5A3D6B-3615-4FF8-9B61-B6AB8C37706F}">
      <formula1>1</formula1>
      <formula2>73415</formula2>
    </dataValidation>
    <dataValidation allowBlank="1" showInputMessage="1" showErrorMessage="1" error="Please enter a valid date in mm/dd/yyyy format." sqref="B9:D11" xr:uid="{47A9F792-F189-4261-8EDC-4E5B5DA8098A}"/>
    <dataValidation type="list" allowBlank="1" showInputMessage="1" showErrorMessage="1" sqref="D3" xr:uid="{D65E472C-6370-4870-841A-A24C26CEC405}">
      <formula1>WaterDrp</formula1>
    </dataValidation>
    <dataValidation type="list" allowBlank="1" showInputMessage="1" showErrorMessage="1" error="Units cannot edit." sqref="D4" xr:uid="{449A7A96-D823-4790-8FB5-DE84ACC0F8A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0</xdr:rowOff>
                  </from>
                  <to>
                    <xdr:col>2</xdr:col>
                    <xdr:colOff>1295400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8</xdr:row>
                    <xdr:rowOff>180975</xdr:rowOff>
                  </from>
                  <to>
                    <xdr:col>3</xdr:col>
                    <xdr:colOff>1085850</xdr:colOff>
                    <xdr:row>10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>
      <selection activeCell="D11" sqref="D11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43383</v>
      </c>
      <c r="C7" s="52">
        <f t="shared" ref="C7" si="0">B7</f>
        <v>43383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43415</v>
      </c>
      <c r="C8" s="52">
        <f t="shared" ref="C8" si="2">B8</f>
        <v>43415</v>
      </c>
      <c r="D8" s="53">
        <f>HLOOKUP(B8,ReadingTable,2,FALSE)</f>
        <v>100.11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GCdtRP6x20gYp/AHSTNDvMAiC7QsDG6JUGDlep4I4iiBkvV7ymBd6GKCjPbv9zFqvhdrqGKhI9x06l3E+OOmsw==" saltValue="bJBWZBgZcUpUpwXWKHT3E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tabSelected="1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743</v>
      </c>
      <c r="C3" s="76">
        <v>1</v>
      </c>
      <c r="D3" s="91">
        <v>43383</v>
      </c>
      <c r="E3" s="97">
        <v>0.375</v>
      </c>
      <c r="F3" s="92">
        <v>50.11</v>
      </c>
    </row>
    <row r="4" spans="1:8" x14ac:dyDescent="0.25">
      <c r="B4" s="75" t="s">
        <v>745</v>
      </c>
      <c r="C4" s="76">
        <v>2</v>
      </c>
      <c r="D4" s="91">
        <v>43415</v>
      </c>
      <c r="E4" s="97">
        <v>0.375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43383</v>
      </c>
      <c r="H8" s="145">
        <f t="array" ref="H8">IFERROR(INDEX($D$3:$D$5, MATCH(0,IF(ISBLANK($D$3:$D$5),1,COUNTIF($F$8:G8, $D$3:$D$5)), 0)),"")</f>
        <v>43415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43383</v>
      </c>
      <c r="H14" s="72">
        <f>H8</f>
        <v>43415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43383</v>
      </c>
      <c r="C18" s="52">
        <f t="shared" ref="C18" si="1">B18</f>
        <v>43383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VAs8/EYuRuJIUUMjO6wVLVeinLNkrXOE7VxW8ZLYfewGT3uAyR6RF8KZFCPjE1ReSE3Zg74BPAWMXTs6pzwMyA==" saltValue="YFa7fcfjfvJ8ssvI5/otj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11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43405</v>
      </c>
      <c r="C7" s="52">
        <f t="shared" ref="C7" si="0">B7</f>
        <v>43405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37">
        <f t="shared" ref="A8" si="1">IFERROR(IF(D8="",1,0),1)</f>
        <v>0</v>
      </c>
      <c r="B8" s="52">
        <f>INDEX(DatesVOC,1,E8)</f>
        <v>43435</v>
      </c>
      <c r="C8" s="52">
        <f t="shared" ref="C8" si="2">B8</f>
        <v>43435</v>
      </c>
      <c r="D8" s="53">
        <f t="array" ref="D8">HLOOKUP(B8,ReadingTableVOC,2,FALSE)</f>
        <v>80.11</v>
      </c>
      <c r="E8" s="68">
        <f t="shared" ref="E8" si="3">IF(E7="",8,E7+1)</f>
        <v>9</v>
      </c>
    </row>
    <row r="9" spans="1:5" ht="15" customHeight="1" x14ac:dyDescent="0.25">
      <c r="A9" s="4" t="s">
        <v>545</v>
      </c>
      <c r="B9" s="34"/>
      <c r="C9" s="34"/>
      <c r="D9" s="34"/>
      <c r="E9" s="1"/>
    </row>
    <row r="10" spans="1:5" ht="15" hidden="1" customHeight="1" x14ac:dyDescent="0.25">
      <c r="A10" s="4"/>
      <c r="B10" s="34"/>
      <c r="C10" s="34"/>
      <c r="D10" s="34"/>
      <c r="E10" s="1"/>
    </row>
    <row r="11" spans="1:5" ht="33.6" customHeight="1" x14ac:dyDescent="0.25">
      <c r="A11" s="4" t="s">
        <v>545</v>
      </c>
      <c r="B11" s="34"/>
      <c r="C11" s="34"/>
      <c r="D11" s="34"/>
      <c r="E11" s="1"/>
    </row>
  </sheetData>
  <sheetProtection algorithmName="SHA-512" hashValue="WXQsG+5tN84R/TPsAEtVLSsxZn9k8DhARnDucD7EeAoT7yDtc9HKhyvLmjKRidwRcpcUCDkXCt8LwqavkUd2bA==" saltValue="e30vgqBpmq6t0rG7rzQrG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743</v>
      </c>
      <c r="C3" s="76">
        <v>1</v>
      </c>
      <c r="D3" s="91">
        <v>43405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744</v>
      </c>
      <c r="C4" s="76">
        <v>2</v>
      </c>
      <c r="D4" s="91">
        <v>43435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43405</v>
      </c>
      <c r="I8" s="145">
        <f t="array" ref="I8">IFERROR(INDEX($D$3:$D$5, MATCH(0,IF(ISBLANK($D$3:$D$5),1,COUNTIF($G$8:H8, $D$3:$D$5)), 0)),"")</f>
        <v>43435</v>
      </c>
    </row>
    <row r="9" spans="1:9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Noida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43405</v>
      </c>
      <c r="I14" s="96">
        <f>I8</f>
        <v>43435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43405</v>
      </c>
      <c r="C18" s="52">
        <f t="shared" ref="C18" si="1">B18</f>
        <v>43405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wei0ElDrORWodkYRERebUeNIQ0gap7bFkRONI6TIrO5HqU5r9yifn9E7a2P4u46lPYOvo9vwyEfaRpzDR5D16Q==" saltValue="yfs8Tvbhzz+1VPLS7FbVkw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ihIXyB+LuofHYQTFJC0Z0Sdn7xnVLoNpcJ/KldWVfcDD9xVA5zxilSKBpaYMe/zeKa4Ooa5QO44Ql9Dt/Uvswg==" saltValue="aUHn4b9IorVLjJEkk3HZu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D53-D65B-46A4-89AD-1D182628B547}">
  <sheetPr codeName="Sheet25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17" sqref="C1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Solar</v>
      </c>
      <c r="C1" s="1"/>
      <c r="D1" s="4" t="str">
        <f ca="1">B1</f>
        <v>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746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+IyJCqLf1FL4cO43pigTMOmhfPNxjbP5XHbgwQYC+p2NYvL5lU+DpDi2kVp9lr44YCatIPnlr3h2yqH50J2wbw==" saltValue="N6t7/xuZ+BSKlhdtlA8zsw==" spinCount="100000" sheet="1" objects="1" scenarios="1"/>
  <dataValidations count="6">
    <dataValidation type="textLength" allowBlank="1" showInputMessage="1" showErrorMessage="1" errorTitle="Data Source" error="It can only accept 40 characters." sqref="D5" xr:uid="{8542D54F-6D9F-4D98-9EDF-793DC0FED63D}">
      <formula1>0</formula1>
      <formula2>40</formula2>
    </dataValidation>
    <dataValidation type="decimal" allowBlank="1" showInputMessage="1" showErrorMessage="1" error="Please enter a valid reading." sqref="D7" xr:uid="{F28A5FF0-F30C-4849-828A-30718A287FFD}">
      <formula1>0</formula1>
      <formula2>9999999999</formula2>
    </dataValidation>
    <dataValidation type="date" allowBlank="1" showInputMessage="1" showErrorMessage="1" error="Please enter a valid date in mm/dd/yyyy format." sqref="B7:C7" xr:uid="{D07C9FE9-4F91-41E3-80D8-4E152867B00E}">
      <formula1>1</formula1>
      <formula2>73415</formula2>
    </dataValidation>
    <dataValidation allowBlank="1" showInputMessage="1" showErrorMessage="1" error="Please enter a valid date in mm/dd/yyyy format." sqref="B8:D10" xr:uid="{D180334B-8EA2-457E-A8B8-8AFDDF7FD164}"/>
    <dataValidation type="list" allowBlank="1" showInputMessage="1" showErrorMessage="1" sqref="D3" xr:uid="{C1BA2A03-78FF-4D8C-838E-2F8DCA85F1CB}">
      <formula1>ElectricityDrp</formula1>
    </dataValidation>
    <dataValidation type="list" allowBlank="1" showInputMessage="1" showErrorMessage="1" error="Units cannot edit." sqref="D4" xr:uid="{48CCCFB9-0932-4A3A-99E5-8808FE5EBE8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6" sqref="D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AnalyticsEnergyMeter</vt:lpstr>
      <vt:lpstr>AnalyticWaterMeter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Solar!elecName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Solar!ElectricityDrp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AnalyticWaterMeter!water_meter_type</vt:lpstr>
      <vt:lpstr>water_meter_type</vt:lpstr>
      <vt:lpstr>AnalyticWaterMeter!water_type</vt:lpstr>
      <vt:lpstr>water_type</vt:lpstr>
      <vt:lpstr>AnalyticWaterMeter!water_units</vt:lpstr>
      <vt:lpstr>water_units</vt:lpstr>
      <vt:lpstr>Acetaldehyde!WaterDrp</vt:lpstr>
      <vt:lpstr>AnalyticWaterMeter!WaterDrp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AnalyticWaterMeter!waterType</vt:lpstr>
      <vt:lpstr>waterType</vt:lpstr>
      <vt:lpstr>AnalyticWaterMeter!waterUnits</vt:lpstr>
      <vt:lpstr>waterUnits</vt:lpstr>
      <vt:lpstr>AnalyticWaterMeter!watUn</vt:lpstr>
      <vt:lpstr>watUn</vt:lpstr>
      <vt:lpstr>Acetaldehyde!watUni</vt:lpstr>
      <vt:lpstr>AnalyticWaterMeter!watUni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AnalyticWaterMeter!zep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2019-07-08T11:27:10Z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