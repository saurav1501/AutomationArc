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7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8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20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\AutomationArc\AutomationArc\ARCDataTemplete\"/>
    </mc:Choice>
  </mc:AlternateContent>
  <xr:revisionPtr revIDLastSave="0" documentId="13_ncr:1_{0B692836-220E-4E63-89F3-0C7790738B0F}" xr6:coauthVersionLast="36" xr6:coauthVersionMax="43" xr10:uidLastSave="{00000000-0000-0000-0000-000000000000}"/>
  <workbookProtection workbookAlgorithmName="SHA-512" workbookHashValue="LKzqT/Zwd6woKZyXcIYBENbCNK1bA7DKzYR2YmWCmm4tTnWmksrLtbt9CNlK6nco977HN0+qkOXsVd4FBZXcEA==" workbookSaltValue="nvomozT5O3t+tIv2SSazbQ==" workbookSpinCount="100000" lockStructure="1"/>
  <bookViews>
    <workbookView xWindow="-120" yWindow="-120" windowWidth="20730" windowHeight="11160" firstSheet="8" activeTab="12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AnalyticsEnergyMeter" sheetId="28" r:id="rId5"/>
    <sheet name="AnalyticWaterMeter" sheetId="29" r:id="rId6"/>
    <sheet name="base_f" sheetId="8" state="hidden" r:id="rId7"/>
    <sheet name="CO2 Reading for Upload" sheetId="12" r:id="rId8"/>
    <sheet name="CO2 Readings" sheetId="14" r:id="rId9"/>
    <sheet name="TVOC Reading for Upload" sheetId="13" r:id="rId10"/>
    <sheet name="TVOC Readings" sheetId="15" r:id="rId11"/>
    <sheet name="Waste Stream" sheetId="11" r:id="rId12"/>
    <sheet name="Solar" sheetId="30" r:id="rId13"/>
    <sheet name="Carbon Monoxide" sheetId="17" state="hidden" r:id="rId14"/>
    <sheet name="Ozone" sheetId="18" state="hidden" r:id="rId15"/>
    <sheet name="Atmospheric Particulate Matter" sheetId="19" state="hidden" r:id="rId16"/>
    <sheet name="Acetaldehyde" sheetId="20" state="hidden" r:id="rId17"/>
    <sheet name="Benzene" sheetId="21" state="hidden" r:id="rId18"/>
    <sheet name="Styrene" sheetId="22" state="hidden" r:id="rId19"/>
    <sheet name="Toluene" sheetId="23" state="hidden" r:id="rId20"/>
    <sheet name="Naphthalene " sheetId="24" state="hidden" r:id="rId21"/>
    <sheet name="Dichlorobenzene" sheetId="25" state="hidden" r:id="rId22"/>
    <sheet name="Xylenes-total" sheetId="26" state="hidden" r:id="rId23"/>
    <sheet name="Formaldehyde" sheetId="27" state="hidden" r:id="rId24"/>
    <sheet name="base_summary" sheetId="3" state="hidden" r:id="rId25"/>
  </sheets>
  <definedNames>
    <definedName name="_xlnm._FilterDatabase" localSheetId="8" hidden="1">'CO2 Readings'!$B$2:$F$4</definedName>
    <definedName name="_xlnm._FilterDatabase" localSheetId="10" hidden="1">'TVOC Readings'!$B$2:$G$4</definedName>
    <definedName name="columnDelete">'CO2 Readings'!$6:$6</definedName>
    <definedName name="columnDeleteVOC">'TVOC Readings'!$6:$6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Readings'!$A$18:$E$18</definedName>
    <definedName name="DataCopyVOC">'TVOC Readings'!$A$18:$E$18</definedName>
    <definedName name="Dates" localSheetId="16">'CO2 Readings'!$14:$14</definedName>
    <definedName name="Dates" localSheetId="15">'CO2 Readings'!$14:$14</definedName>
    <definedName name="Dates" localSheetId="17">'CO2 Readings'!$14:$14</definedName>
    <definedName name="Dates" localSheetId="13">'CO2 Readings'!$14:$14</definedName>
    <definedName name="Dates" localSheetId="21">'CO2 Readings'!$14:$14</definedName>
    <definedName name="Dates" localSheetId="23">'CO2 Readings'!$14:$14</definedName>
    <definedName name="Dates" localSheetId="20">'CO2 Readings'!$14:$14</definedName>
    <definedName name="Dates" localSheetId="14">'CO2 Readings'!$14:$14</definedName>
    <definedName name="Dates" localSheetId="18">'CO2 Readings'!$14:$14</definedName>
    <definedName name="Dates" localSheetId="19">'CO2 Readings'!$14:$14</definedName>
    <definedName name="Dates" localSheetId="22">'CO2 Readings'!$14:$14</definedName>
    <definedName name="Dates">'CO2 Readings'!$14:$14</definedName>
    <definedName name="DatesVOC" localSheetId="16">'TVOC Readings'!$14:$14</definedName>
    <definedName name="DatesVOC" localSheetId="15">'TVOC Readings'!$14:$14</definedName>
    <definedName name="DatesVOC" localSheetId="17">'TVOC Readings'!$14:$14</definedName>
    <definedName name="DatesVOC" localSheetId="13">'TVOC Readings'!$14:$14</definedName>
    <definedName name="DatesVOC" localSheetId="21">'TVOC Readings'!$14:$14</definedName>
    <definedName name="DatesVOC" localSheetId="23">'TVOC Readings'!$14:$14</definedName>
    <definedName name="DatesVOC" localSheetId="20">'TVOC Readings'!$14:$14</definedName>
    <definedName name="DatesVOC" localSheetId="14">'TVOC Readings'!$14:$14</definedName>
    <definedName name="DatesVOC" localSheetId="18">'TVOC Readings'!$14:$14</definedName>
    <definedName name="DatesVOC" localSheetId="19">'TVOC Readings'!$14:$14</definedName>
    <definedName name="DatesVOC" localSheetId="22">'TVOC Readings'!$14:$14</definedName>
    <definedName name="DatesVOC">'TVOC Readings'!$14:$14</definedName>
    <definedName name="DelRwNmEnd">'CO2 Reading for Upload'!$A$11:$E$11</definedName>
    <definedName name="DelRwNmEndVOC">'TVOC Reading for Upload'!$A$11:$E$11</definedName>
    <definedName name="DelRwNmStart">'CO2 Reading for Upload'!$A$6:$E$6</definedName>
    <definedName name="DelRwNmStartVOC">'TVOC Reading for Upload'!$A$6:$E$6</definedName>
    <definedName name="elecName" localSheetId="16">base_e!$G$15:$G$19</definedName>
    <definedName name="elecName" localSheetId="4">AnalyticsEnergyMeter!$G$15:$G$19</definedName>
    <definedName name="elecName" localSheetId="15">base_e!$G$15:$G$19</definedName>
    <definedName name="elecName" localSheetId="17">base_e!$G$15:$G$19</definedName>
    <definedName name="elecName" localSheetId="13">base_e!$G$15:$G$19</definedName>
    <definedName name="elecName" localSheetId="21">base_e!$G$15:$G$19</definedName>
    <definedName name="elecName" localSheetId="23">base_e!$G$15:$G$19</definedName>
    <definedName name="elecName" localSheetId="20">base_e!$G$15:$G$19</definedName>
    <definedName name="elecName" localSheetId="14">base_e!$G$15:$G$19</definedName>
    <definedName name="elecName" localSheetId="12">Solar!$G$15:$G$19</definedName>
    <definedName name="elecName" localSheetId="18">base_e!$G$15:$G$19</definedName>
    <definedName name="elecName" localSheetId="19">base_e!$G$15:$G$19</definedName>
    <definedName name="elecName" localSheetId="22">base_e!$G$15:$G$19</definedName>
    <definedName name="elecName">base_e!$G$15:$G$19</definedName>
    <definedName name="ElectricityDrp" localSheetId="16">base_e!$J$9:$J$10</definedName>
    <definedName name="ElectricityDrp" localSheetId="4">AnalyticsEnergyMeter!$J$9:$J$10</definedName>
    <definedName name="ElectricityDrp" localSheetId="15">base_e!$J$9:$J$10</definedName>
    <definedName name="ElectricityDrp" localSheetId="17">base_e!$J$9:$J$10</definedName>
    <definedName name="ElectricityDrp" localSheetId="13">base_e!$J$9:$J$10</definedName>
    <definedName name="ElectricityDrp" localSheetId="21">base_e!$J$9:$J$10</definedName>
    <definedName name="ElectricityDrp" localSheetId="23">base_e!$J$9:$J$10</definedName>
    <definedName name="ElectricityDrp" localSheetId="20">base_e!$J$9:$J$10</definedName>
    <definedName name="ElectricityDrp" localSheetId="14">base_e!$J$9:$J$10</definedName>
    <definedName name="ElectricityDrp" localSheetId="12">Solar!$J$9:$J$10</definedName>
    <definedName name="ElectricityDrp" localSheetId="18">base_e!$J$9:$J$10</definedName>
    <definedName name="ElectricityDrp" localSheetId="19">base_e!$J$9:$J$10</definedName>
    <definedName name="ElectricityDrp" localSheetId="22">base_e!$J$9:$J$10</definedName>
    <definedName name="ElectricityDrp">base_e!$J$9:$J$10</definedName>
    <definedName name="fdet" localSheetId="16">Acetaldehyde!$H$1:$H$13</definedName>
    <definedName name="fdet" localSheetId="15">'Atmospheric Particulate Matter'!$H$1:$H$13</definedName>
    <definedName name="fdet" localSheetId="17">Benzene!$H$1:$H$13</definedName>
    <definedName name="fdet" localSheetId="13">'Carbon Monoxide'!$H$1:$H$13</definedName>
    <definedName name="fdet" localSheetId="21">Dichlorobenzene!$H$1:$H$13</definedName>
    <definedName name="fdet" localSheetId="23">Formaldehyde!$H$1:$H$13</definedName>
    <definedName name="fdet" localSheetId="20">'Naphthalene '!$H$1:$H$13</definedName>
    <definedName name="fdet" localSheetId="14">Ozone!$H$1:$H$13</definedName>
    <definedName name="fdet" localSheetId="18">Styrene!$H$1:$H$13</definedName>
    <definedName name="fdet" localSheetId="19">Toluene!$H$1:$H$13</definedName>
    <definedName name="fdet" localSheetId="22">'Xylenes-total'!$H$1:$H$13</definedName>
    <definedName name="fdet">base_f!$H$1:$H$13</definedName>
    <definedName name="fude" localSheetId="16">Acetaldehyde!$D$14:$D$31</definedName>
    <definedName name="fude" localSheetId="15">'Atmospheric Particulate Matter'!$D$14:$D$31</definedName>
    <definedName name="fude" localSheetId="17">Benzene!$D$14:$D$31</definedName>
    <definedName name="fude" localSheetId="13">'Carbon Monoxide'!$D$14:$D$31</definedName>
    <definedName name="fude" localSheetId="21">Dichlorobenzene!$D$14:$D$31</definedName>
    <definedName name="fude" localSheetId="23">Formaldehyde!$D$14:$D$31</definedName>
    <definedName name="fude" localSheetId="20">'Naphthalene '!$D$14:$D$31</definedName>
    <definedName name="fude" localSheetId="14">Ozone!$D$14:$D$31</definedName>
    <definedName name="fude" localSheetId="18">Styrene!$D$14:$D$31</definedName>
    <definedName name="fude" localSheetId="19">Toluene!$D$14:$D$31</definedName>
    <definedName name="fude" localSheetId="22">'Xylenes-total'!$D$14:$D$31</definedName>
    <definedName name="fude">base_f!$D$14:$D$31</definedName>
    <definedName name="fuel1" localSheetId="16">Acetaldehyde!$L$16:$L$23</definedName>
    <definedName name="fuel1" localSheetId="15">'Atmospheric Particulate Matter'!$L$16:$L$23</definedName>
    <definedName name="fuel1" localSheetId="17">Benzene!$L$16:$L$23</definedName>
    <definedName name="fuel1" localSheetId="13">'Carbon Monoxide'!$L$16:$L$23</definedName>
    <definedName name="fuel1" localSheetId="21">Dichlorobenzene!$L$16:$L$23</definedName>
    <definedName name="fuel1" localSheetId="23">Formaldehyde!$L$16:$L$23</definedName>
    <definedName name="fuel1" localSheetId="20">'Naphthalene '!$L$16:$L$23</definedName>
    <definedName name="fuel1" localSheetId="14">Ozone!$L$16:$L$23</definedName>
    <definedName name="fuel1" localSheetId="18">Styrene!$L$16:$L$23</definedName>
    <definedName name="fuel1" localSheetId="19">Toluene!$L$16:$L$23</definedName>
    <definedName name="fuel1" localSheetId="22">'Xylenes-total'!$L$16:$L$23</definedName>
    <definedName name="fuel1">base_f!$L$16:$L$23</definedName>
    <definedName name="fuel2" localSheetId="16">Acetaldehyde!$M$16:$M$23</definedName>
    <definedName name="fuel2" localSheetId="15">'Atmospheric Particulate Matter'!$M$16:$M$23</definedName>
    <definedName name="fuel2" localSheetId="17">Benzene!$M$16:$M$23</definedName>
    <definedName name="fuel2" localSheetId="13">'Carbon Monoxide'!$M$16:$M$23</definedName>
    <definedName name="fuel2" localSheetId="21">Dichlorobenzene!$M$16:$M$23</definedName>
    <definedName name="fuel2" localSheetId="23">Formaldehyde!$M$16:$M$23</definedName>
    <definedName name="fuel2" localSheetId="20">'Naphthalene '!$M$16:$M$23</definedName>
    <definedName name="fuel2" localSheetId="14">Ozone!$M$16:$M$23</definedName>
    <definedName name="fuel2" localSheetId="18">Styrene!$M$16:$M$23</definedName>
    <definedName name="fuel2" localSheetId="19">Toluene!$M$16:$M$23</definedName>
    <definedName name="fuel2" localSheetId="22">'Xylenes-total'!$M$16:$M$23</definedName>
    <definedName name="fuel2">base_f!$M$16:$M$23</definedName>
    <definedName name="fuelname" localSheetId="16">Acetaldehyde!#REF!</definedName>
    <definedName name="fuelname" localSheetId="4">base_f!#REF!</definedName>
    <definedName name="fuelname" localSheetId="5">base_f!#REF!</definedName>
    <definedName name="fuelname" localSheetId="15">'Atmospheric Particulate Matter'!#REF!</definedName>
    <definedName name="fuelname" localSheetId="17">Benzene!#REF!</definedName>
    <definedName name="fuelname" localSheetId="13">'Carbon Monoxide'!#REF!</definedName>
    <definedName name="fuelname" localSheetId="21">Dichlorobenzene!#REF!</definedName>
    <definedName name="fuelname" localSheetId="23">Formaldehyde!#REF!</definedName>
    <definedName name="fuelname" localSheetId="20">'Naphthalene '!#REF!</definedName>
    <definedName name="fuelname" localSheetId="14">Ozone!#REF!</definedName>
    <definedName name="fuelname" localSheetId="12">base_f!#REF!</definedName>
    <definedName name="fuelname" localSheetId="18">Styrene!#REF!</definedName>
    <definedName name="fuelname" localSheetId="19">Toluene!#REF!</definedName>
    <definedName name="fuelname" localSheetId="22">'Xylenes-total'!#REF!</definedName>
    <definedName name="fuelname">base_f!#REF!</definedName>
    <definedName name="kerosene" localSheetId="16">Acetaldehyde!$K$16:$K$23</definedName>
    <definedName name="kerosene" localSheetId="15">'Atmospheric Particulate Matter'!$K$16:$K$23</definedName>
    <definedName name="kerosene" localSheetId="17">Benzene!$K$16:$K$23</definedName>
    <definedName name="kerosene" localSheetId="13">'Carbon Monoxide'!$K$16:$K$23</definedName>
    <definedName name="kerosene" localSheetId="21">Dichlorobenzene!$K$16:$K$23</definedName>
    <definedName name="kerosene" localSheetId="23">Formaldehyde!$K$16:$K$23</definedName>
    <definedName name="kerosene" localSheetId="20">'Naphthalene '!$K$16:$K$23</definedName>
    <definedName name="kerosene" localSheetId="14">Ozone!$K$16:$K$23</definedName>
    <definedName name="kerosene" localSheetId="18">Styrene!$K$16:$K$23</definedName>
    <definedName name="kerosene" localSheetId="19">Toluene!$K$16:$K$23</definedName>
    <definedName name="kerosene" localSheetId="22">'Xylenes-total'!$K$16:$K$23</definedName>
    <definedName name="kerosene">base_f!$K$16:$K$23</definedName>
    <definedName name="liquid" localSheetId="16">Acetaldehyde!$J$16:$J$25</definedName>
    <definedName name="liquid" localSheetId="15">'Atmospheric Particulate Matter'!$J$16:$J$25</definedName>
    <definedName name="liquid" localSheetId="17">Benzene!$J$16:$J$25</definedName>
    <definedName name="liquid" localSheetId="13">'Carbon Monoxide'!$J$16:$J$25</definedName>
    <definedName name="liquid" localSheetId="21">Dichlorobenzene!$J$16:$J$25</definedName>
    <definedName name="liquid" localSheetId="23">Formaldehyde!$J$16:$J$25</definedName>
    <definedName name="liquid" localSheetId="20">'Naphthalene '!$J$16:$J$25</definedName>
    <definedName name="liquid" localSheetId="14">Ozone!$J$16:$J$25</definedName>
    <definedName name="liquid" localSheetId="18">Styrene!$J$16:$J$25</definedName>
    <definedName name="liquid" localSheetId="19">Toluene!$J$16:$J$25</definedName>
    <definedName name="liquid" localSheetId="22">'Xylenes-total'!$J$16:$J$25</definedName>
    <definedName name="liquid">base_f!$J$16:$J$25</definedName>
    <definedName name="Meter" localSheetId="4">Instructions!#REF!</definedName>
    <definedName name="Meter" localSheetId="5">Instructions!#REF!</definedName>
    <definedName name="Meter" localSheetId="12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6">Acetaldehyde!$G$19:$G$36</definedName>
    <definedName name="myCategoryH" localSheetId="15">'Atmospheric Particulate Matter'!$G$19:$G$36</definedName>
    <definedName name="myCategoryH" localSheetId="17">Benzene!$G$19:$G$36</definedName>
    <definedName name="myCategoryH" localSheetId="13">'Carbon Monoxide'!$G$19:$G$36</definedName>
    <definedName name="myCategoryH" localSheetId="21">Dichlorobenzene!$G$19:$G$36</definedName>
    <definedName name="myCategoryH" localSheetId="23">Formaldehyde!$G$19:$G$36</definedName>
    <definedName name="myCategoryH" localSheetId="20">'Naphthalene '!$G$19:$G$36</definedName>
    <definedName name="myCategoryH" localSheetId="14">Ozone!$G$19:$G$36</definedName>
    <definedName name="myCategoryH" localSheetId="18">Styrene!$G$19:$G$36</definedName>
    <definedName name="myCategoryH" localSheetId="19">Toluene!$G$19:$G$36</definedName>
    <definedName name="myCategoryH" localSheetId="22">'Xylenes-total'!$G$19:$G$36</definedName>
    <definedName name="myCategoryH">base_f!$G$19:$G$36</definedName>
    <definedName name="myitem" localSheetId="16">OFFSET(myItemList,0,0,1,COUNTA(myItemList))</definedName>
    <definedName name="myitem" localSheetId="4">OFFSET(myItemList,0,0,1,COUNTA(myItemList))</definedName>
    <definedName name="myitem" localSheetId="5">OFFSET(myItemList,0,0,1,COUNTA(myItemList))</definedName>
    <definedName name="myitem" localSheetId="15">OFFSET(myItemList,0,0,1,COUNTA(myItemList))</definedName>
    <definedName name="myitem" localSheetId="17">OFFSET(myItemList,0,0,1,COUNTA(myItemList))</definedName>
    <definedName name="myitem" localSheetId="13">OFFSET(myItemList,0,0,1,COUNTA(myItemList))</definedName>
    <definedName name="myitem" localSheetId="21">OFFSET(myItemList,0,0,1,COUNTA(myItemList))</definedName>
    <definedName name="myitem" localSheetId="23">OFFSET(myItemList,0,0,1,COUNTA(myItemList))</definedName>
    <definedName name="myitem" localSheetId="20">OFFSET(myItemList,0,0,1,COUNTA(myItemList))</definedName>
    <definedName name="myitem" localSheetId="14">OFFSET(myItemList,0,0,1,COUNTA(myItemList))</definedName>
    <definedName name="myitem" localSheetId="12">OFFSET(myItemList,0,0,1,COUNTA(myItemList))</definedName>
    <definedName name="myitem" localSheetId="18">OFFSET(myItemList,0,0,1,COUNTA(myItemList))</definedName>
    <definedName name="myitem" localSheetId="19">OFFSET(myItemList,0,0,1,COUNTA(myItemList))</definedName>
    <definedName name="myitem" localSheetId="22">OFFSET(myItemList,0,0,1,COUNTA(myItemList))</definedName>
    <definedName name="myitem">OFFSET(myItemList,0,0,1,COUNTA(myItemList))</definedName>
    <definedName name="myItemListH" localSheetId="16">INDEX(Acetaldehyde!myTableH,MATCH(Acetaldehyde!A1048576,Acetaldehyde!myCategoryH,0),0)</definedName>
    <definedName name="myItemListH" localSheetId="15">INDEX('Atmospheric Particulate Matter'!myTableH,MATCH('Atmospheric Particulate Matter'!A1048576,'Atmospheric Particulate Matter'!myCategoryH,0),0)</definedName>
    <definedName name="myItemListH" localSheetId="17">INDEX(Benzene!myTableH,MATCH(Benzene!A1048576,Benzene!myCategoryH,0),0)</definedName>
    <definedName name="myItemListH" localSheetId="13">INDEX('Carbon Monoxide'!myTableH,MATCH('Carbon Monoxide'!A1048576,'Carbon Monoxide'!myCategoryH,0),0)</definedName>
    <definedName name="myItemListH" localSheetId="21">INDEX(Dichlorobenzene!myTableH,MATCH(Dichlorobenzene!A1048576,Dichlorobenzene!myCategoryH,0),0)</definedName>
    <definedName name="myItemListH" localSheetId="23">INDEX(Formaldehyde!myTableH,MATCH(Formaldehyde!A1048576,Formaldehyde!myCategoryH,0),0)</definedName>
    <definedName name="myItemListH" localSheetId="20">INDEX('Naphthalene '!myTableH,MATCH('Naphthalene '!A1048576,'Naphthalene '!myCategoryH,0),0)</definedName>
    <definedName name="myItemListH" localSheetId="14">INDEX(Ozone!myTableH,MATCH(Ozone!A1048576,Ozone!myCategoryH,0),0)</definedName>
    <definedName name="myItemListH" localSheetId="18">INDEX(Styrene!myTableH,MATCH(Styrene!A1048576,Styrene!myCategoryH,0),0)</definedName>
    <definedName name="myItemListH" localSheetId="19">INDEX(Toluene!myTableH,MATCH(Toluene!A1048576,Toluene!myCategoryH,0),0)</definedName>
    <definedName name="myItemListH" localSheetId="22">INDEX('Xylenes-total'!myTableH,MATCH('Xylenes-total'!A1048576,'Xylenes-total'!myCategoryH,0),0)</definedName>
    <definedName name="myItemListH">INDEX(myTableH,MATCH(base_f!A1048576,myCategoryH,0),0)</definedName>
    <definedName name="myTableH" localSheetId="16">Acetaldehyde!$H$19:$V$36</definedName>
    <definedName name="myTableH" localSheetId="15">'Atmospheric Particulate Matter'!$H$19:$V$36</definedName>
    <definedName name="myTableH" localSheetId="17">Benzene!$H$19:$V$36</definedName>
    <definedName name="myTableH" localSheetId="13">'Carbon Monoxide'!$H$19:$V$36</definedName>
    <definedName name="myTableH" localSheetId="21">Dichlorobenzene!$H$19:$V$36</definedName>
    <definedName name="myTableH" localSheetId="23">Formaldehyde!$H$19:$V$36</definedName>
    <definedName name="myTableH" localSheetId="20">'Naphthalene '!$H$19:$V$36</definedName>
    <definedName name="myTableH" localSheetId="14">Ozone!$H$19:$V$36</definedName>
    <definedName name="myTableH" localSheetId="18">Styrene!$H$19:$V$36</definedName>
    <definedName name="myTableH" localSheetId="19">Toluene!$H$19:$V$36</definedName>
    <definedName name="myTableH" localSheetId="22">'Xylenes-total'!$H$19:$V$36</definedName>
    <definedName name="myTableH">base_f!$H$19:$V$36</definedName>
    <definedName name="newMet" localSheetId="16">Instructions!$Q$33:$Q$34</definedName>
    <definedName name="newMet" localSheetId="15">Instructions!$Q$33:$Q$34</definedName>
    <definedName name="newMet" localSheetId="17">Instructions!$Q$33:$Q$34</definedName>
    <definedName name="newMet" localSheetId="13">Instructions!$Q$33:$Q$34</definedName>
    <definedName name="newMet" localSheetId="21">Instructions!$Q$33:$Q$34</definedName>
    <definedName name="newMet" localSheetId="23">Instructions!$Q$33:$Q$34</definedName>
    <definedName name="newMet" localSheetId="20">Instructions!$Q$33:$Q$34</definedName>
    <definedName name="newMet" localSheetId="14">Instructions!$Q$33:$Q$34</definedName>
    <definedName name="newMet" localSheetId="18">Instructions!$Q$33:$Q$34</definedName>
    <definedName name="newMet" localSheetId="19">Instructions!$Q$33:$Q$34</definedName>
    <definedName name="newMet" localSheetId="22">Instructions!$Q$33:$Q$34</definedName>
    <definedName name="newMet">Instructions!$Q$33:$Q$34</definedName>
    <definedName name="newWaUnit" localSheetId="16">'Waste Stream'!$I$12:$I$14</definedName>
    <definedName name="newWaUnit" localSheetId="15">'Waste Stream'!$I$12:$I$14</definedName>
    <definedName name="newWaUnit" localSheetId="17">'Waste Stream'!$I$12:$I$14</definedName>
    <definedName name="newWaUnit" localSheetId="13">'Waste Stream'!$I$12:$I$14</definedName>
    <definedName name="newWaUnit" localSheetId="21">'Waste Stream'!$I$12:$I$14</definedName>
    <definedName name="newWaUnit" localSheetId="23">'Waste Stream'!$I$12:$I$14</definedName>
    <definedName name="newWaUnit" localSheetId="20">'Waste Stream'!$I$12:$I$14</definedName>
    <definedName name="newWaUnit" localSheetId="14">'Waste Stream'!$I$12:$I$14</definedName>
    <definedName name="newWaUnit" localSheetId="18">'Waste Stream'!$I$12:$I$14</definedName>
    <definedName name="newWaUnit" localSheetId="19">'Waste Stream'!$I$12:$I$14</definedName>
    <definedName name="newWaUnit" localSheetId="22">'Waste Stream'!$I$12:$I$14</definedName>
    <definedName name="newWaUnit">'Waste Stream'!$I$12:$I$14</definedName>
    <definedName name="Other_Fuels_Drp" localSheetId="16">Acetaldehyde!$V$10</definedName>
    <definedName name="Other_Fuels_Drp" localSheetId="15">'Atmospheric Particulate Matter'!$V$10</definedName>
    <definedName name="Other_Fuels_Drp" localSheetId="17">Benzene!$V$10</definedName>
    <definedName name="Other_Fuels_Drp" localSheetId="13">'Carbon Monoxide'!$V$10</definedName>
    <definedName name="Other_Fuels_Drp" localSheetId="21">Dichlorobenzene!$V$10</definedName>
    <definedName name="Other_Fuels_Drp" localSheetId="23">Formaldehyde!$V$10</definedName>
    <definedName name="Other_Fuels_Drp" localSheetId="20">'Naphthalene '!$V$10</definedName>
    <definedName name="Other_Fuels_Drp" localSheetId="14">Ozone!$V$10</definedName>
    <definedName name="Other_Fuels_Drp" localSheetId="18">Styrene!$V$10</definedName>
    <definedName name="Other_Fuels_Drp" localSheetId="19">Toluene!$V$10</definedName>
    <definedName name="Other_Fuels_Drp" localSheetId="22">'Xylenes-total'!$V$10</definedName>
    <definedName name="Other_Fuels_Drp">base_f!$V$10</definedName>
    <definedName name="Period__Start_Date" localSheetId="16">COUNTIF(base_w!$B:$B,base_w!A1)=1</definedName>
    <definedName name="Period__Start_Date" localSheetId="5">COUNTIF(AnalyticWaterMeter!$B:$B,AnalyticWaterMeter!A1)=1</definedName>
    <definedName name="Period__Start_Date" localSheetId="15">COUNTIF(base_w!$B:$B,base_w!A1)=1</definedName>
    <definedName name="Period__Start_Date" localSheetId="17">COUNTIF(base_w!$B:$B,base_w!A1)=1</definedName>
    <definedName name="Period__Start_Date" localSheetId="13">COUNTIF(base_w!$B:$B,base_w!A1)=1</definedName>
    <definedName name="Period__Start_Date" localSheetId="21">COUNTIF(base_w!$B:$B,base_w!A1)=1</definedName>
    <definedName name="Period__Start_Date" localSheetId="23">COUNTIF(base_w!$B:$B,base_w!A1)=1</definedName>
    <definedName name="Period__Start_Date" localSheetId="20">COUNTIF(base_w!$B:$B,base_w!A1)=1</definedName>
    <definedName name="Period__Start_Date" localSheetId="14">COUNTIF(base_w!$B:$B,base_w!A1)=1</definedName>
    <definedName name="Period__Start_Date" localSheetId="18">COUNTIF(base_w!$B:$B,base_w!A1)=1</definedName>
    <definedName name="Period__Start_Date" localSheetId="19">COUNTIF(base_w!$B:$B,base_w!A1)=1</definedName>
    <definedName name="Period__Start_Date" localSheetId="22">COUNTIF(base_w!$B:$B,base_w!A1)=1</definedName>
    <definedName name="Period__Start_Date">COUNTIF(base_w!$B:$B,base_w!A1)=1</definedName>
    <definedName name="Propane" localSheetId="16">Acetaldehyde!$I$16:$I$27</definedName>
    <definedName name="Propane" localSheetId="15">'Atmospheric Particulate Matter'!$I$16:$I$27</definedName>
    <definedName name="Propane" localSheetId="17">Benzene!$I$16:$I$27</definedName>
    <definedName name="Propane" localSheetId="13">'Carbon Monoxide'!$I$16:$I$27</definedName>
    <definedName name="Propane" localSheetId="21">Dichlorobenzene!$I$16:$I$27</definedName>
    <definedName name="Propane" localSheetId="23">Formaldehyde!$I$16:$I$27</definedName>
    <definedName name="Propane" localSheetId="20">'Naphthalene '!$I$16:$I$27</definedName>
    <definedName name="Propane" localSheetId="14">Ozone!$I$16:$I$27</definedName>
    <definedName name="Propane" localSheetId="18">Styrene!$I$16:$I$27</definedName>
    <definedName name="Propane" localSheetId="19">Toluene!$I$16:$I$27</definedName>
    <definedName name="Propane" localSheetId="22">'Xylenes-total'!$I$16:$I$27</definedName>
    <definedName name="Propane">base_f!$I$16:$I$27</definedName>
    <definedName name="propanes" localSheetId="16">Acetaldehyde!$I$16:$I$25</definedName>
    <definedName name="propanes" localSheetId="15">'Atmospheric Particulate Matter'!$I$16:$I$25</definedName>
    <definedName name="propanes" localSheetId="17">Benzene!$I$16:$I$25</definedName>
    <definedName name="propanes" localSheetId="13">'Carbon Monoxide'!$I$16:$I$25</definedName>
    <definedName name="propanes" localSheetId="21">Dichlorobenzene!$I$16:$I$25</definedName>
    <definedName name="propanes" localSheetId="23">Formaldehyde!$I$16:$I$25</definedName>
    <definedName name="propanes" localSheetId="20">'Naphthalene '!$I$16:$I$25</definedName>
    <definedName name="propanes" localSheetId="14">Ozone!$I$16:$I$25</definedName>
    <definedName name="propanes" localSheetId="18">Styrene!$I$16:$I$25</definedName>
    <definedName name="propanes" localSheetId="19">Toluene!$I$16:$I$25</definedName>
    <definedName name="propanes" localSheetId="22">'Xylenes-total'!$I$16:$I$25</definedName>
    <definedName name="propanes">base_f!$I$16:$I$25</definedName>
    <definedName name="prounit" localSheetId="16">Acetaldehyde!$I$16:$I$25</definedName>
    <definedName name="prounit" localSheetId="15">'Atmospheric Particulate Matter'!$I$16:$I$25</definedName>
    <definedName name="prounit" localSheetId="17">Benzene!$I$16:$I$25</definedName>
    <definedName name="prounit" localSheetId="13">'Carbon Monoxide'!$I$16:$I$25</definedName>
    <definedName name="prounit" localSheetId="21">Dichlorobenzene!$I$16:$I$25</definedName>
    <definedName name="prounit" localSheetId="23">Formaldehyde!$I$16:$I$25</definedName>
    <definedName name="prounit" localSheetId="20">'Naphthalene '!$I$16:$I$25</definedName>
    <definedName name="prounit" localSheetId="14">Ozone!$I$16:$I$25</definedName>
    <definedName name="prounit" localSheetId="18">Styrene!$I$16:$I$25</definedName>
    <definedName name="prounit" localSheetId="19">Toluene!$I$16:$I$25</definedName>
    <definedName name="prounit" localSheetId="22">'Xylenes-total'!$I$16:$I$25</definedName>
    <definedName name="prounit">base_f!$I$16:$I$25</definedName>
    <definedName name="RangeCount">'CO2 Reading for Upload'!$B$6:$B$11</definedName>
    <definedName name="RangeCountVOC">'TVOC Reading for Upload'!$B$6:$B$11</definedName>
    <definedName name="ReadingTable" localSheetId="16">'CO2 Readings'!$14:$15</definedName>
    <definedName name="ReadingTable" localSheetId="15">'CO2 Readings'!$14:$15</definedName>
    <definedName name="ReadingTable" localSheetId="17">'CO2 Readings'!$14:$15</definedName>
    <definedName name="ReadingTable" localSheetId="13">'CO2 Readings'!$14:$15</definedName>
    <definedName name="ReadingTable" localSheetId="21">'CO2 Readings'!$14:$15</definedName>
    <definedName name="ReadingTable" localSheetId="23">'CO2 Readings'!$14:$15</definedName>
    <definedName name="ReadingTable" localSheetId="20">'CO2 Readings'!$14:$15</definedName>
    <definedName name="ReadingTable" localSheetId="14">'CO2 Readings'!$14:$15</definedName>
    <definedName name="ReadingTable" localSheetId="18">'CO2 Readings'!$14:$15</definedName>
    <definedName name="ReadingTable" localSheetId="19">'CO2 Readings'!$14:$15</definedName>
    <definedName name="ReadingTable" localSheetId="22">'CO2 Readings'!$14:$15</definedName>
    <definedName name="ReadingTable">'CO2 Readings'!$14:$15</definedName>
    <definedName name="ReadingTableVOC" localSheetId="16">'TVOC Readings'!$14:$15</definedName>
    <definedName name="ReadingTableVOC" localSheetId="15">'TVOC Readings'!$14:$15</definedName>
    <definedName name="ReadingTableVOC" localSheetId="17">'TVOC Readings'!$14:$15</definedName>
    <definedName name="ReadingTableVOC" localSheetId="13">'TVOC Readings'!$14:$15</definedName>
    <definedName name="ReadingTableVOC" localSheetId="21">'TVOC Readings'!$14:$15</definedName>
    <definedName name="ReadingTableVOC" localSheetId="23">'TVOC Readings'!$14:$15</definedName>
    <definedName name="ReadingTableVOC" localSheetId="20">'TVOC Readings'!$14:$15</definedName>
    <definedName name="ReadingTableVOC" localSheetId="14">'TVOC Readings'!$14:$15</definedName>
    <definedName name="ReadingTableVOC" localSheetId="18">'TVOC Readings'!$14:$15</definedName>
    <definedName name="ReadingTableVOC" localSheetId="19">'TVOC Readings'!$14:$15</definedName>
    <definedName name="ReadingTableVOC" localSheetId="22">'TVOC Readings'!$14:$15</definedName>
    <definedName name="ReadingTableVOC">'TVOC Readings'!$14:$15</definedName>
    <definedName name="Sheets">TRANSPOSE(GET.WORKBOOK(1))&amp;T(NOW())</definedName>
    <definedName name="spacetype" localSheetId="16">Instructions!$S$42:$S$104</definedName>
    <definedName name="spacetype" localSheetId="15">Instructions!$S$42:$S$104</definedName>
    <definedName name="spacetype" localSheetId="17">Instructions!$S$42:$S$104</definedName>
    <definedName name="spacetype" localSheetId="13">Instructions!$S$42:$S$104</definedName>
    <definedName name="spacetype" localSheetId="21">Instructions!$S$42:$S$104</definedName>
    <definedName name="spacetype" localSheetId="23">Instructions!$S$42:$S$104</definedName>
    <definedName name="spacetype" localSheetId="20">Instructions!$S$42:$S$104</definedName>
    <definedName name="spacetype" localSheetId="14">Instructions!$S$42:$S$104</definedName>
    <definedName name="spacetype" localSheetId="18">Instructions!$S$42:$S$104</definedName>
    <definedName name="spacetype" localSheetId="19">Instructions!$S$42:$S$104</definedName>
    <definedName name="spacetype" localSheetId="22">Instructions!$S$42:$S$104</definedName>
    <definedName name="spacetype">Instructions!$S$33:$S$88</definedName>
    <definedName name="sumAnchor">'CO2 Readings'!$F$6:$F$15</definedName>
    <definedName name="sumAnchorVOC">'TVOC Readings'!$G$6:$G$15</definedName>
    <definedName name="sumDate">'CO2 Readings'!$G$6:$G$15</definedName>
    <definedName name="sumDateVOC">'TVOC Readings'!$H$6:$H$15</definedName>
    <definedName name="UniqueDate">'CO2 Readings'!$B$21</definedName>
    <definedName name="UniqueDateVOC">'TVOC Readings'!$B$21</definedName>
    <definedName name="UniqueLoc">'CO2 Readings'!$C$21</definedName>
    <definedName name="UniqueLocVOC">'TVOC Readings'!$C$21</definedName>
    <definedName name="Units">Instructions!$M$5:$M$6</definedName>
    <definedName name="UserFormat">'CO2 Readings'!$A$24:$E$24</definedName>
    <definedName name="validUnits">Instructions!$L$307:$L$325</definedName>
    <definedName name="water_meter_type" localSheetId="5">AnalyticWaterMeter!$H$28:$I$40</definedName>
    <definedName name="water_meter_type">base_w!$H$27:$I$39</definedName>
    <definedName name="water_type" localSheetId="5">AnalyticWaterMeter!$H$28:$I$40</definedName>
    <definedName name="water_type">base_w!$H$27:$I$39</definedName>
    <definedName name="water_units" localSheetId="5">AnalyticWaterMeter!$H$16:$H$24</definedName>
    <definedName name="water_units">base_w!$H$15:$H$23</definedName>
    <definedName name="WaterDrp" localSheetId="16">base_w!$I$9:$I$11</definedName>
    <definedName name="WaterDrp" localSheetId="5">AnalyticWaterMeter!$I$10:$I$12</definedName>
    <definedName name="WaterDrp" localSheetId="15">base_w!$I$9:$I$11</definedName>
    <definedName name="WaterDrp" localSheetId="17">base_w!$I$9:$I$11</definedName>
    <definedName name="WaterDrp" localSheetId="13">base_w!$I$9:$I$11</definedName>
    <definedName name="WaterDrp" localSheetId="21">base_w!$I$9:$I$11</definedName>
    <definedName name="WaterDrp" localSheetId="23">base_w!$I$9:$I$11</definedName>
    <definedName name="WaterDrp" localSheetId="20">base_w!$I$9:$I$11</definedName>
    <definedName name="WaterDrp" localSheetId="14">base_w!$I$9:$I$11</definedName>
    <definedName name="WaterDrp" localSheetId="18">base_w!$I$9:$I$11</definedName>
    <definedName name="WaterDrp" localSheetId="19">base_w!$I$9:$I$11</definedName>
    <definedName name="WaterDrp" localSheetId="22">base_w!$I$9:$I$11</definedName>
    <definedName name="WaterDrp">base_w!$I$9:$I$11</definedName>
    <definedName name="waterType" localSheetId="5">AnalyticWaterMeter!$H$28:$H$40</definedName>
    <definedName name="waterType">base_w!$H$27:$H$39</definedName>
    <definedName name="waterUnits" localSheetId="5">AnalyticWaterMeter!$J$11:$J$15</definedName>
    <definedName name="waterUnits">base_w!$J$10:$J$14</definedName>
    <definedName name="watUn" localSheetId="5">AnalyticWaterMeter!$H$16:$H$24</definedName>
    <definedName name="watUn">base_w!$H$15:$H$23</definedName>
    <definedName name="watUni" localSheetId="16">base_w!$H$15:$H$29</definedName>
    <definedName name="watUni" localSheetId="5">AnalyticWaterMeter!$H$16:$H$30</definedName>
    <definedName name="watUni" localSheetId="15">base_w!$H$15:$H$29</definedName>
    <definedName name="watUni" localSheetId="17">base_w!$H$15:$H$29</definedName>
    <definedName name="watUni" localSheetId="13">base_w!$H$15:$H$29</definedName>
    <definedName name="watUni" localSheetId="21">base_w!$H$15:$H$29</definedName>
    <definedName name="watUni" localSheetId="23">base_w!$H$15:$H$29</definedName>
    <definedName name="watUni" localSheetId="20">base_w!$H$15:$H$29</definedName>
    <definedName name="watUni" localSheetId="14">base_w!$H$15:$H$29</definedName>
    <definedName name="watUni" localSheetId="18">base_w!$H$15:$H$29</definedName>
    <definedName name="watUni" localSheetId="19">base_w!$H$15:$H$29</definedName>
    <definedName name="watUni" localSheetId="22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6">Acetaldehyde!$H$16:$H$27</definedName>
    <definedName name="Wood" localSheetId="15">'Atmospheric Particulate Matter'!$H$16:$H$27</definedName>
    <definedName name="Wood" localSheetId="17">Benzene!$H$16:$H$27</definedName>
    <definedName name="Wood" localSheetId="13">'Carbon Monoxide'!$H$16:$H$27</definedName>
    <definedName name="Wood" localSheetId="21">Dichlorobenzene!$H$16:$H$27</definedName>
    <definedName name="Wood" localSheetId="23">Formaldehyde!$H$16:$H$27</definedName>
    <definedName name="Wood" localSheetId="20">'Naphthalene '!$H$16:$H$27</definedName>
    <definedName name="Wood" localSheetId="14">Ozone!$H$16:$H$27</definedName>
    <definedName name="Wood" localSheetId="18">Styrene!$H$16:$H$27</definedName>
    <definedName name="Wood" localSheetId="19">Toluene!$H$16:$H$27</definedName>
    <definedName name="Wood" localSheetId="22">'Xylenes-total'!$H$16:$H$27</definedName>
    <definedName name="Wood">base_f!$H$16:$H$27</definedName>
    <definedName name="woods" localSheetId="16">Acetaldehyde!$H$16:$H$22</definedName>
    <definedName name="woods" localSheetId="15">'Atmospheric Particulate Matter'!$H$16:$H$22</definedName>
    <definedName name="woods" localSheetId="17">Benzene!$H$16:$H$22</definedName>
    <definedName name="woods" localSheetId="13">'Carbon Monoxide'!$H$16:$H$22</definedName>
    <definedName name="woods" localSheetId="21">Dichlorobenzene!$H$16:$H$22</definedName>
    <definedName name="woods" localSheetId="23">Formaldehyde!$H$16:$H$22</definedName>
    <definedName name="woods" localSheetId="20">'Naphthalene '!$H$16:$H$22</definedName>
    <definedName name="woods" localSheetId="14">Ozone!$H$16:$H$22</definedName>
    <definedName name="woods" localSheetId="18">Styrene!$H$16:$H$22</definedName>
    <definedName name="woods" localSheetId="19">Toluene!$H$16:$H$22</definedName>
    <definedName name="woods" localSheetId="22">'Xylenes-total'!$H$16:$H$22</definedName>
    <definedName name="woods">base_f!$H$16:$H$22</definedName>
    <definedName name="woodunit" localSheetId="16">Acetaldehyde!$H$16:$H$22</definedName>
    <definedName name="woodunit" localSheetId="15">'Atmospheric Particulate Matter'!$H$16:$H$22</definedName>
    <definedName name="woodunit" localSheetId="17">Benzene!$H$16:$H$22</definedName>
    <definedName name="woodunit" localSheetId="13">'Carbon Monoxide'!$H$16:$H$22</definedName>
    <definedName name="woodunit" localSheetId="21">Dichlorobenzene!$H$16:$H$22</definedName>
    <definedName name="woodunit" localSheetId="23">Formaldehyde!$H$16:$H$22</definedName>
    <definedName name="woodunit" localSheetId="20">'Naphthalene '!$H$16:$H$22</definedName>
    <definedName name="woodunit" localSheetId="14">Ozone!$H$16:$H$22</definedName>
    <definedName name="woodunit" localSheetId="18">Styrene!$H$16:$H$22</definedName>
    <definedName name="woodunit" localSheetId="19">Toluene!$H$16:$H$22</definedName>
    <definedName name="woodunit" localSheetId="22">'Xylenes-total'!$H$16:$H$22</definedName>
    <definedName name="woodunit">base_f!$H$16:$H$22</definedName>
    <definedName name="zep" localSheetId="5">AnalyticWaterMeter!$J$9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8" i="15" l="1" a="1"/>
  <c r="I8" i="15" s="1"/>
  <c r="I6" i="15" l="1"/>
  <c r="I11" i="15" a="1"/>
  <c r="I11" i="15" s="1"/>
  <c r="I14" i="15"/>
  <c r="I10" i="15" a="1"/>
  <c r="I10" i="15" s="1"/>
  <c r="I15" i="15" s="1"/>
  <c r="H8" i="14" a="1"/>
  <c r="H8" i="14" s="1"/>
  <c r="H6" i="14" l="1"/>
  <c r="H14" i="14"/>
  <c r="H10" i="14" a="1"/>
  <c r="H10" i="14" s="1"/>
  <c r="H15" i="14" s="1"/>
  <c r="H11" i="14" a="1"/>
  <c r="H11" i="14" s="1"/>
  <c r="E7" i="12"/>
  <c r="E8" i="12" l="1"/>
  <c r="D6" i="30"/>
  <c r="B1" i="30"/>
  <c r="D1" i="30" s="1"/>
  <c r="E7" i="13"/>
  <c r="E8" i="13" s="1"/>
  <c r="D6" i="29" l="1"/>
  <c r="B1" i="29"/>
  <c r="D1" i="29" s="1"/>
  <c r="D6" i="28"/>
  <c r="B1" i="28"/>
  <c r="D1" i="28" s="1"/>
  <c r="J8" i="16" l="1"/>
  <c r="J9" i="16"/>
  <c r="J10" i="16"/>
  <c r="J11" i="16"/>
  <c r="J12" i="16"/>
  <c r="J13" i="16"/>
  <c r="J14" i="16"/>
  <c r="J15" i="16"/>
  <c r="J16" i="16"/>
  <c r="J17" i="16"/>
  <c r="J18" i="16"/>
  <c r="I19" i="16"/>
  <c r="F19" i="16" l="1"/>
  <c r="K8" i="16" l="1"/>
  <c r="K9" i="16"/>
  <c r="K10" i="16"/>
  <c r="K11" i="16"/>
  <c r="K12" i="16"/>
  <c r="K13" i="16"/>
  <c r="K14" i="16"/>
  <c r="K15" i="16"/>
  <c r="K16" i="16"/>
  <c r="K17" i="16"/>
  <c r="K18" i="16"/>
  <c r="K7" i="16"/>
  <c r="G19" i="16" l="1"/>
  <c r="B50" i="16" l="1"/>
  <c r="B44" i="16"/>
  <c r="B38" i="16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L8" i="16" l="1"/>
  <c r="L9" i="16"/>
  <c r="L10" i="16"/>
  <c r="L11" i="16"/>
  <c r="L12" i="16"/>
  <c r="L13" i="16"/>
  <c r="L14" i="16"/>
  <c r="L15" i="16"/>
  <c r="L16" i="16"/>
  <c r="L7" i="16" l="1"/>
  <c r="D25" i="16" s="1"/>
  <c r="H19" i="16" l="1"/>
  <c r="H8" i="15" l="1" a="1"/>
  <c r="H8" i="15" s="1"/>
  <c r="G8" i="14" a="1"/>
  <c r="G8" i="14" s="1"/>
  <c r="B8" i="13" l="1"/>
  <c r="B8" i="12"/>
  <c r="E19" i="16"/>
  <c r="C8" i="13" l="1"/>
  <c r="C8" i="12"/>
  <c r="L17" i="16"/>
  <c r="L18" i="16"/>
  <c r="B10" i="15" l="1" a="1"/>
  <c r="B10" i="15" s="1"/>
  <c r="B10" i="14" a="1"/>
  <c r="B10" i="14" s="1"/>
  <c r="D24" i="16"/>
  <c r="B24" i="16"/>
  <c r="D6" i="16"/>
  <c r="D6" i="13"/>
  <c r="D6" i="12"/>
  <c r="E18" i="15"/>
  <c r="C21" i="15" a="1"/>
  <c r="C21" i="15" s="1"/>
  <c r="B21" i="15" a="1"/>
  <c r="B21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D26" i="16" l="1"/>
  <c r="B11" i="14" a="1"/>
  <c r="B11" i="14" s="1"/>
  <c r="A10" i="15"/>
  <c r="B11" i="15" a="1"/>
  <c r="B11" i="15" s="1"/>
  <c r="H10" i="15" a="1"/>
  <c r="H10" i="15" s="1"/>
  <c r="H6" i="15"/>
  <c r="H14" i="15"/>
  <c r="D1" i="8"/>
  <c r="D1" i="6"/>
  <c r="D1" i="4"/>
  <c r="J19" i="16"/>
  <c r="G6" i="14"/>
  <c r="G14" i="14"/>
  <c r="A10" i="14"/>
  <c r="G10" i="14" a="1"/>
  <c r="G10" i="14" s="1"/>
  <c r="B7" i="13" l="1"/>
  <c r="B7" i="12"/>
  <c r="D28" i="16"/>
  <c r="D27" i="16"/>
  <c r="B18" i="15"/>
  <c r="C18" i="15" s="1"/>
  <c r="G11" i="14" a="1"/>
  <c r="G11" i="14" s="1"/>
  <c r="A11" i="14"/>
  <c r="A11" i="15"/>
  <c r="H11" i="15" a="1"/>
  <c r="H11" i="15" s="1"/>
  <c r="B18" i="14"/>
  <c r="C18" i="14" s="1"/>
  <c r="D8" i="13" l="1" a="1"/>
  <c r="D8" i="13" s="1"/>
  <c r="A8" i="13" s="1"/>
  <c r="H15" i="15"/>
  <c r="D7" i="13" s="1" a="1"/>
  <c r="D7" i="13" s="1"/>
  <c r="A7" i="13" s="1"/>
  <c r="C7" i="13"/>
  <c r="D8" i="12"/>
  <c r="A8" i="12" s="1"/>
  <c r="G15" i="14"/>
  <c r="D7" i="12" s="1"/>
  <c r="A7" i="12" s="1"/>
  <c r="C7" i="12"/>
  <c r="D18" i="15" l="1" a="1"/>
  <c r="D18" i="15" s="1"/>
  <c r="A18" i="15" s="1"/>
  <c r="D18" i="14"/>
  <c r="A18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<sst xmlns="http://schemas.openxmlformats.org/spreadsheetml/2006/main" count="3907" uniqueCount="747">
  <si>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</si>
  <si>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</si>
  <si>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</si>
  <si>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</si>
  <si>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</si>
  <si>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</si>
  <si>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</si>
  <si>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</si>
  <si>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</si>
  <si>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</si>
  <si>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</si>
  <si>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</si>
  <si>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</si>
  <si>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</si>
  <si>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</si>
  <si>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</si>
  <si>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</si>
  <si>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</si>
  <si>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</si>
  <si>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</si>
  <si>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</si>
  <si>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</si>
  <si>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</si>
  <si>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</si>
  <si>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</si>
  <si>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</si>
  <si>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</si>
  <si>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</si>
  <si>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</si>
  <si>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</si>
  <si>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</si>
  <si>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</si>
  <si>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</si>
  <si>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</si>
  <si>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</si>
  <si>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</si>
  <si>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</si>
  <si>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</si>
  <si>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</si>
  <si>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</si>
  <si>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</si>
  <si>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</si>
  <si>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</si>
  <si>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</si>
  <si>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</si>
  <si>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</si>
  <si>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</si>
  <si>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</si>
  <si>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</si>
  <si>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</si>
  <si>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</si>
  <si>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</si>
  <si>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</si>
  <si>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</si>
  <si>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</si>
  <si>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</si>
  <si>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</si>
  <si>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</si>
  <si>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</si>
  <si>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</si>
  <si>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</si>
  <si>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</si>
  <si>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</si>
  <si>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</si>
  <si>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</si>
  <si>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</si>
  <si>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</si>
  <si>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</si>
  <si>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</si>
  <si>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</si>
  <si>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</si>
  <si>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</si>
  <si>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</si>
  <si>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</si>
  <si>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</si>
  <si>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</si>
  <si>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</si>
  <si>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</si>
  <si>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</si>
  <si>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</si>
  <si>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</si>
  <si>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</si>
  <si>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</si>
  <si>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</si>
  <si>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</si>
  <si>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</si>
  <si>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</si>
  <si>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</si>
  <si>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</si>
  <si>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</si>
  <si>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</si>
  <si>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</si>
  <si>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</si>
  <si>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</si>
  <si>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</si>
  <si>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</si>
  <si>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</si>
  <si>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</si>
  <si>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</si>
  <si>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</si>
  <si>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</si>
  <si>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</si>
  <si>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</si>
  <si>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</si>
  <si>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</si>
  <si>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</si>
  <si>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</si>
  <si>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</si>
  <si>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</si>
  <si>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</si>
  <si>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</si>
  <si>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</si>
  <si>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</si>
  <si>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</si>
  <si>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</si>
  <si>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</si>
  <si>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</si>
  <si>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</si>
  <si>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</si>
  <si>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</si>
  <si>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</si>
  <si>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</si>
  <si>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</si>
  <si>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</si>
  <si>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</si>
  <si>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</si>
  <si>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</si>
  <si>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</si>
  <si>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</si>
  <si>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</si>
  <si>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</si>
  <si>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</si>
  <si>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</si>
  <si>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</si>
  <si>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</si>
  <si>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</si>
  <si>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</si>
  <si>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</si>
  <si>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</si>
  <si>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</si>
  <si>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</si>
  <si>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</si>
  <si>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</si>
  <si>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</si>
  <si>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</si>
  <si>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</si>
  <si>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</si>
  <si>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</si>
  <si>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</si>
  <si>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</si>
  <si>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</si>
  <si>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</si>
  <si>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</si>
  <si>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</si>
  <si>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</si>
  <si>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</si>
  <si>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</si>
  <si>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</si>
  <si>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</si>
  <si>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</si>
  <si>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</si>
  <si>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</si>
  <si>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</si>
  <si>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</si>
  <si>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</si>
  <si>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</si>
  <si>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</si>
  <si>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</si>
  <si>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</si>
  <si>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</si>
  <si>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</si>
  <si>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</si>
  <si>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</si>
  <si>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</si>
  <si>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</si>
  <si>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</si>
  <si>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</si>
  <si>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</si>
  <si>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</si>
  <si>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</si>
  <si>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</si>
  <si>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</si>
  <si>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</si>
  <si>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</si>
  <si>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</si>
  <si>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</si>
  <si>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</si>
  <si>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</si>
  <si>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</si>
  <si>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</si>
  <si>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</si>
  <si>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</si>
  <si>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</si>
  <si>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</si>
  <si>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</si>
  <si>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</si>
  <si>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</si>
  <si>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</si>
  <si>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</si>
  <si>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</si>
  <si>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</si>
  <si>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</si>
  <si>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</si>
  <si>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</si>
  <si>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</si>
  <si>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</si>
  <si>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</si>
  <si>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</si>
  <si>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</si>
  <si>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</si>
  <si>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</si>
  <si>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</si>
  <si>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</si>
  <si>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</si>
  <si>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</si>
  <si>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</si>
  <si>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</si>
  <si>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</si>
  <si>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</si>
  <si>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</si>
  <si>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</si>
  <si>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</si>
  <si>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</si>
  <si>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</si>
  <si>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</si>
  <si>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</si>
  <si>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</si>
  <si>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</si>
  <si>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</si>
  <si>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</si>
  <si>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</si>
  <si>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</si>
  <si>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</si>
  <si>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</si>
  <si>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</si>
  <si>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</si>
  <si>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</si>
  <si>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</si>
  <si>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</si>
  <si>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</si>
  <si>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</si>
  <si>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</si>
  <si>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</si>
  <si>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</si>
  <si>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</si>
  <si>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</si>
  <si>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</si>
  <si>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</si>
  <si>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</si>
  <si>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</si>
  <si>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</si>
  <si>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</si>
  <si>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</si>
  <si>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</si>
  <si>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</si>
  <si>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</si>
  <si>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</si>
  <si>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</si>
  <si>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</si>
  <si>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</si>
  <si>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</si>
  <si>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</si>
  <si>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</si>
  <si>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</si>
  <si>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</si>
  <si>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</si>
  <si>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</si>
  <si>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</si>
  <si>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</si>
  <si>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</si>
  <si>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</si>
  <si>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</si>
  <si>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</si>
  <si>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</si>
  <si>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</si>
  <si>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</si>
  <si>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</si>
  <si>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</si>
  <si>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</si>
  <si>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</si>
  <si>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</si>
  <si>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</si>
  <si>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</si>
  <si>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</si>
  <si>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</si>
  <si>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</si>
  <si>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</si>
  <si>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</si>
  <si>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</si>
  <si>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</si>
  <si>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</si>
  <si>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</si>
  <si>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</si>
  <si>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</si>
  <si>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</si>
  <si>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</si>
  <si>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</si>
  <si>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</si>
  <si>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</si>
  <si>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</si>
  <si>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</si>
  <si>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</si>
  <si>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</si>
  <si>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</si>
  <si>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</si>
  <si>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</si>
  <si>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</si>
  <si>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</si>
  <si>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</si>
  <si>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</si>
  <si>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</si>
  <si>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</si>
  <si>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</si>
  <si>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</si>
  <si>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</si>
  <si>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</si>
  <si>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</si>
  <si>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</si>
  <si>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</si>
  <si>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</si>
  <si>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</si>
  <si>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</si>
  <si>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</si>
  <si>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</si>
  <si>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</si>
  <si>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</si>
  <si>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</si>
  <si>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</si>
  <si>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</si>
  <si>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</si>
  <si>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</si>
  <si>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</si>
  <si>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</si>
  <si>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</si>
  <si>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</si>
  <si>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</si>
  <si>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</si>
  <si>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</si>
  <si>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</si>
  <si>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</si>
  <si>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</si>
  <si>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</si>
  <si>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</si>
  <si>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</si>
  <si>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</si>
  <si>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</si>
  <si>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</si>
  <si>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</si>
  <si>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</si>
  <si>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</si>
  <si>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</si>
  <si>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</si>
  <si>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</si>
  <si>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</si>
  <si>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</si>
  <si>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</si>
  <si>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</si>
  <si>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</si>
  <si>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</si>
  <si>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</si>
  <si>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</si>
  <si>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</si>
  <si>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</si>
  <si>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</si>
  <si>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</si>
  <si>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</si>
  <si>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</si>
  <si>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</si>
  <si>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</si>
  <si>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</si>
  <si>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</si>
  <si>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</si>
  <si>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</si>
  <si>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</si>
  <si>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</si>
  <si>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</si>
  <si>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</si>
  <si>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</si>
  <si>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</si>
  <si>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</si>
  <si>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</si>
  <si>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</si>
  <si>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</si>
  <si>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</si>
  <si>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</si>
  <si>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</si>
  <si>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</si>
  <si>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</si>
  <si>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</si>
  <si>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</si>
  <si>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</si>
  <si>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</si>
  <si>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</si>
  <si>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</si>
  <si>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</si>
  <si>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</si>
  <si>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</si>
  <si>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</si>
  <si>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</si>
  <si>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</si>
  <si>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</si>
  <si>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</si>
  <si>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</si>
  <si>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</si>
  <si>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</si>
  <si>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</si>
  <si>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</si>
  <si>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</si>
  <si>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</si>
  <si>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</si>
  <si>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</si>
  <si>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</si>
  <si>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</si>
  <si>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</si>
  <si>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</si>
  <si>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</si>
  <si>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</si>
  <si>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</si>
  <si>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</si>
  <si>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</si>
  <si>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</si>
  <si>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</si>
  <si>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</si>
  <si>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</si>
  <si>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</si>
  <si>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</si>
  <si>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</si>
  <si>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</si>
  <si>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</si>
  <si>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</si>
  <si>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</si>
  <si>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</si>
  <si>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</si>
  <si>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</si>
  <si>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</si>
  <si>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</si>
  <si>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</si>
  <si>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</si>
  <si>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</si>
  <si>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</si>
  <si>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</si>
  <si>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</si>
  <si>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</si>
  <si>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</si>
  <si>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</si>
  <si>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</si>
  <si>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</si>
  <si>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</si>
  <si>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</si>
  <si>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</si>
  <si>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</si>
  <si>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</si>
  <si>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</si>
  <si>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</si>
  <si>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</si>
  <si>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</si>
  <si>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</si>
  <si>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</si>
  <si>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</si>
  <si>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</si>
  <si>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</si>
  <si>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</si>
  <si>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</si>
  <si>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</si>
  <si>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</si>
  <si>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</si>
  <si>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</si>
  <si>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</si>
  <si>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</si>
  <si>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</si>
  <si>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</si>
  <si>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</si>
  <si>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</si>
  <si>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</si>
  <si>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</si>
  <si>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</si>
  <si>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</si>
  <si>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</si>
  <si>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</si>
  <si>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</si>
  <si>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</si>
  <si>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</si>
  <si>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</si>
  <si>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</si>
  <si>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</si>
  <si>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</si>
  <si>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</si>
  <si>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</si>
  <si>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</si>
  <si>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</si>
  <si>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</si>
  <si>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</si>
  <si>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</si>
  <si>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</si>
  <si>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</si>
  <si>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</si>
  <si>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</si>
  <si>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</si>
  <si>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</si>
  <si>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</si>
  <si>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</si>
  <si>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</si>
  <si>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</si>
  <si>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</si>
  <si>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</si>
  <si>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</si>
  <si>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</si>
  <si>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</si>
  <si>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</si>
  <si>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</si>
  <si>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</si>
  <si>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</si>
  <si>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</si>
  <si>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</si>
  <si>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</si>
  <si>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</si>
  <si>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</si>
  <si>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</si>
  <si>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</si>
  <si>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</si>
  <si>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</si>
  <si>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</si>
  <si>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</si>
  <si>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</si>
  <si>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</si>
  <si>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</si>
  <si>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</si>
  <si>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</si>
  <si>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</si>
  <si>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</si>
  <si>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</si>
  <si>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</si>
  <si>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</si>
  <si>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</si>
  <si>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</si>
  <si>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</si>
  <si>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</si>
  <si>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</si>
  <si>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</si>
  <si>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</si>
  <si>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</si>
  <si>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</si>
  <si>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</si>
  <si>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</si>
  <si>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</si>
  <si>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</si>
  <si>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</si>
  <si>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</si>
  <si>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</si>
  <si>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</si>
  <si>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</si>
  <si>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</si>
  <si>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</si>
  <si>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</si>
  <si>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</si>
  <si>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</si>
  <si>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</si>
  <si>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</si>
  <si>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</si>
  <si>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</si>
  <si>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</si>
  <si>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</si>
  <si>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</si>
  <si>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</si>
  <si>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</si>
  <si>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</si>
  <si>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</si>
  <si>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</si>
  <si>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</si>
  <si>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</si>
  <si>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</si>
  <si>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</si>
  <si>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</si>
  <si>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</si>
  <si>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</si>
  <si>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</si>
  <si>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</si>
  <si>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</si>
  <si>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</si>
  <si>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</si>
  <si>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</si>
  <si>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</si>
  <si>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</si>
  <si>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</si>
  <si>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</si>
  <si>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</si>
  <si>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</si>
  <si>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</si>
  <si>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</si>
  <si>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</si>
  <si>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</si>
  <si>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</si>
  <si>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</si>
  <si>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</si>
  <si>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</si>
  <si>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</si>
  <si>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</si>
  <si>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</si>
  <si>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</si>
  <si>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</si>
  <si>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</si>
  <si>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</si>
  <si>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</si>
  <si>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</si>
  <si>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</si>
  <si>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</si>
  <si>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</si>
  <si>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</si>
  <si>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</si>
  <si>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</si>
  <si>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</si>
  <si>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</si>
  <si>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</si>
  <si>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</si>
  <si>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</si>
  <si>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</si>
  <si>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</si>
  <si>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</si>
  <si>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</si>
  <si>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</si>
  <si>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</si>
  <si>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</si>
  <si>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</si>
  <si>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</si>
  <si>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</si>
  <si>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</si>
  <si>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</si>
  <si>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</si>
  <si>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</si>
  <si>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</si>
  <si>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</si>
  <si>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</si>
  <si>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</si>
  <si>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</si>
  <si>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</si>
  <si>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</si>
  <si>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</si>
  <si>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</si>
  <si>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</si>
  <si>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</si>
  <si>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</si>
  <si>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</si>
  <si>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</si>
  <si>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</si>
  <si>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</si>
  <si>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</si>
  <si>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</si>
  <si>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</si>
  <si>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</si>
  <si>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</si>
  <si>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</si>
  <si>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</si>
  <si>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</si>
  <si>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</si>
  <si>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</si>
  <si>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</si>
  <si>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</si>
  <si>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</si>
  <si>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</si>
  <si>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</si>
  <si>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</si>
  <si>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</si>
  <si>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</si>
  <si>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</si>
  <si>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</si>
  <si>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</si>
  <si>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</si>
  <si>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</si>
  <si>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</si>
  <si>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</si>
  <si>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</si>
  <si>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</si>
  <si>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</si>
  <si>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</si>
  <si>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</si>
  <si>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</si>
  <si>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</si>
  <si>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</si>
  <si>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</si>
  <si>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</si>
  <si>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</si>
  <si>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</si>
  <si>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</si>
  <si>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</si>
  <si>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</si>
  <si>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</si>
  <si>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</si>
  <si>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</si>
  <si>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</si>
  <si>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</si>
  <si>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</si>
  <si>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</si>
  <si>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</si>
  <si>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</si>
  <si>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</si>
  <si>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</si>
  <si>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</si>
  <si>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</si>
  <si>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</si>
  <si>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</si>
  <si>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</si>
  <si>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</si>
  <si>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</si>
  <si>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</si>
  <si>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</si>
  <si>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</si>
  <si>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</si>
  <si>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</si>
  <si>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</si>
  <si>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</si>
  <si>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</si>
  <si>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</si>
  <si>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</si>
  <si>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</si>
  <si>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</si>
  <si>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</si>
  <si>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</si>
  <si>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</si>
  <si>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</si>
  <si>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</si>
  <si>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</si>
  <si>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</si>
  <si>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</si>
  <si>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</si>
  <si>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</si>
  <si>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</si>
  <si>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</si>
  <si>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</si>
  <si>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</si>
  <si>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</si>
  <si>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</si>
  <si>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</si>
  <si>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</si>
  <si>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</si>
  <si>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</si>
  <si>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Totals</t>
  </si>
  <si>
    <t>T</t>
  </si>
  <si>
    <t>Space Name or Description1</t>
  </si>
  <si>
    <t>Space Name or Description2</t>
  </si>
  <si>
    <t>Space Name or Description3</t>
  </si>
  <si>
    <t>Exclude</t>
  </si>
  <si>
    <t>AnalyticsEnergyMeter</t>
  </si>
  <si>
    <t>AnalyticWaterMeter</t>
  </si>
  <si>
    <t>Delhi</t>
  </si>
  <si>
    <t>Noida</t>
  </si>
  <si>
    <t>Gurugram</t>
  </si>
  <si>
    <t>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</si>
</sst>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* #,##0.00_);_(* \(#,##0.00\);_(* &quot;-&quot;??_);_(@_)"/>
    <numFmt numFmtId="165" formatCode="#,##0.00_ ;\-#,##0.00\ "/>
    <numFmt numFmtId="166" formatCode="mm/dd/yyyy"/>
    <numFmt numFmtId="167" formatCode="[$-F400]h:mm:ss\ AM/PM"/>
    <numFmt numFmtId="168" formatCode="0.0"/>
    <numFmt numFmtId="169" formatCode="0.00_ ;\-0.00\ "/>
    <numFmt numFmtId="170" formatCode="0.00;[Red]0.00"/>
    <numFmt numFmtId="171" formatCode="0;[Red]0"/>
    <numFmt numFmtId="172" formatCode="h:mm;@"/>
    <numFmt numFmtId="173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5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6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6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8" fillId="3" borderId="17" xfId="0" applyNumberFormat="1" applyFont="1" applyFill="1" applyBorder="1" applyAlignment="1" applyProtection="1">
      <alignment horizontal="right" vertical="center"/>
      <protection locked="0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12" xfId="0" applyNumberFormat="1" applyFont="1" applyBorder="1" applyAlignment="1">
      <alignment horizontal="right" vertical="center"/>
    </xf>
    <xf numFmtId="170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6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6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1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2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3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66" fontId="2" fillId="3" borderId="12" xfId="0" applyNumberFormat="1" applyFont="1" applyFill="1" applyBorder="1" applyProtection="1">
      <protection locked="0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0" borderId="0" xfId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left" vertical="center" indent="1"/>
    </xf>
    <xf numFmtId="0" fontId="2" fillId="6" borderId="58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0</xdr:rowOff>
        </xdr:from>
        <xdr:to>
          <xdr:col>2</xdr:col>
          <xdr:colOff>0</xdr:colOff>
          <xdr:row>10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0</xdr:rowOff>
        </xdr:from>
        <xdr:to>
          <xdr:col>2</xdr:col>
          <xdr:colOff>1295400</xdr:colOff>
          <xdr:row>10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5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8</xdr:row>
          <xdr:rowOff>180975</xdr:rowOff>
        </xdr:from>
        <xdr:to>
          <xdr:col>3</xdr:col>
          <xdr:colOff>1085850</xdr:colOff>
          <xdr:row>10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5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8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8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8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4</xdr:row>
          <xdr:rowOff>152400</xdr:rowOff>
        </xdr:from>
        <xdr:to>
          <xdr:col>4</xdr:col>
          <xdr:colOff>962025</xdr:colOff>
          <xdr:row>4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8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2</xdr:col>
          <xdr:colOff>466725</xdr:colOff>
          <xdr:row>10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352425</xdr:rowOff>
        </xdr:from>
        <xdr:to>
          <xdr:col>3</xdr:col>
          <xdr:colOff>990600</xdr:colOff>
          <xdr:row>12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A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4</xdr:row>
          <xdr:rowOff>133350</xdr:rowOff>
        </xdr:from>
        <xdr:to>
          <xdr:col>4</xdr:col>
          <xdr:colOff>885825</xdr:colOff>
          <xdr:row>4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A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9</xdr:row>
          <xdr:rowOff>9525</xdr:rowOff>
        </xdr:from>
        <xdr:to>
          <xdr:col>3</xdr:col>
          <xdr:colOff>1200150</xdr:colOff>
          <xdr:row>9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C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D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E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E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F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F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1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2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2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6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topLeftCell="A11" zoomScale="90" zoomScaleNormal="90" workbookViewId="0">
      <selection activeCell="D35" sqref="D35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704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709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710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Q+DlJHp5BvaltlXsGLPi4a2h3TbuRndRpiUoQngY3iWLgUnn2nXZulhJ+qTcTQ6ouF63u0ZDY3zFsoSNDOSE4w==" saltValue="nBzXi8p0g2m/zvQ4pWRWlw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opLeftCell="A35" zoomScale="90" zoomScaleNormal="90" workbookViewId="0">
      <pane xSplit="4" topLeftCell="F1" activePane="topRight" state="frozen"/>
      <selection pane="topRight" activeCell="F49" sqref="F49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customWidth="1"/>
    <col min="15" max="17" width="16.140625" style="104" customWidth="1"/>
    <col min="18" max="18" width="33.140625" style="104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01" t="s">
        <v>593</v>
      </c>
      <c r="C4" s="201"/>
      <c r="D4" s="201"/>
      <c r="E4" s="201"/>
      <c r="F4" s="201"/>
      <c r="G4" s="201"/>
      <c r="H4" s="201"/>
      <c r="I4" s="201"/>
      <c r="J4" s="201"/>
      <c r="K4" s="168"/>
    </row>
    <row r="5" spans="1:19" ht="30" customHeight="1" x14ac:dyDescent="0.2">
      <c r="A5" s="142" t="s">
        <v>736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9" t="s">
        <v>732</v>
      </c>
      <c r="O5" s="210"/>
      <c r="P5" s="210"/>
      <c r="Q5" s="210"/>
      <c r="R5" s="211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737</v>
      </c>
      <c r="C7" s="118" t="s">
        <v>617</v>
      </c>
      <c r="D7" s="117">
        <v>1000</v>
      </c>
      <c r="E7" s="116">
        <v>100</v>
      </c>
      <c r="F7" s="116">
        <v>5</v>
      </c>
      <c r="G7" s="116">
        <v>2</v>
      </c>
      <c r="H7" s="116">
        <v>4</v>
      </c>
      <c r="I7" s="192">
        <v>0.5</v>
      </c>
      <c r="J7" s="190">
        <v>4</v>
      </c>
      <c r="K7" s="169">
        <f>G7*H7</f>
        <v>8</v>
      </c>
      <c r="L7" s="104">
        <f t="shared" ref="L7" si="0">E7*D7</f>
        <v>100000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738</v>
      </c>
      <c r="C8" s="118" t="s">
        <v>619</v>
      </c>
      <c r="D8" s="117">
        <v>1000</v>
      </c>
      <c r="E8" s="116"/>
      <c r="F8" s="116"/>
      <c r="G8" s="116"/>
      <c r="H8" s="116"/>
      <c r="I8" s="192"/>
      <c r="J8" s="190" t="str">
        <f t="shared" ref="J8:J18" si="1">IFERROR((K8/E8)*(I8*24)," ")</f>
        <v xml:space="preserve"> </v>
      </c>
      <c r="K8" s="169">
        <f t="shared" ref="K8:K18" si="2">G8*H8</f>
        <v>0</v>
      </c>
      <c r="L8" s="104">
        <f t="shared" ref="L8:L16" si="3">E8*D8</f>
        <v>0</v>
      </c>
      <c r="M8" s="186"/>
      <c r="N8" s="183" t="s">
        <v>740</v>
      </c>
      <c r="O8" s="183" t="s">
        <v>740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 t="s">
        <v>739</v>
      </c>
      <c r="C9" s="118" t="s">
        <v>622</v>
      </c>
      <c r="D9" s="117">
        <v>1000</v>
      </c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740</v>
      </c>
      <c r="O9" s="183" t="s">
        <v>720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02" t="s">
        <v>735</v>
      </c>
      <c r="C19" s="203"/>
      <c r="D19" s="158">
        <f>IFERROR(SUM(D7:D18)," ")</f>
        <v>3000</v>
      </c>
      <c r="E19" s="119">
        <f t="shared" ref="E19:J19" si="5">SUM(E7:E18)</f>
        <v>100</v>
      </c>
      <c r="F19" s="119">
        <f t="shared" si="5"/>
        <v>5</v>
      </c>
      <c r="G19" s="119">
        <f t="shared" si="5"/>
        <v>2</v>
      </c>
      <c r="H19" s="119">
        <f t="shared" si="5"/>
        <v>4</v>
      </c>
      <c r="I19" s="193">
        <f>SUM(I7:I18)</f>
        <v>0.5</v>
      </c>
      <c r="J19" s="191">
        <f t="shared" si="5"/>
        <v>4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3000</v>
      </c>
      <c r="F24" s="206"/>
      <c r="G24" s="206"/>
      <c r="H24" s="206"/>
      <c r="I24" s="206"/>
      <c r="L24" s="144"/>
    </row>
    <row r="25" spans="1:18" x14ac:dyDescent="0.2">
      <c r="A25" s="143"/>
      <c r="B25" s="207" t="s">
        <v>602</v>
      </c>
      <c r="C25" s="208"/>
      <c r="D25" s="157">
        <f>IFERROR(ROUND(SUM(L7:L18)/D19, 0)," ")</f>
        <v>33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5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4</v>
      </c>
      <c r="F27" s="179"/>
      <c r="G27" s="179"/>
      <c r="H27" s="177"/>
      <c r="I27" s="177"/>
    </row>
    <row r="28" spans="1:18" x14ac:dyDescent="0.2">
      <c r="A28" s="143"/>
      <c r="B28" s="214" t="s">
        <v>603</v>
      </c>
      <c r="C28" s="215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2" t="s">
        <v>723</v>
      </c>
      <c r="C30" s="213"/>
      <c r="D30" s="197">
        <v>43101</v>
      </c>
    </row>
    <row r="32" spans="1:18" x14ac:dyDescent="0.2">
      <c r="B32" s="176" t="s">
        <v>724</v>
      </c>
    </row>
    <row r="36" spans="2:4" x14ac:dyDescent="0.2">
      <c r="B36" s="104" t="s">
        <v>726</v>
      </c>
    </row>
    <row r="38" spans="2:4" x14ac:dyDescent="0.2">
      <c r="B38" s="204" t="str">
        <f>CONCATENATE("Gross 
Floor Area 
",IF(Instructions!$F$9="SI Units","(sq m)","(sq ft)"))</f>
        <v>Gross 
Floor Area 
(sq ft)</v>
      </c>
      <c r="C38" s="205"/>
      <c r="D38" s="156">
        <v>1000</v>
      </c>
    </row>
    <row r="39" spans="2:4" x14ac:dyDescent="0.2">
      <c r="B39" s="208" t="s">
        <v>602</v>
      </c>
      <c r="C39" s="208"/>
      <c r="D39" s="157">
        <v>100</v>
      </c>
    </row>
    <row r="40" spans="2:4" x14ac:dyDescent="0.2">
      <c r="B40" s="214" t="s">
        <v>603</v>
      </c>
      <c r="C40" s="215"/>
      <c r="D40" s="157">
        <v>9</v>
      </c>
    </row>
    <row r="42" spans="2:4" x14ac:dyDescent="0.2">
      <c r="B42" s="104" t="s">
        <v>727</v>
      </c>
    </row>
    <row r="44" spans="2:4" x14ac:dyDescent="0.2">
      <c r="B44" s="204" t="str">
        <f>CONCATENATE("Gross 
Floor Area 
",IF(Instructions!$F$9="SI Units","(sq m)","(sq ft)"))</f>
        <v>Gross 
Floor Area 
(sq ft)</v>
      </c>
      <c r="C44" s="205"/>
      <c r="D44" s="156">
        <v>2000</v>
      </c>
    </row>
    <row r="45" spans="2:4" x14ac:dyDescent="0.2">
      <c r="B45" s="208" t="s">
        <v>602</v>
      </c>
      <c r="C45" s="208"/>
      <c r="D45" s="157">
        <v>50</v>
      </c>
    </row>
    <row r="46" spans="2:4" x14ac:dyDescent="0.2">
      <c r="B46" s="214" t="s">
        <v>603</v>
      </c>
      <c r="C46" s="215"/>
      <c r="D46" s="157">
        <v>9</v>
      </c>
    </row>
    <row r="48" spans="2:4" x14ac:dyDescent="0.2">
      <c r="B48" s="104" t="s">
        <v>728</v>
      </c>
    </row>
    <row r="50" spans="2:4" x14ac:dyDescent="0.2">
      <c r="B50" s="204" t="str">
        <f>CONCATENATE("Gross 
Floor Area 
",IF(Instructions!$F$9="SI Units","(sq m)","(sq ft)"))</f>
        <v>Gross 
Floor Area 
(sq ft)</v>
      </c>
      <c r="C50" s="205"/>
      <c r="D50" s="156">
        <v>3000</v>
      </c>
    </row>
    <row r="51" spans="2:4" x14ac:dyDescent="0.2">
      <c r="B51" s="208" t="s">
        <v>602</v>
      </c>
      <c r="C51" s="208"/>
      <c r="D51" s="157">
        <v>33</v>
      </c>
    </row>
    <row r="52" spans="2:4" x14ac:dyDescent="0.2">
      <c r="B52" s="214" t="s">
        <v>603</v>
      </c>
      <c r="C52" s="215"/>
      <c r="D52" s="157">
        <v>9</v>
      </c>
    </row>
    <row r="54" spans="2:4" x14ac:dyDescent="0.2">
      <c r="B54" s="104" t="s">
        <v>729</v>
      </c>
    </row>
    <row r="56" spans="2:4" x14ac:dyDescent="0.2">
      <c r="B56" s="181" t="s">
        <v>721</v>
      </c>
      <c r="C56" s="165"/>
      <c r="D56" s="120">
        <v>5</v>
      </c>
    </row>
    <row r="57" spans="2:4" x14ac:dyDescent="0.2">
      <c r="B57" s="181" t="s">
        <v>722</v>
      </c>
      <c r="C57" s="165"/>
      <c r="D57" s="120">
        <v>4</v>
      </c>
    </row>
    <row r="58" spans="2:4" x14ac:dyDescent="0.2">
      <c r="B58" s="214" t="s">
        <v>603</v>
      </c>
      <c r="C58" s="215"/>
      <c r="D58" s="157">
        <v>9</v>
      </c>
    </row>
    <row r="60" spans="2:4" x14ac:dyDescent="0.2">
      <c r="B60" s="104" t="s">
        <v>730</v>
      </c>
    </row>
    <row r="62" spans="2:4" x14ac:dyDescent="0.2">
      <c r="B62" s="181" t="s">
        <v>721</v>
      </c>
      <c r="C62" s="165"/>
      <c r="D62" s="120">
        <v>5</v>
      </c>
    </row>
    <row r="63" spans="2:4" x14ac:dyDescent="0.2">
      <c r="B63" s="181" t="s">
        <v>722</v>
      </c>
      <c r="C63" s="165"/>
      <c r="D63" s="120">
        <v>4</v>
      </c>
    </row>
    <row r="64" spans="2:4" x14ac:dyDescent="0.2">
      <c r="B64" s="214" t="s">
        <v>603</v>
      </c>
      <c r="C64" s="215"/>
      <c r="D64" s="157">
        <v>9</v>
      </c>
    </row>
  </sheetData>
  <sheetProtection algorithmName="SHA-512" hashValue="jlA5wVlJdHdhiw+CNR69X7CrGkfQi5H3+JolJ90HCP5o7x9kYnKXin8fDnT1tQAZbk/QvAAg80uM7+wwej8/zQ==" saltValue="VqmLHwcY3O5Me1ujowlsCw==" spinCount="100000" sheet="1" objects="1" scenarios="1"/>
  <mergeCells count="20"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  <mergeCell ref="N5:R5"/>
    <mergeCell ref="F24:G24"/>
    <mergeCell ref="B30:C30"/>
    <mergeCell ref="B38:C38"/>
    <mergeCell ref="B39:C39"/>
    <mergeCell ref="B28:C28"/>
    <mergeCell ref="B4:J4"/>
    <mergeCell ref="B19:C19"/>
    <mergeCell ref="B24:C24"/>
    <mergeCell ref="H24:I24"/>
    <mergeCell ref="B25:C25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8671-3DA3-4D48-B7E1-3B64583A9780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AnalyticsEnergyMeter</v>
      </c>
      <c r="C1" s="1"/>
      <c r="D1" s="4" t="str">
        <f ca="1">B1</f>
        <v>AnalyticsEnergyMeter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741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dataValidations count="6">
    <dataValidation type="textLength" allowBlank="1" showInputMessage="1" showErrorMessage="1" errorTitle="Data Source" error="It can only accept 40 characters." sqref="D5" xr:uid="{E58DA960-509D-4D4D-85AF-DBB79A55855F}">
      <formula1>0</formula1>
      <formula2>40</formula2>
    </dataValidation>
    <dataValidation type="decimal" allowBlank="1" showInputMessage="1" showErrorMessage="1" error="Please enter a valid reading." sqref="D7" xr:uid="{BAA65C28-E119-4E03-8E18-8C8300973ADD}">
      <formula1>0</formula1>
      <formula2>9999999999</formula2>
    </dataValidation>
    <dataValidation type="date" allowBlank="1" showInputMessage="1" showErrorMessage="1" error="Please enter a valid date in mm/dd/yyyy format." sqref="B7:C7" xr:uid="{099B8438-045E-43DD-9935-7A63628D6FFB}">
      <formula1>1</formula1>
      <formula2>73415</formula2>
    </dataValidation>
    <dataValidation allowBlank="1" showInputMessage="1" showErrorMessage="1" error="Please enter a valid date in mm/dd/yyyy format." sqref="B8:D10" xr:uid="{2CC6ADAE-8E01-4B43-A82E-29DA7AC6DB39}"/>
    <dataValidation type="list" allowBlank="1" showInputMessage="1" showErrorMessage="1" sqref="D3" xr:uid="{CDDE7969-D1CA-446F-BFEB-C0621ACCEBDE}">
      <formula1>ElectricityDrp</formula1>
    </dataValidation>
    <dataValidation type="list" allowBlank="1" showInputMessage="1" showErrorMessage="1" error="Units cannot edit." sqref="D4" xr:uid="{C1EF7FF5-571C-4FC9-B460-A25D10E1A4CB}">
      <formula1>elecName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EB5-80F3-4CD8-8511-96B29B8E16A6}">
  <sheetPr codeName="Sheet24"/>
  <dimension ref="A1:I4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8" sqref="C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AnalyticWaterMeter</v>
      </c>
      <c r="C1" s="1"/>
      <c r="D1" s="155" t="str">
        <f ca="1">B1</f>
        <v>AnalyticWaterMeter</v>
      </c>
      <c r="E1" s="1"/>
    </row>
    <row r="2" spans="1:9" x14ac:dyDescent="0.25">
      <c r="A2" s="4" t="s">
        <v>590</v>
      </c>
      <c r="B2" s="196" t="s">
        <v>563</v>
      </c>
      <c r="C2" s="152"/>
      <c r="D2" s="148" t="s">
        <v>742</v>
      </c>
      <c r="E2" s="1"/>
    </row>
    <row r="3" spans="1:9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11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>
        <v>0</v>
      </c>
      <c r="B8" s="35">
        <v>43435</v>
      </c>
      <c r="C8" s="35">
        <v>43496</v>
      </c>
      <c r="D8" s="21">
        <v>5.46</v>
      </c>
      <c r="E8" s="1"/>
    </row>
    <row r="9" spans="1:9" x14ac:dyDescent="0.25">
      <c r="A9" s="4"/>
      <c r="B9" s="23"/>
      <c r="C9" s="23"/>
      <c r="D9" s="26"/>
      <c r="E9" s="1"/>
    </row>
    <row r="10" spans="1:9" ht="6" customHeight="1" x14ac:dyDescent="0.25">
      <c r="A10" s="4"/>
      <c r="B10" s="23"/>
      <c r="C10" s="23"/>
      <c r="D10" s="26"/>
      <c r="E10" s="1"/>
      <c r="I10" t="s">
        <v>674</v>
      </c>
    </row>
    <row r="11" spans="1:9" ht="25.5" customHeight="1" x14ac:dyDescent="0.25">
      <c r="A11" s="4" t="s">
        <v>545</v>
      </c>
      <c r="B11" s="24"/>
      <c r="C11" s="24"/>
      <c r="D11" s="24"/>
      <c r="E11" s="1"/>
      <c r="I11" t="s">
        <v>675</v>
      </c>
    </row>
    <row r="12" spans="1:9" x14ac:dyDescent="0.25">
      <c r="I12" t="s">
        <v>676</v>
      </c>
    </row>
    <row r="16" spans="1:9" x14ac:dyDescent="0.25">
      <c r="H16" t="s">
        <v>524</v>
      </c>
    </row>
    <row r="17" spans="8:8" x14ac:dyDescent="0.25">
      <c r="H17" t="s">
        <v>527</v>
      </c>
    </row>
    <row r="18" spans="8:8" x14ac:dyDescent="0.25">
      <c r="H18" t="s">
        <v>546</v>
      </c>
    </row>
    <row r="19" spans="8:8" x14ac:dyDescent="0.25">
      <c r="H19" t="s">
        <v>547</v>
      </c>
    </row>
    <row r="20" spans="8:8" x14ac:dyDescent="0.25">
      <c r="H20" t="s">
        <v>521</v>
      </c>
    </row>
    <row r="21" spans="8:8" x14ac:dyDescent="0.25">
      <c r="H21" t="s">
        <v>526</v>
      </c>
    </row>
    <row r="22" spans="8:8" x14ac:dyDescent="0.25">
      <c r="H22" t="s">
        <v>541</v>
      </c>
    </row>
    <row r="23" spans="8:8" x14ac:dyDescent="0.25">
      <c r="H23" t="s">
        <v>560</v>
      </c>
    </row>
    <row r="24" spans="8:8" x14ac:dyDescent="0.25">
      <c r="H24" t="s">
        <v>523</v>
      </c>
    </row>
    <row r="25" spans="8:8" x14ac:dyDescent="0.25">
      <c r="H25" s="2" t="s">
        <v>542</v>
      </c>
    </row>
    <row r="26" spans="8:8" x14ac:dyDescent="0.25">
      <c r="H26" s="2" t="s">
        <v>561</v>
      </c>
    </row>
    <row r="27" spans="8:8" x14ac:dyDescent="0.25">
      <c r="H27" s="2" t="s">
        <v>562</v>
      </c>
    </row>
    <row r="28" spans="8:8" x14ac:dyDescent="0.25">
      <c r="H28" t="s">
        <v>677</v>
      </c>
    </row>
    <row r="29" spans="8:8" x14ac:dyDescent="0.25">
      <c r="H29" t="s">
        <v>678</v>
      </c>
    </row>
    <row r="30" spans="8:8" x14ac:dyDescent="0.25">
      <c r="H30" t="s">
        <v>672</v>
      </c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</sheetData>
  <sheetProtection algorithmName="SHA-512" hashValue="A095sJn7hgWf6DV7RzpG12spvLkGWo8qvgQp23aReVMfBxDXFW6WWg8UT3Rhi9UITlA/tqE/CBYi8igRBOTdPg==" saltValue="2FSzLyry4LRsDCteqbc0Mw==" spinCount="100000" sheet="1" objects="1" scenarios="1"/>
  <dataValidations count="6">
    <dataValidation type="textLength" allowBlank="1" showInputMessage="1" showErrorMessage="1" errorTitle="Data Source" error="It can only accept 40 characters." sqref="D5" xr:uid="{8A7E23B1-D818-44A4-BB89-3629A86ABF90}">
      <formula1>0</formula1>
      <formula2>40</formula2>
    </dataValidation>
    <dataValidation type="decimal" allowBlank="1" showInputMessage="1" showErrorMessage="1" error="Please enter a valid reading." sqref="D7:D8" xr:uid="{E82F16CE-A00B-4CC4-8273-F2CA143BD65A}">
      <formula1>0</formula1>
      <formula2>9999999999</formula2>
    </dataValidation>
    <dataValidation type="date" allowBlank="1" showInputMessage="1" showErrorMessage="1" error="Please enter a valid date in mm/dd/yyyy format." sqref="B7:C8" xr:uid="{EC5A3D6B-3615-4FF8-9B61-B6AB8C37706F}">
      <formula1>1</formula1>
      <formula2>73415</formula2>
    </dataValidation>
    <dataValidation allowBlank="1" showInputMessage="1" showErrorMessage="1" error="Please enter a valid date in mm/dd/yyyy format." sqref="B9:D11" xr:uid="{47A9F792-F189-4261-8EDC-4E5B5DA8098A}"/>
    <dataValidation type="list" allowBlank="1" showInputMessage="1" showErrorMessage="1" sqref="D3" xr:uid="{D65E472C-6370-4870-841A-A24C26CEC405}">
      <formula1>WaterDrp</formula1>
    </dataValidation>
    <dataValidation type="list" allowBlank="1" showInputMessage="1" showErrorMessage="1" error="Units cannot edit." sqref="D4" xr:uid="{449A7A96-D823-4790-8FB5-DE84ACC0F8A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9</xdr:row>
                    <xdr:rowOff>0</xdr:rowOff>
                  </from>
                  <to>
                    <xdr:col>2</xdr:col>
                    <xdr:colOff>1295400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8</xdr:row>
                    <xdr:rowOff>180975</xdr:rowOff>
                  </from>
                  <to>
                    <xdr:col>3</xdr:col>
                    <xdr:colOff>1085850</xdr:colOff>
                    <xdr:row>10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zoomScaleNormal="100" workbookViewId="0">
      <selection activeCell="D11" sqref="D11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11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43383</v>
      </c>
      <c r="C7" s="52">
        <f t="shared" ref="C7" si="0">B7</f>
        <v>43383</v>
      </c>
      <c r="D7" s="53">
        <f>HLOOKUP(B7,ReadingTable,2,FALSE)</f>
        <v>50.11</v>
      </c>
      <c r="E7" s="68">
        <f>IF(E6="",7,E6+1)</f>
        <v>7</v>
      </c>
    </row>
    <row r="8" spans="1:6" x14ac:dyDescent="0.25">
      <c r="A8" s="37">
        <f t="shared" ref="A8" si="1">IFERROR(IF(D8="",1,0),1)</f>
        <v>0</v>
      </c>
      <c r="B8" s="52">
        <f>INDEX(Dates,1,E8)</f>
        <v>43415</v>
      </c>
      <c r="C8" s="52">
        <f t="shared" ref="C8" si="2">B8</f>
        <v>43415</v>
      </c>
      <c r="D8" s="53">
        <f>HLOOKUP(B8,ReadingTable,2,FALSE)</f>
        <v>100.11</v>
      </c>
      <c r="E8" s="68">
        <f t="shared" ref="E8" si="3">IF(E7="",7,E7+1)</f>
        <v>8</v>
      </c>
    </row>
    <row r="9" spans="1:6" x14ac:dyDescent="0.25">
      <c r="A9" s="4" t="s">
        <v>545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545</v>
      </c>
      <c r="B11" s="24"/>
      <c r="C11" s="24"/>
      <c r="D11" s="24"/>
      <c r="E11" s="1"/>
    </row>
  </sheetData>
  <sheetProtection algorithmName="SHA-512" hashValue="GCdtRP6x20gYp/AHSTNDvMAiC7QsDG6JUGDlep4I4iiBkvV7ymBd6GKCjPbv9zFqvhdrqGKhI9x06l3E+OOmsw==" saltValue="bJBWZBgZcUpUpwXWKHT3E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workbookViewId="0">
      <pane ySplit="2" topLeftCell="A3" activePane="bottomLeft" state="frozen"/>
      <selection activeCell="D7" sqref="D7"/>
      <selection pane="bottomLeft" activeCell="H6" sqref="H6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612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8" x14ac:dyDescent="0.25">
      <c r="B3" s="75" t="s">
        <v>743</v>
      </c>
      <c r="C3" s="76">
        <v>1</v>
      </c>
      <c r="D3" s="91">
        <v>43383</v>
      </c>
      <c r="E3" s="97">
        <v>0.375</v>
      </c>
      <c r="F3" s="92">
        <v>50.11</v>
      </c>
    </row>
    <row r="4" spans="1:8" x14ac:dyDescent="0.25">
      <c r="B4" s="75" t="s">
        <v>745</v>
      </c>
      <c r="C4" s="76">
        <v>2</v>
      </c>
      <c r="D4" s="91">
        <v>43415</v>
      </c>
      <c r="E4" s="97">
        <v>0.375</v>
      </c>
      <c r="F4" s="92">
        <v>100.11</v>
      </c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F6" s="60"/>
      <c r="G6" s="69">
        <f>IF(G8="",1,0)</f>
        <v>0</v>
      </c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2"/>
      <c r="G7" s="47" t="s">
        <v>576</v>
      </c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4"/>
      <c r="G8" s="145">
        <f t="array" ref="G8">IFERROR(INDEX($D$3:$D$5, MATCH(0,IF(ISBLANK($D$3:$D$5),1,COUNTIF($F$8:F8, $D$3:$D$5)), 0)),"")</f>
        <v>43383</v>
      </c>
      <c r="H8" s="145">
        <f t="array" ref="H8">IFERROR(INDEX($D$3:$D$5, MATCH(0,IF(ISBLANK($D$3:$D$5),1,COUNTIF($F$8:G8, $D$3:$D$5)), 0)),"")</f>
        <v>43415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6"/>
      <c r="G9" s="71" t="s">
        <v>582</v>
      </c>
      <c r="H9" s="71" t="s">
        <v>582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58"/>
      <c r="G10" s="93">
        <f t="array" ref="G10">IFERROR(PERCENTILE(IF($B$3:$B$5=$B10,IF($D$3:$D$5=G$8,IF($F$3:$F$5&lt;&gt;"",$F$3:$F$5))),0.95),"")</f>
        <v>50.11</v>
      </c>
      <c r="H10" s="93" t="str">
        <f t="array" ref="H10">IFERROR(PERCENTILE(IF($B$3:$B$5=$B10,IF($D$3:$D$5=H$8,IF($F$3:$F$5&lt;&gt;"",$F$3:$F$5))),0.95),"")</f>
        <v/>
      </c>
    </row>
    <row r="11" spans="1:8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Gurugram</v>
      </c>
      <c r="C11" s="49"/>
      <c r="D11" s="49"/>
      <c r="E11" s="49"/>
      <c r="F11" s="58"/>
      <c r="G11" s="93" t="str">
        <f t="array" ref="G11">IFERROR(PERCENTILE(IF($B$3:$B$5=$B11,IF($D$3:$D$5=G$8,IF($F$3:$F$5&lt;&gt;"",$F$3:$F$5))),0.95),"")</f>
        <v/>
      </c>
      <c r="H11" s="93">
        <f t="array" ref="H11">IFERROR(PERCENTILE(IF($B$3:$B$5=$B11,IF($D$3:$D$5=H$8,IF($F$3:$F$5&lt;&gt;"",$F$3:$F$5))),0.95),"")</f>
        <v>100.11</v>
      </c>
    </row>
    <row r="12" spans="1:8" ht="9" customHeight="1" x14ac:dyDescent="0.25">
      <c r="G12" s="94"/>
      <c r="H12" s="94"/>
    </row>
    <row r="13" spans="1:8" ht="9" customHeight="1" x14ac:dyDescent="0.25">
      <c r="A13" s="38" t="s">
        <v>545</v>
      </c>
      <c r="G13" s="94"/>
      <c r="H13" s="94"/>
    </row>
    <row r="14" spans="1:8" ht="15" hidden="1" customHeight="1" x14ac:dyDescent="0.25">
      <c r="G14" s="72">
        <f>G8</f>
        <v>43383</v>
      </c>
      <c r="H14" s="72">
        <f>H8</f>
        <v>43415</v>
      </c>
    </row>
    <row r="15" spans="1:8" ht="20.25" customHeight="1" x14ac:dyDescent="0.25">
      <c r="B15" s="55" t="s">
        <v>579</v>
      </c>
      <c r="C15" s="56"/>
      <c r="D15" s="56"/>
      <c r="E15" s="56"/>
      <c r="F15" s="57"/>
      <c r="G15" s="95">
        <f>IFERROR(AVERAGE(G10:G13),0)</f>
        <v>50.11</v>
      </c>
      <c r="H15" s="95">
        <f>IFERROR(AVERAGE(H10:H13),0)</f>
        <v>100.11</v>
      </c>
    </row>
    <row r="16" spans="1:8" ht="24.75" customHeight="1" x14ac:dyDescent="0.25"/>
    <row r="17" spans="1:5" ht="28.5" hidden="1" customHeight="1" x14ac:dyDescent="0.25">
      <c r="A17" s="38">
        <v>10</v>
      </c>
      <c r="B17" s="50" t="s">
        <v>580</v>
      </c>
      <c r="C17" s="50"/>
      <c r="D17" s="50"/>
      <c r="E17" s="67"/>
    </row>
    <row r="18" spans="1:5" ht="15" hidden="1" customHeight="1" x14ac:dyDescent="0.25">
      <c r="A18" s="37">
        <f>IFERROR(IF(D18="",1,0),1)</f>
        <v>0</v>
      </c>
      <c r="B18" s="52">
        <f>INDEX(Dates,1,E18)</f>
        <v>43383</v>
      </c>
      <c r="C18" s="52">
        <f t="shared" ref="C18" si="1">B18</f>
        <v>43383</v>
      </c>
      <c r="D18" s="53">
        <f>HLOOKUP(B18,ReadingTable,2,FALSE)</f>
        <v>50.11</v>
      </c>
      <c r="E18" s="68">
        <f>IF(E17="",7,E17+1)</f>
        <v>7</v>
      </c>
    </row>
    <row r="19" spans="1:5" hidden="1" x14ac:dyDescent="0.25"/>
    <row r="20" spans="1:5" hidden="1" x14ac:dyDescent="0.25">
      <c r="B20" s="51" t="s">
        <v>578</v>
      </c>
      <c r="C20" s="51"/>
    </row>
    <row r="21" spans="1:5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0" t="s">
        <v>584</v>
      </c>
    </row>
    <row r="24" spans="1:5" ht="15" hidden="1" x14ac:dyDescent="0.25">
      <c r="A24" s="4"/>
      <c r="B24" s="35"/>
      <c r="C24" s="35"/>
      <c r="D24" s="70"/>
      <c r="E24" s="1"/>
    </row>
  </sheetData>
  <sheetProtection algorithmName="SHA-512" hashValue="VAs8/EYuRuJIUUMjO6wVLVeinLNkrXOE7VxW8ZLYfewGT3uAyR6RF8KZFCPjE1ReSE3Zg74BPAWMXTs6pzwMyA==" saltValue="YFa7fcfjfvJ8ssvI5/otjg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4</xdr:row>
                    <xdr:rowOff>152400</xdr:rowOff>
                  </from>
                  <to>
                    <xdr:col>4</xdr:col>
                    <xdr:colOff>962025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1"/>
  <sheetViews>
    <sheetView zoomScaleNormal="100" workbookViewId="0">
      <selection activeCell="G14" sqref="G14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11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43415</v>
      </c>
      <c r="C7" s="52">
        <f t="shared" ref="C7" si="0">B7</f>
        <v>43415</v>
      </c>
      <c r="D7" s="53">
        <f t="array" ref="D7">HLOOKUP(B7,ReadingTableVOC,2,FALSE)</f>
        <v>100.11</v>
      </c>
      <c r="E7" s="68">
        <f>IF(E6="",8,E6+1)</f>
        <v>8</v>
      </c>
    </row>
    <row r="8" spans="1:5" ht="15" customHeight="1" x14ac:dyDescent="0.25">
      <c r="A8" s="37">
        <f t="shared" ref="A8" si="1">IFERROR(IF(D8="",1,0),1)</f>
        <v>0</v>
      </c>
      <c r="B8" s="52">
        <f>INDEX(DatesVOC,1,E8)</f>
        <v>43446</v>
      </c>
      <c r="C8" s="52">
        <f t="shared" ref="C8" si="2">B8</f>
        <v>43446</v>
      </c>
      <c r="D8" s="53">
        <f t="array" ref="D8">HLOOKUP(B8,ReadingTableVOC,2,FALSE)</f>
        <v>80.11</v>
      </c>
      <c r="E8" s="68">
        <f t="shared" ref="E8" si="3">IF(E7="",8,E7+1)</f>
        <v>9</v>
      </c>
    </row>
    <row r="9" spans="1:5" ht="15" customHeight="1" x14ac:dyDescent="0.25">
      <c r="A9" s="4" t="s">
        <v>545</v>
      </c>
      <c r="B9" s="34"/>
      <c r="C9" s="34"/>
      <c r="D9" s="34"/>
      <c r="E9" s="1"/>
    </row>
    <row r="10" spans="1:5" ht="15" hidden="1" customHeight="1" x14ac:dyDescent="0.25">
      <c r="A10" s="4"/>
      <c r="B10" s="34"/>
      <c r="C10" s="34"/>
      <c r="D10" s="34"/>
      <c r="E10" s="1"/>
    </row>
    <row r="11" spans="1:5" ht="33.6" customHeight="1" x14ac:dyDescent="0.25">
      <c r="A11" s="4" t="s">
        <v>545</v>
      </c>
      <c r="B11" s="34"/>
      <c r="C11" s="34"/>
      <c r="D11" s="34"/>
      <c r="E11" s="1"/>
    </row>
  </sheetData>
  <sheetProtection algorithmName="SHA-512" hashValue="WXQsG+5tN84R/TPsAEtVLSsxZn9k8DhARnDucD7EeAoT7yDtc9HKhyvLmjKRidwRcpcUCDkXCt8LwqavkUd2bA==" saltValue="e30vgqBpmq6t0rG7rzQrG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9:D11" xr:uid="{00000000-0002-0000-0700-000000000000}"/>
    <dataValidation type="decimal" allowBlank="1" showInputMessage="1" showErrorMessage="1" error="Please enter a valid reading." sqref="D7:D8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8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10</xdr:row>
                    <xdr:rowOff>28575</xdr:rowOff>
                  </from>
                  <to>
                    <xdr:col>2</xdr:col>
                    <xdr:colOff>466725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10</xdr:row>
                    <xdr:rowOff>352425</xdr:rowOff>
                  </from>
                  <to>
                    <xdr:col>3</xdr:col>
                    <xdr:colOff>990600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9" ht="36" customHeight="1" x14ac:dyDescent="0.25">
      <c r="A1" s="38" t="s">
        <v>590</v>
      </c>
      <c r="B1" s="40" t="s">
        <v>613</v>
      </c>
    </row>
    <row r="2" spans="1:9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9" x14ac:dyDescent="0.25">
      <c r="B3" s="75" t="s">
        <v>743</v>
      </c>
      <c r="C3" s="76">
        <v>1</v>
      </c>
      <c r="D3" s="91">
        <v>43415</v>
      </c>
      <c r="E3" s="97">
        <v>0.375</v>
      </c>
      <c r="F3" s="98">
        <v>0.5</v>
      </c>
      <c r="G3" s="92">
        <v>100.11</v>
      </c>
    </row>
    <row r="4" spans="1:9" x14ac:dyDescent="0.25">
      <c r="B4" s="75" t="s">
        <v>744</v>
      </c>
      <c r="C4" s="76">
        <v>2</v>
      </c>
      <c r="D4" s="91">
        <v>43446</v>
      </c>
      <c r="E4" s="97">
        <v>0.41666666666666669</v>
      </c>
      <c r="F4" s="98">
        <v>0.5</v>
      </c>
      <c r="G4" s="92">
        <v>80.11</v>
      </c>
      <c r="H4" s="46"/>
    </row>
    <row r="5" spans="1:9" ht="39" customHeight="1" x14ac:dyDescent="0.25"/>
    <row r="6" spans="1:9" s="59" customFormat="1" ht="51" customHeight="1" x14ac:dyDescent="0.2">
      <c r="A6" s="38" t="s">
        <v>581</v>
      </c>
      <c r="B6" s="40"/>
      <c r="G6" s="60"/>
      <c r="H6" s="69">
        <f>IF(H8="",1,0)</f>
        <v>0</v>
      </c>
      <c r="I6" s="69">
        <f>IF(I8="",1,0)</f>
        <v>0</v>
      </c>
    </row>
    <row r="7" spans="1:9" ht="21" customHeight="1" x14ac:dyDescent="0.25">
      <c r="A7" s="38" t="s">
        <v>590</v>
      </c>
      <c r="B7" s="220"/>
      <c r="C7" s="61"/>
      <c r="D7" s="61"/>
      <c r="E7" s="61"/>
      <c r="F7" s="61"/>
      <c r="G7" s="62"/>
      <c r="H7" s="47" t="s">
        <v>576</v>
      </c>
      <c r="I7" s="47" t="s">
        <v>576</v>
      </c>
    </row>
    <row r="8" spans="1:9" ht="15" customHeight="1" x14ac:dyDescent="0.25">
      <c r="A8" s="38" t="s">
        <v>590</v>
      </c>
      <c r="B8" s="221"/>
      <c r="C8" s="63"/>
      <c r="D8" s="63"/>
      <c r="E8" s="63"/>
      <c r="F8" s="63"/>
      <c r="G8" s="64"/>
      <c r="H8" s="145">
        <f t="array" ref="H8">IFERROR(INDEX($D$3:$D$5, MATCH(0,IF(ISBLANK($D$3:$D$5),1,COUNTIF($G$8:G8, $D$3:$D$5)), 0)),"")</f>
        <v>43415</v>
      </c>
      <c r="I8" s="145">
        <f t="array" ref="I8">IFERROR(INDEX($D$3:$D$5, MATCH(0,IF(ISBLANK($D$3:$D$5),1,COUNTIF($G$8:H8, $D$3:$D$5)), 0)),"")</f>
        <v>43446</v>
      </c>
    </row>
    <row r="9" spans="1:9" ht="27.75" customHeight="1" x14ac:dyDescent="0.25">
      <c r="A9" s="38" t="s">
        <v>590</v>
      </c>
      <c r="B9" s="222"/>
      <c r="C9" s="65"/>
      <c r="D9" s="65"/>
      <c r="E9" s="65"/>
      <c r="F9" s="65"/>
      <c r="G9" s="66"/>
      <c r="H9" s="74" t="s">
        <v>587</v>
      </c>
      <c r="I9" s="74" t="s">
        <v>587</v>
      </c>
    </row>
    <row r="10" spans="1:9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49"/>
      <c r="G10" s="58"/>
      <c r="H10" s="93">
        <f t="array" ref="H10">IFERROR(AVERAGE(IF($B$3:$B$5=$B10,IF($D$3:$D$5=H$8,IF($G$3:$G$5&lt;&gt;"",$G$3:$G$5)))),"")</f>
        <v>100.11</v>
      </c>
      <c r="I10" s="93" t="str">
        <f t="array" ref="I10">IFERROR(AVERAGE(IF($B$3:$B$5=$B10,IF($D$3:$D$5=I$8,IF($G$3:$G$5&lt;&gt;"",$G$3:$G$5)))),"")</f>
        <v/>
      </c>
    </row>
    <row r="11" spans="1:9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Noida</v>
      </c>
      <c r="C11" s="49"/>
      <c r="D11" s="49"/>
      <c r="E11" s="49"/>
      <c r="F11" s="49"/>
      <c r="G11" s="58"/>
      <c r="H11" s="93" t="str">
        <f t="array" ref="H11">IFERROR(AVERAGE(IF($B$3:$B$5=$B11,IF($D$3:$D$5=H$8,IF($G$3:$G$5&lt;&gt;"",$G$3:$G$5)))),"")</f>
        <v/>
      </c>
      <c r="I11" s="93">
        <f t="array" ref="I11">IFERROR(AVERAGE(IF($B$3:$B$5=$B11,IF($D$3:$D$5=I$8,IF($G$3:$G$5&lt;&gt;"",$G$3:$G$5)))),"")</f>
        <v>80.11</v>
      </c>
    </row>
    <row r="12" spans="1:9" ht="9" customHeight="1" x14ac:dyDescent="0.25">
      <c r="H12" s="94"/>
      <c r="I12" s="94"/>
    </row>
    <row r="13" spans="1:9" ht="9" customHeight="1" x14ac:dyDescent="0.25">
      <c r="A13" s="38" t="s">
        <v>545</v>
      </c>
      <c r="H13" s="94"/>
      <c r="I13" s="94"/>
    </row>
    <row r="14" spans="1:9" ht="15" hidden="1" customHeight="1" x14ac:dyDescent="0.25">
      <c r="H14" s="96">
        <f>H8</f>
        <v>43415</v>
      </c>
      <c r="I14" s="96">
        <f>I8</f>
        <v>43446</v>
      </c>
    </row>
    <row r="15" spans="1:9" ht="20.25" customHeight="1" x14ac:dyDescent="0.25">
      <c r="B15" s="55" t="s">
        <v>588</v>
      </c>
      <c r="C15" s="56"/>
      <c r="D15" s="56"/>
      <c r="E15" s="56"/>
      <c r="F15" s="56"/>
      <c r="G15" s="57"/>
      <c r="H15" s="95">
        <f>IFERROR(MAX(H10:H13),0)</f>
        <v>100.11</v>
      </c>
      <c r="I15" s="95">
        <f>IFERROR(MAX(I10:I13),0)</f>
        <v>80.11</v>
      </c>
    </row>
    <row r="16" spans="1:9" ht="24.75" customHeight="1" x14ac:dyDescent="0.25"/>
    <row r="17" spans="1:6" ht="28.5" hidden="1" customHeight="1" x14ac:dyDescent="0.25">
      <c r="A17" s="38">
        <v>10</v>
      </c>
      <c r="B17" s="50" t="s">
        <v>580</v>
      </c>
      <c r="C17" s="50"/>
      <c r="D17" s="50"/>
      <c r="E17" s="67"/>
      <c r="F17" s="67"/>
    </row>
    <row r="18" spans="1:6" ht="15" hidden="1" customHeight="1" x14ac:dyDescent="0.25">
      <c r="A18" s="37">
        <f>IFERROR(IF(D18="",1,0),1)</f>
        <v>0</v>
      </c>
      <c r="B18" s="52">
        <f>INDEX(DatesVOC,1,E18)</f>
        <v>43415</v>
      </c>
      <c r="C18" s="52">
        <f t="shared" ref="C18" si="1">B18</f>
        <v>43415</v>
      </c>
      <c r="D18" s="53">
        <f t="array" ref="D18">HLOOKUP(B18,ReadingTableVOC,2,FALSE)</f>
        <v>100.11</v>
      </c>
      <c r="E18" s="68">
        <f>IF(E17="",8,E17+1)</f>
        <v>8</v>
      </c>
      <c r="F18" s="68"/>
    </row>
    <row r="19" spans="1:6" hidden="1" x14ac:dyDescent="0.25"/>
    <row r="20" spans="1:6" hidden="1" x14ac:dyDescent="0.25">
      <c r="B20" s="51" t="s">
        <v>578</v>
      </c>
      <c r="C20" s="51"/>
    </row>
    <row r="21" spans="1:6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6" hidden="1" x14ac:dyDescent="0.25"/>
  </sheetData>
  <sheetProtection algorithmName="SHA-512" hashValue="zG+wxnbFNbQXgYCUHe3Bmu5kqOx3S1J/T1FoQLnHVOeTtdfVsU1g3fsNHMGUp+kqlpeKXiKIEaHHv6/zjU65zw==" saltValue="jlAy7vA2veFTULZ1aps7fA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4</xdr:row>
                    <xdr:rowOff>133350</xdr:rowOff>
                  </from>
                  <to>
                    <xdr:col>4</xdr:col>
                    <xdr:colOff>885825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9" sqref="D19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590</v>
      </c>
      <c r="B1" s="1"/>
      <c r="C1" s="1"/>
      <c r="D1" s="1"/>
      <c r="E1" s="1"/>
      <c r="F1" s="1"/>
    </row>
    <row r="2" spans="1:9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9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9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9" x14ac:dyDescent="0.25">
      <c r="A5" s="4" t="s">
        <v>590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5">
        <v>43435</v>
      </c>
      <c r="C7" s="35">
        <v>43496</v>
      </c>
      <c r="D7" s="21">
        <v>111</v>
      </c>
      <c r="E7" s="21">
        <v>99</v>
      </c>
      <c r="F7" s="1"/>
    </row>
    <row r="8" spans="1:9" x14ac:dyDescent="0.25">
      <c r="A8" s="4"/>
      <c r="B8" s="23"/>
      <c r="C8" s="23"/>
      <c r="D8" s="26"/>
      <c r="E8" s="27"/>
      <c r="F8" s="1"/>
    </row>
    <row r="9" spans="1:9" hidden="1" x14ac:dyDescent="0.25">
      <c r="A9" s="5">
        <v>0</v>
      </c>
      <c r="B9" s="25"/>
      <c r="C9" s="25"/>
      <c r="D9" s="28"/>
      <c r="E9" s="29"/>
      <c r="F9" s="1"/>
    </row>
    <row r="10" spans="1:9" ht="25.5" customHeight="1" x14ac:dyDescent="0.25">
      <c r="A10" s="4" t="s">
        <v>545</v>
      </c>
      <c r="B10" s="24"/>
      <c r="C10" s="24"/>
      <c r="D10" s="24"/>
      <c r="E10" s="30"/>
      <c r="F10" s="1"/>
    </row>
    <row r="12" spans="1:9" x14ac:dyDescent="0.25">
      <c r="I12" s="2" t="s">
        <v>559</v>
      </c>
    </row>
    <row r="13" spans="1:9" x14ac:dyDescent="0.25">
      <c r="I13" s="2" t="s">
        <v>554</v>
      </c>
    </row>
    <row r="14" spans="1:9" x14ac:dyDescent="0.25">
      <c r="I14" s="2" t="s">
        <v>539</v>
      </c>
    </row>
  </sheetData>
  <sheetProtection algorithmName="SHA-512" hashValue="ihIXyB+LuofHYQTFJC0Z0Sdn7xnVLoNpcJ/KldWVfcDD9xVA5zxilSKBpaYMe/zeKa4Ooa5QO44Ql9Dt/Uvswg==" saltValue="aUHn4b9IorVLjJEkk3HZu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9</xdr:row>
                    <xdr:rowOff>9525</xdr:rowOff>
                  </from>
                  <to>
                    <xdr:col>3</xdr:col>
                    <xdr:colOff>1200150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2D53-D65B-46A4-89AD-1D182628B547}">
  <sheetPr codeName="Sheet25"/>
  <dimension ref="A1:K21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C17" sqref="C1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Solar</v>
      </c>
      <c r="C1" s="1"/>
      <c r="D1" s="4" t="str">
        <f ca="1">B1</f>
        <v>Solar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746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681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+IyJCqLf1FL4cO43pigTMOmhfPNxjbP5XHbgwQYC+p2NYvL5lU+DpDi2kVp9lr44YCatIPnlr3h2yqH50J2wbw==" saltValue="N6t7/xuZ+BSKlhdtlA8zsw==" spinCount="100000" sheet="1" objects="1" scenarios="1"/>
  <dataValidations count="6">
    <dataValidation type="textLength" allowBlank="1" showInputMessage="1" showErrorMessage="1" errorTitle="Data Source" error="It can only accept 40 characters." sqref="D5" xr:uid="{8542D54F-6D9F-4D98-9EDF-793DC0FED63D}">
      <formula1>0</formula1>
      <formula2>40</formula2>
    </dataValidation>
    <dataValidation type="decimal" allowBlank="1" showInputMessage="1" showErrorMessage="1" error="Please enter a valid reading." sqref="D7" xr:uid="{F28A5FF0-F30C-4849-828A-30718A287FFD}">
      <formula1>0</formula1>
      <formula2>9999999999</formula2>
    </dataValidation>
    <dataValidation type="date" allowBlank="1" showInputMessage="1" showErrorMessage="1" error="Please enter a valid date in mm/dd/yyyy format." sqref="B7:C7" xr:uid="{D07C9FE9-4F91-41E3-80D8-4E152867B00E}">
      <formula1>1</formula1>
      <formula2>73415</formula2>
    </dataValidation>
    <dataValidation allowBlank="1" showInputMessage="1" showErrorMessage="1" error="Please enter a valid date in mm/dd/yyyy format." sqref="B8:D10" xr:uid="{D180334B-8EA2-457E-A8B8-8AFDDF7FD164}"/>
    <dataValidation type="list" allowBlank="1" showInputMessage="1" showErrorMessage="1" sqref="D3" xr:uid="{C1BA2A03-78FF-4D8C-838E-2F8DCA85F1CB}">
      <formula1>ElectricityDrp</formula1>
    </dataValidation>
    <dataValidation type="list" allowBlank="1" showInputMessage="1" showErrorMessage="1" error="Units cannot edit." sqref="D4" xr:uid="{48CCCFB9-0932-4A3A-99E5-8808FE5EBE8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6" sqref="D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5" sqref="D15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0" sqref="D2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6" sqref="D1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1" sqref="D1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/>
      <c r="C7" s="35"/>
      <c r="D7" s="22"/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360</vt:i4>
      </vt:variant>
    </vt:vector>
  </HeadingPairs>
  <TitlesOfParts>
    <vt:vector size="385" baseType="lpstr">
      <vt:lpstr>Instructions</vt:lpstr>
      <vt:lpstr>Building Settings</vt:lpstr>
      <vt:lpstr>base_w</vt:lpstr>
      <vt:lpstr>base_e</vt:lpstr>
      <vt:lpstr>AnalyticsEnergyMeter</vt:lpstr>
      <vt:lpstr>AnalyticWaterMeter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Solar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AnalyticsEnergyMeter!elecName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Solar!elecName</vt:lpstr>
      <vt:lpstr>Styrene!elecName</vt:lpstr>
      <vt:lpstr>Toluene!elecName</vt:lpstr>
      <vt:lpstr>'Xylenes-total'!elecName</vt:lpstr>
      <vt:lpstr>elecName</vt:lpstr>
      <vt:lpstr>Acetaldehyde!ElectricityDrp</vt:lpstr>
      <vt:lpstr>AnalyticsEnergyMeter!ElectricityDrp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Solar!ElectricityDrp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AnalyticWaterMeter!water_meter_type</vt:lpstr>
      <vt:lpstr>water_meter_type</vt:lpstr>
      <vt:lpstr>AnalyticWaterMeter!water_type</vt:lpstr>
      <vt:lpstr>water_type</vt:lpstr>
      <vt:lpstr>AnalyticWaterMeter!water_units</vt:lpstr>
      <vt:lpstr>water_units</vt:lpstr>
      <vt:lpstr>Acetaldehyde!WaterDrp</vt:lpstr>
      <vt:lpstr>AnalyticWaterMeter!WaterDrp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AnalyticWaterMeter!waterType</vt:lpstr>
      <vt:lpstr>waterType</vt:lpstr>
      <vt:lpstr>AnalyticWaterMeter!waterUnits</vt:lpstr>
      <vt:lpstr>waterUnits</vt:lpstr>
      <vt:lpstr>AnalyticWaterMeter!watUn</vt:lpstr>
      <vt:lpstr>watUn</vt:lpstr>
      <vt:lpstr>Acetaldehyde!watUni</vt:lpstr>
      <vt:lpstr>AnalyticWaterMeter!watUni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AnalyticWaterMeter!zep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cp:lastPrinted>2017-09-22T06:24:12Z</cp:lastPrinted>
  <dcterms:created xsi:type="dcterms:W3CDTF">2014-11-12T06:32:08Z</dcterms:created>
  <dcterms:modified xsi:type="dcterms:W3CDTF">2019-07-09T10:08:38Z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