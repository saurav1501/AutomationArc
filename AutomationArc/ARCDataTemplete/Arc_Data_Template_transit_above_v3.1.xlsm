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0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10E4F0DD-875D-42FE-923A-B3D417CC98FC}" xr6:coauthVersionLast="36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AQI" sheetId="23" r:id="rId5"/>
    <sheet name="Ridership" sheetId="24" r:id="rId6"/>
    <sheet name="PM2.5" sheetId="17" r:id="rId7"/>
    <sheet name="PM10" sheetId="18" r:id="rId8"/>
    <sheet name="NO2" sheetId="19" r:id="rId9"/>
    <sheet name="SO2" sheetId="20" r:id="rId10"/>
    <sheet name="O3" sheetId="21" r:id="rId11"/>
    <sheet name="CO" sheetId="22" r:id="rId12"/>
    <sheet name="Waste Stream" sheetId="11" r:id="rId13"/>
    <sheet name="Energy Meter via upload" sheetId="26" r:id="rId14"/>
    <sheet name="Water meter via upload" sheetId="27" r:id="rId15"/>
    <sheet name="base_summary" sheetId="3" state="hidden" r:id="rId16"/>
  </sheets>
  <definedNames>
    <definedName name="columnDelete" localSheetId="13">#REF!</definedName>
    <definedName name="columnDelete" localSheetId="14">#REF!</definedName>
    <definedName name="columnDelete">#REF!</definedName>
    <definedName name="columnDeleteVOC" localSheetId="13">#REF!</definedName>
    <definedName name="columnDeleteVOC" localSheetId="14">#REF!</definedName>
    <definedName name="columnDeleteVOC">#REF!</definedName>
    <definedName name="Countries">Setup!$L$29:$M$272</definedName>
    <definedName name="CountriesDetails">Setup!$L$29:$L$272</definedName>
    <definedName name="countryName">Setup!$L$28:$L$272</definedName>
    <definedName name="DataCopy" localSheetId="13">#REF!</definedName>
    <definedName name="DataCopy" localSheetId="14">#REF!</definedName>
    <definedName name="DataCopy">#REF!</definedName>
    <definedName name="DataCopyVOC" localSheetId="13">#REF!</definedName>
    <definedName name="DataCopyVOC" localSheetId="14">#REF!</definedName>
    <definedName name="DataCopyVOC">#REF!</definedName>
    <definedName name="Dates" localSheetId="13">#REF!</definedName>
    <definedName name="Dates" localSheetId="14">#REF!</definedName>
    <definedName name="Dates">#REF!</definedName>
    <definedName name="DatesVOC" localSheetId="13">#REF!</definedName>
    <definedName name="DatesVOC" localSheetId="14">#REF!</definedName>
    <definedName name="DatesVOC">#REF!</definedName>
    <definedName name="DelRwNmEnd" localSheetId="13">#REF!</definedName>
    <definedName name="DelRwNmEnd" localSheetId="14">#REF!</definedName>
    <definedName name="DelRwNmEnd">#REF!</definedName>
    <definedName name="DelRwNmEndVOC" localSheetId="13">#REF!</definedName>
    <definedName name="DelRwNmEndVOC" localSheetId="14">#REF!</definedName>
    <definedName name="DelRwNmEndVOC">#REF!</definedName>
    <definedName name="DelRwNmStart" localSheetId="13">#REF!</definedName>
    <definedName name="DelRwNmStart" localSheetId="14">#REF!</definedName>
    <definedName name="DelRwNmStart">#REF!</definedName>
    <definedName name="DelRwNmStartVOC" localSheetId="13">#REF!</definedName>
    <definedName name="DelRwNmStartVOC" localSheetId="14">#REF!</definedName>
    <definedName name="DelRwNmStartVOC">#REF!</definedName>
    <definedName name="elecName" localSheetId="13">'Energy Meter via upload'!$G$39:$G$43</definedName>
    <definedName name="elecName">base_e!$G$15:$G$19</definedName>
    <definedName name="ElectricityDrp" localSheetId="13">'Energy Meter via upload'!$J$33:$J$34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3">base_f!#REF!</definedName>
    <definedName name="fuelname" localSheetId="14">base_f!#REF!</definedName>
    <definedName name="fuelname">base_f!#REF!</definedName>
    <definedName name="kerosene">base_f!$K$16:$K$23</definedName>
    <definedName name="liquid">base_f!$J$16:$J$25</definedName>
    <definedName name="Meter">Setup!$M$25:$M$26</definedName>
    <definedName name="meterName">Setup!$O$29:$O$34</definedName>
    <definedName name="meterstypes" localSheetId="13">#REF!</definedName>
    <definedName name="meterstypes" localSheetId="14">#REF!</definedName>
    <definedName name="meterstypes">#REF!</definedName>
    <definedName name="meterstypesAI" localSheetId="13">#REF!</definedName>
    <definedName name="meterstypesAI" localSheetId="14">#REF!</definedName>
    <definedName name="meterstypesAI">#REF!</definedName>
    <definedName name="MeterTypes">Setup!$L$275:$L$301</definedName>
    <definedName name="myCategoryH">base_f!$G$19:$G$36</definedName>
    <definedName name="myitem" localSheetId="13">OFFSET(myItemList,0,0,COUNTA(myItemList),1)</definedName>
    <definedName name="myitem" localSheetId="14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base_f!$H$19:$V$36</definedName>
    <definedName name="newMet">Setup!$Q$29:$Q$31</definedName>
    <definedName name="newWaUnit">'Waste Stream'!$I$36:$I$38</definedName>
    <definedName name="Other_Fuels_Drp">base_f!$V$10</definedName>
    <definedName name="Period__Start_Date" localSheetId="14">COUNTIF('Water meter via upload'!$B:$B,'Water meter via upload'!A1)=1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 localSheetId="13">#REF!</definedName>
    <definedName name="RangeCount" localSheetId="14">#REF!</definedName>
    <definedName name="RangeCount">#REF!</definedName>
    <definedName name="RangeCountVOC" localSheetId="13">#REF!</definedName>
    <definedName name="RangeCountVOC" localSheetId="14">#REF!</definedName>
    <definedName name="RangeCountVOC">#REF!</definedName>
    <definedName name="ReadingTable" localSheetId="13">#REF!</definedName>
    <definedName name="ReadingTable" localSheetId="14">#REF!</definedName>
    <definedName name="ReadingTable">#REF!</definedName>
    <definedName name="ReadingTableVOC" localSheetId="13">#REF!</definedName>
    <definedName name="ReadingTableVOC" localSheetId="14">#REF!</definedName>
    <definedName name="ReadingTableVOC">#REF!</definedName>
    <definedName name="Sheets">TRANSPOSE(GET.WORKBOOK(1))&amp;T(NOW())</definedName>
    <definedName name="spacetype">Setup!$S$30:$S$85</definedName>
    <definedName name="sumAnchor" localSheetId="13">#REF!</definedName>
    <definedName name="sumAnchor" localSheetId="14">#REF!</definedName>
    <definedName name="sumAnchor">#REF!</definedName>
    <definedName name="sumAnchorVOC" localSheetId="13">#REF!</definedName>
    <definedName name="sumAnchorVOC" localSheetId="14">#REF!</definedName>
    <definedName name="sumAnchorVOC">#REF!</definedName>
    <definedName name="sumDate" localSheetId="13">#REF!</definedName>
    <definedName name="sumDate" localSheetId="14">#REF!</definedName>
    <definedName name="sumDate">#REF!</definedName>
    <definedName name="sumDateVOC" localSheetId="13">#REF!</definedName>
    <definedName name="sumDateVOC" localSheetId="14">#REF!</definedName>
    <definedName name="sumDateVOC">#REF!</definedName>
    <definedName name="UniqueDate" localSheetId="13">#REF!</definedName>
    <definedName name="UniqueDate" localSheetId="14">#REF!</definedName>
    <definedName name="UniqueDate">#REF!</definedName>
    <definedName name="UniqueDateVOC" localSheetId="13">#REF!</definedName>
    <definedName name="UniqueDateVOC" localSheetId="14">#REF!</definedName>
    <definedName name="UniqueDateVOC">#REF!</definedName>
    <definedName name="UniqueLoc" localSheetId="13">#REF!</definedName>
    <definedName name="UniqueLoc" localSheetId="14">#REF!</definedName>
    <definedName name="UniqueLoc">#REF!</definedName>
    <definedName name="UniqueLocVOC" localSheetId="13">#REF!</definedName>
    <definedName name="UniqueLocVOC" localSheetId="14">#REF!</definedName>
    <definedName name="UniqueLocVOC">#REF!</definedName>
    <definedName name="Units">Setup!$M$5:$M$6</definedName>
    <definedName name="UserFormat" localSheetId="13">#REF!</definedName>
    <definedName name="UserFormat" localSheetId="14">#REF!</definedName>
    <definedName name="UserFormat">#REF!</definedName>
    <definedName name="validUnits">Setup!$L$304:$L$322</definedName>
    <definedName name="water_meter_type" localSheetId="14">'Water meter via upload'!$H$51:$I$63</definedName>
    <definedName name="water_meter_type">base_w!$H$27:$I$39</definedName>
    <definedName name="water_type" localSheetId="14">'Water meter via upload'!$H$51:$I$63</definedName>
    <definedName name="water_type">base_w!$H$27:$I$39</definedName>
    <definedName name="water_units" localSheetId="14">'Water meter via upload'!$H$39:$H$47</definedName>
    <definedName name="water_units">base_w!$H$15:$H$23</definedName>
    <definedName name="WaterDrp" localSheetId="14">'Water meter via upload'!$I$33:$I$35</definedName>
    <definedName name="WaterDrp">base_w!$I$9:$I$11</definedName>
    <definedName name="waterType" localSheetId="14">'Water meter via upload'!$H$51:$H$63</definedName>
    <definedName name="waterType">base_w!$H$27:$H$39</definedName>
    <definedName name="waterUnits" localSheetId="14">'Water meter via upload'!$J$34:$J$38</definedName>
    <definedName name="waterUnits">base_w!$J$10:$J$14</definedName>
    <definedName name="watUn" localSheetId="14">'Water meter via upload'!$H$39:$H$47</definedName>
    <definedName name="watUn">base_w!$H$15:$H$23</definedName>
    <definedName name="watUni" localSheetId="14">'Water meter via upload'!$H$39:$H$53</definedName>
    <definedName name="watUni">base_w!$H$15:$H$29</definedName>
    <definedName name="waUn">'Waste Stream'!$I$36:$I$42</definedName>
    <definedName name="waunit">'Waste Stream'!$J$33:$J$35</definedName>
    <definedName name="Wood">base_f!$H$16:$H$27</definedName>
    <definedName name="woods">base_f!$H$16:$H$22</definedName>
    <definedName name="woodunit">base_f!$H$16:$H$22</definedName>
    <definedName name="zep" localSheetId="14">'Water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27" l="1"/>
  <c r="B1" i="27"/>
  <c r="D1" i="27" s="1"/>
  <c r="D6" i="26"/>
  <c r="B1" i="26"/>
  <c r="D1" i="26" s="1"/>
  <c r="U17" i="1" l="1"/>
  <c r="N16" i="1" l="1"/>
  <c r="L20" i="1" l="1"/>
  <c r="L18" i="1"/>
  <c r="L17" i="1"/>
  <c r="F21" i="1" s="1"/>
  <c r="D6" i="22" l="1"/>
  <c r="D6" i="21"/>
  <c r="D6" i="20"/>
  <c r="D6" i="19"/>
  <c r="D6" i="18"/>
  <c r="D6" i="17"/>
  <c r="D6" i="24"/>
  <c r="C16" i="1" l="1"/>
  <c r="B1" i="6"/>
  <c r="D1" i="6" s="1"/>
  <c r="B1" i="8"/>
  <c r="B1" i="4"/>
  <c r="D6" i="8"/>
  <c r="D6" i="6"/>
  <c r="D6" i="4"/>
  <c r="E6" i="11"/>
  <c r="D6" i="11"/>
  <c r="D1" i="8" l="1"/>
  <c r="D1" i="4"/>
</calcChain>
</file>

<file path=xl/sharedStrings.xml><?xml version="1.0" encoding="utf-8"?>
<sst xmlns="http://schemas.openxmlformats.org/spreadsheetml/2006/main" count="1057" uniqueCount="680">
  <si>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</si>
  <si>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</si>
  <si>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</si>
  <si>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</si>
  <si>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</si>
  <si>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</si>
  <si>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</si>
  <si>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</si>
  <si>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</si>
  <si>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</si>
  <si>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</si>
  <si>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</si>
  <si>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</si>
  <si>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</si>
  <si>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</si>
  <si>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</si>
  <si>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</si>
  <si>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</si>
  <si>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</si>
  <si>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</si>
  <si>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</si>
  <si>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</si>
  <si>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</si>
  <si>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</si>
  <si>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</si>
  <si>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</si>
  <si>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</si>
  <si>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</si>
  <si>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</si>
  <si>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</si>
  <si>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</si>
  <si>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</si>
  <si>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</si>
  <si>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</si>
  <si>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</si>
  <si>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</si>
  <si>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</si>
  <si>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</si>
  <si>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</si>
  <si>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</si>
  <si>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</si>
  <si>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</si>
  <si>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</si>
  <si>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</si>
  <si>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</si>
  <si>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</si>
  <si>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</si>
  <si>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</si>
  <si>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</si>
  <si>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</si>
  <si>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</si>
  <si>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</si>
  <si>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</si>
  <si>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</si>
  <si>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</si>
  <si>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</si>
  <si>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</si>
  <si>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</si>
  <si>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</si>
  <si>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</si>
  <si>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</si>
  <si>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</si>
  <si>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</si>
  <si>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</si>
  <si>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</si>
  <si>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</si>
  <si>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</si>
  <si>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</si>
  <si>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</si>
  <si>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</si>
  <si>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</si>
  <si>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</si>
  <si>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</si>
  <si>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</si>
  <si>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</si>
  <si>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</si>
  <si>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</si>
  <si>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</si>
  <si>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</si>
  <si>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</si>
  <si>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</si>
  <si>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</si>
  <si>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</si>
  <si>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</si>
  <si>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</si>
  <si>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</si>
  <si>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</si>
  <si>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</si>
  <si>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</si>
  <si>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</si>
  <si>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</si>
  <si>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</si>
  <si>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</si>
  <si>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</si>
  <si>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</si>
  <si>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</si>
  <si>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</si>
  <si>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</si>
  <si>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</si>
  <si>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</si>
  <si>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</si>
  <si>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</si>
  <si>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</si>
  <si>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</si>
  <si>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</si>
  <si>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</si>
  <si>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</si>
  <si>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</si>
  <si>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</si>
  <si>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</si>
  <si>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</si>
  <si>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</si>
  <si>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</si>
  <si>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</si>
  <si>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</si>
  <si>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</si>
  <si>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</si>
  <si>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</si>
  <si>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</si>
  <si>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</si>
  <si>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</si>
  <si>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</si>
  <si>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</si>
  <si>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</si>
  <si>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</si>
  <si>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</si>
  <si>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</si>
  <si>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</si>
  <si>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</si>
  <si>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</si>
  <si>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</si>
  <si>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</si>
  <si>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</si>
  <si>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</si>
  <si>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</si>
  <si>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</si>
  <si>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</si>
  <si>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</si>
  <si>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</si>
  <si>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</si>
  <si>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</si>
  <si>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</si>
  <si>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</si>
  <si>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</si>
  <si>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</si>
  <si>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</si>
  <si>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</si>
  <si>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</si>
  <si>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</si>
  <si>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</si>
  <si>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</si>
  <si>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</si>
  <si>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</si>
  <si>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</si>
  <si>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</si>
  <si>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</si>
  <si>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</si>
  <si>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</si>
  <si>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</si>
  <si>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</si>
  <si>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</si>
  <si>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</si>
  <si>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</si>
  <si>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</si>
  <si>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</si>
  <si>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</si>
  <si>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</si>
  <si>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</si>
  <si>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</si>
  <si>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</si>
  <si>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</si>
  <si>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</si>
  <si>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</si>
  <si>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</si>
  <si>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</si>
  <si>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</si>
  <si>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</si>
  <si>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</si>
  <si>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</si>
  <si>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</si>
  <si>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</si>
  <si>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</si>
  <si>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</si>
  <si>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</si>
  <si>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</si>
  <si>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</si>
  <si>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</si>
  <si>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</si>
  <si>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</si>
  <si>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</si>
  <si>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</si>
  <si>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</si>
  <si>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</si>
  <si>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</si>
  <si>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</si>
  <si>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</si>
  <si>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</si>
  <si>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</si>
  <si>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</si>
  <si>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</si>
  <si>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</si>
  <si>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</si>
  <si>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</si>
  <si>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</si>
  <si>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</si>
  <si>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</si>
  <si>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</si>
  <si>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</si>
  <si>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</si>
  <si>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</si>
  <si>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</si>
  <si>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</si>
  <si>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</si>
  <si>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</si>
  <si>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</si>
  <si>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</si>
  <si>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</si>
  <si>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</si>
  <si>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</si>
  <si>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</si>
  <si>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</si>
  <si>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</si>
  <si>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</si>
  <si>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</si>
  <si>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</si>
  <si>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</si>
  <si>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</si>
  <si>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</si>
  <si>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</si>
  <si>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</si>
  <si>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</si>
  <si>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</si>
  <si>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</si>
  <si>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</si>
  <si>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</si>
  <si>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</si>
  <si>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</si>
  <si>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</si>
  <si>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</si>
  <si>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</si>
  <si>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</si>
  <si>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</si>
  <si>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</si>
  <si>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</si>
  <si>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</si>
  <si>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</si>
  <si>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</si>
  <si>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</si>
  <si>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</si>
  <si>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</si>
  <si>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</si>
  <si>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</si>
  <si>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</si>
  <si>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</si>
  <si>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</si>
  <si>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</si>
  <si>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</si>
  <si>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</si>
  <si>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</si>
  <si>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</si>
  <si>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</si>
  <si>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</si>
  <si>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</si>
  <si>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</si>
  <si>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</si>
  <si>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</si>
  <si>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</si>
  <si>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</si>
  <si>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</si>
  <si>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</si>
  <si>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</si>
  <si>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</si>
  <si>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</si>
  <si>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</si>
  <si>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</si>
  <si>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</si>
  <si>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</si>
  <si>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</si>
  <si>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</si>
  <si>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</si>
  <si>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</si>
  <si>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</si>
  <si>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</si>
  <si>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</si>
  <si>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</si>
  <si>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</si>
  <si>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</si>
  <si>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</si>
  <si>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</si>
  <si>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</si>
  <si>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</si>
  <si>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</si>
  <si>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</si>
  <si>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</si>
  <si>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</si>
  <si>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</si>
  <si>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</si>
  <si>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</si>
  <si>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</si>
  <si>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</si>
  <si>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</si>
  <si>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</si>
  <si>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</si>
  <si>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</si>
  <si>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</si>
  <si>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</si>
  <si>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</si>
  <si>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</si>
  <si>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</si>
  <si>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</si>
  <si>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</si>
  <si>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</si>
  <si>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</si>
  <si>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</si>
  <si>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</si>
  <si>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</si>
  <si>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</si>
  <si>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</si>
  <si>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</si>
  <si>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</si>
  <si>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</si>
  <si>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</si>
  <si>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</si>
  <si>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</si>
  <si>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</si>
  <si>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</si>
  <si>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</si>
  <si>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</si>
  <si>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</si>
  <si>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</si>
  <si>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</si>
  <si>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</si>
  <si>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</si>
  <si>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</si>
  <si>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</si>
  <si>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</si>
  <si>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</si>
  <si>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</si>
  <si>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</si>
  <si>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</si>
  <si>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</si>
  <si>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</si>
  <si>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</si>
  <si>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</si>
  <si>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</si>
  <si>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</si>
  <si>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</si>
  <si>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</si>
  <si>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</si>
  <si>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</si>
  <si>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</si>
  <si>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</si>
  <si>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</si>
  <si>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</si>
  <si>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</si>
  <si>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</si>
  <si>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</si>
  <si>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</si>
  <si>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</si>
  <si>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</si>
  <si>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</si>
  <si>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</si>
  <si>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</si>
  <si>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</si>
  <si>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</si>
  <si>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</si>
  <si>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</si>
  <si>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</si>
  <si>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</si>
  <si>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</si>
  <si>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</si>
  <si>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</si>
  <si>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</si>
  <si>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</si>
  <si>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</si>
  <si>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</si>
  <si>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</si>
  <si>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</si>
  <si>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</si>
  <si>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</si>
  <si>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</si>
  <si>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</si>
  <si>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</si>
  <si>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</si>
  <si>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</si>
  <si>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</si>
  <si>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</si>
  <si>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</si>
  <si>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</si>
  <si>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</si>
  <si>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</si>
  <si>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</si>
  <si>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</si>
  <si>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</si>
  <si>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</si>
  <si>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</si>
  <si>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</si>
  <si>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</si>
  <si>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</si>
  <si>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</si>
  <si>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</si>
  <si>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</si>
  <si>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</si>
  <si>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</si>
  <si>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</si>
  <si>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</si>
  <si>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</si>
  <si>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</si>
  <si>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</si>
  <si>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</si>
  <si>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</si>
  <si>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</si>
  <si>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</si>
  <si>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</si>
  <si>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</si>
  <si>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</si>
  <si>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</si>
  <si>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</si>
  <si>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</si>
  <si>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</si>
  <si>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</si>
  <si>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</si>
  <si>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</si>
  <si>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</si>
  <si>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</si>
  <si>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</si>
  <si>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</si>
  <si>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</si>
  <si>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</si>
  <si>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</si>
  <si>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</si>
  <si>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</si>
  <si>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</si>
  <si>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</si>
  <si>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</si>
  <si>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</si>
  <si>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</si>
  <si>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</si>
  <si>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</si>
  <si>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</si>
  <si>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</si>
  <si>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</si>
  <si>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</si>
  <si>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</si>
  <si>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</si>
  <si>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</si>
  <si>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</si>
  <si>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</si>
  <si>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</si>
  <si>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</si>
  <si>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</si>
  <si>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</si>
  <si>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</si>
  <si>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</si>
  <si>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</si>
  <si>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</si>
  <si>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</si>
  <si>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</si>
  <si>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</si>
  <si>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</si>
  <si>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</si>
  <si>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</si>
  <si>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</si>
  <si>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</si>
  <si>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</si>
  <si>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</si>
  <si>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</si>
  <si>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</si>
  <si>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</si>
  <si>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</si>
  <si>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</si>
  <si>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</si>
  <si>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</si>
  <si>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</si>
  <si>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</si>
  <si>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</si>
  <si>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</si>
  <si>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</si>
  <si>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</si>
  <si>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</si>
  <si>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</si>
  <si>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</si>
  <si>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</si>
  <si>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</si>
  <si>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</si>
  <si>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</si>
  <si>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</si>
  <si>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</si>
  <si>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</si>
  <si>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</si>
  <si>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</si>
  <si>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</si>
  <si>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</si>
  <si>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</si>
  <si>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</si>
  <si>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</si>
  <si>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</si>
  <si>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</si>
  <si>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</si>
  <si>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</si>
  <si>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</si>
  <si>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</si>
  <si>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</si>
  <si>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</si>
  <si>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</si>
  <si>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</si>
  <si>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</si>
  <si>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</si>
  <si>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</si>
  <si>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</si>
  <si>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</si>
  <si>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</si>
  <si>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</si>
  <si>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</si>
  <si>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</si>
  <si>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</si>
  <si>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</si>
  <si>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</si>
  <si>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</si>
  <si>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</si>
  <si>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</si>
  <si>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</si>
  <si>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</si>
  <si>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</si>
  <si>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</si>
  <si>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</si>
  <si>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</si>
  <si>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</si>
  <si>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</si>
  <si>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</si>
  <si>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</si>
  <si>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</si>
  <si>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</si>
  <si>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</si>
  <si>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</si>
  <si>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</si>
  <si>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</si>
  <si>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</si>
  <si>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</si>
  <si>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</si>
  <si>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</si>
  <si>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</si>
  <si>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</si>
  <si>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</si>
  <si>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</si>
  <si>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</si>
  <si>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</si>
  <si>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</si>
  <si>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</si>
  <si>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</si>
  <si>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</si>
  <si>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</si>
  <si>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</si>
  <si>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</si>
  <si>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</si>
  <si>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</si>
  <si>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</si>
  <si>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</si>
  <si>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</si>
  <si>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</si>
  <si>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</si>
  <si>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</si>
  <si>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</si>
  <si>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</si>
  <si>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</si>
  <si>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</si>
  <si>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</si>
  <si>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</si>
  <si>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</si>
  <si>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</si>
  <si>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</si>
  <si>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</si>
  <si>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</si>
  <si>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</si>
  <si>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</si>
  <si>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</si>
  <si>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</si>
  <si>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</si>
  <si>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</si>
  <si>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$</t>
  </si>
  <si>
    <t>Space Usage Type</t>
  </si>
  <si>
    <t>Step 2.</t>
  </si>
  <si>
    <t>IP units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</si>
  <si>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</si>
  <si>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</si>
  <si>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</si>
  <si>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Copyright © 2016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</si>
  <si>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</si>
  <si>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</si>
  <si>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</si>
  <si>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</si>
  <si>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</si>
  <si>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</si>
  <si>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</si>
  <si>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</si>
  <si>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</si>
  <si>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</si>
  <si>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</si>
  <si>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</si>
  <si>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</si>
  <si>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</si>
  <si>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</si>
  <si>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</si>
  <si>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</si>
  <si>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</si>
  <si>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</si>
  <si>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</si>
  <si>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</si>
  <si>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</si>
  <si>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</si>
  <si>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</si>
  <si>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</si>
  <si>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</si>
  <si>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</si>
  <si>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</si>
  <si>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</si>
  <si>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</si>
  <si>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</si>
  <si>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</si>
  <si>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</si>
  <si>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</si>
  <si>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</si>
  <si>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</si>
  <si>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</si>
  <si>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</si>
  <si>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</si>
  <si>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</si>
  <si>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</si>
  <si>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</si>
  <si>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</si>
  <si>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</si>
  <si>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</si>
  <si>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</si>
  <si>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</si>
  <si>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</si>
  <si>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</si>
  <si>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</si>
  <si>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</si>
  <si>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</si>
  <si>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</si>
  <si>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</si>
  <si>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</si>
  <si>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</si>
  <si>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</si>
  <si>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</si>
  <si>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</si>
  <si>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</si>
  <si>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</si>
  <si>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</si>
  <si>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</si>
  <si>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</si>
  <si>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Ozone</t>
  </si>
  <si>
    <t>ppm</t>
  </si>
  <si>
    <t>Ridership</t>
  </si>
  <si>
    <t>person</t>
  </si>
  <si>
    <t>Carbon Monoxide</t>
  </si>
  <si>
    <t>Nitrogen Dioxide</t>
  </si>
  <si>
    <t>Sulfur Dioxide</t>
  </si>
  <si>
    <t>Atmospheric Particulate Matter</t>
  </si>
  <si>
    <t>Air Quality Index</t>
  </si>
  <si>
    <t>Atmospheric Particulate Matter (PM2.5)</t>
  </si>
  <si>
    <t>Atmospheric Particulate Matter (PM10)</t>
  </si>
  <si>
    <t>Data Source</t>
  </si>
  <si>
    <t xml:space="preserve">Period Consumption 
</t>
  </si>
  <si>
    <t>Weekly Operating hours</t>
  </si>
  <si>
    <t>Meter Source</t>
  </si>
  <si>
    <t xml:space="preserve">Annual ridership for this station </t>
  </si>
  <si>
    <t xml:space="preserve">Full time staff at station </t>
  </si>
  <si>
    <t xml:space="preserve">Average time spent by riders at the station (in minutes) </t>
  </si>
  <si>
    <t xml:space="preserve"> Weighted Daily Occupancy</t>
  </si>
  <si>
    <t xml:space="preserve">Generated onsite - solar </t>
  </si>
  <si>
    <t>I</t>
  </si>
  <si>
    <t>Values</t>
  </si>
  <si>
    <t>Effective at (mm/dd/yyyy)</t>
  </si>
  <si>
    <t>v3.1</t>
  </si>
  <si>
    <t>Complete the information below</t>
  </si>
  <si>
    <t>Note: Read-only fields are based on calculations and don't require effective date</t>
  </si>
  <si>
    <t>Transit</t>
  </si>
  <si>
    <t>Energy Meter via upload</t>
  </si>
  <si>
    <t>Water meter via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</si>
</sst>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#,##0.00_ ;\-#,##0.00\ "/>
    <numFmt numFmtId="165" formatCode="mm/dd/yyyy"/>
    <numFmt numFmtId="166" formatCode="#,##0_ ;\-#,##0\ 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8"/>
      <color theme="0" tint="-0.4999847407452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47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1" xfId="0" applyFont="1" applyFill="1" applyBorder="1" applyAlignment="1" applyProtection="1">
      <alignment horizontal="left"/>
    </xf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8" fillId="3" borderId="20" xfId="0" applyFont="1" applyFill="1" applyBorder="1" applyAlignment="1" applyProtection="1">
      <alignment horizontal="left" vertical="center"/>
      <protection locked="0"/>
    </xf>
    <xf numFmtId="0" fontId="3" fillId="2" borderId="17" xfId="5" applyNumberFormat="1" applyFont="1" applyFill="1" applyBorder="1" applyAlignment="1" applyProtection="1">
      <alignment horizontal="left" vertical="top" wrapText="1"/>
    </xf>
    <xf numFmtId="0" fontId="3" fillId="2" borderId="21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22" xfId="5" applyNumberFormat="1" applyFont="1" applyFill="1" applyBorder="1" applyAlignment="1" applyProtection="1">
      <alignment vertical="center"/>
    </xf>
    <xf numFmtId="0" fontId="0" fillId="2" borderId="14" xfId="0" applyFill="1" applyBorder="1" applyProtection="1"/>
    <xf numFmtId="0" fontId="10" fillId="2" borderId="18" xfId="0" applyFont="1" applyFill="1" applyBorder="1" applyProtection="1"/>
    <xf numFmtId="0" fontId="0" fillId="2" borderId="18" xfId="0" applyFill="1" applyBorder="1" applyProtection="1"/>
    <xf numFmtId="0" fontId="0" fillId="2" borderId="23" xfId="0" applyFill="1" applyBorder="1" applyProtection="1"/>
    <xf numFmtId="0" fontId="0" fillId="2" borderId="16" xfId="0" applyFill="1" applyBorder="1" applyProtection="1"/>
    <xf numFmtId="0" fontId="0" fillId="2" borderId="15" xfId="0" applyFill="1" applyBorder="1" applyProtection="1"/>
    <xf numFmtId="0" fontId="0" fillId="2" borderId="13" xfId="0" applyFill="1" applyBorder="1" applyProtection="1"/>
    <xf numFmtId="0" fontId="16" fillId="3" borderId="0" xfId="0" applyFont="1" applyFill="1" applyAlignment="1">
      <alignment horizontal="right"/>
    </xf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19" xfId="0" applyFill="1" applyBorder="1" applyProtection="1">
      <protection locked="0"/>
    </xf>
    <xf numFmtId="0" fontId="0" fillId="0" borderId="24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19" xfId="0" applyFill="1" applyBorder="1" applyProtection="1"/>
    <xf numFmtId="0" fontId="0" fillId="0" borderId="27" xfId="0" applyFill="1" applyBorder="1"/>
    <xf numFmtId="0" fontId="8" fillId="3" borderId="29" xfId="1" applyFont="1" applyFill="1" applyBorder="1" applyAlignment="1" applyProtection="1">
      <alignment horizontal="left" vertical="center"/>
    </xf>
    <xf numFmtId="0" fontId="0" fillId="0" borderId="28" xfId="0" applyFill="1" applyBorder="1" applyProtection="1"/>
    <xf numFmtId="1" fontId="8" fillId="3" borderId="25" xfId="0" applyNumberFormat="1" applyFont="1" applyFill="1" applyBorder="1" applyAlignment="1" applyProtection="1">
      <alignment horizontal="left" vertical="center"/>
      <protection locked="0"/>
    </xf>
    <xf numFmtId="3" fontId="4" fillId="0" borderId="25" xfId="8" applyNumberFormat="1" applyFont="1" applyFill="1" applyBorder="1" applyAlignment="1" applyProtection="1">
      <alignment horizontal="right" vertical="center" indent="1"/>
    </xf>
    <xf numFmtId="0" fontId="0" fillId="2" borderId="30" xfId="0" applyFill="1" applyBorder="1" applyProtection="1"/>
    <xf numFmtId="0" fontId="0" fillId="2" borderId="31" xfId="0" applyFill="1" applyBorder="1" applyProtection="1"/>
    <xf numFmtId="0" fontId="0" fillId="2" borderId="26" xfId="0" applyFill="1" applyBorder="1" applyProtection="1"/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wrapText="1" indent="1"/>
    </xf>
    <xf numFmtId="0" fontId="2" fillId="2" borderId="0" xfId="0" applyFont="1" applyFill="1" applyBorder="1" applyAlignment="1" applyProtection="1">
      <alignment horizontal="left" vertical="center" wrapText="1" indent="1"/>
    </xf>
    <xf numFmtId="0" fontId="2" fillId="2" borderId="8" xfId="0" applyFont="1" applyFill="1" applyBorder="1" applyAlignment="1" applyProtection="1">
      <alignment horizontal="left" vertical="center" wrapText="1" indent="1"/>
    </xf>
    <xf numFmtId="0" fontId="8" fillId="2" borderId="11" xfId="0" applyFont="1" applyFill="1" applyBorder="1" applyAlignment="1">
      <alignment horizontal="left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8" fillId="3" borderId="1" xfId="0" applyFont="1" applyFill="1" applyBorder="1" applyAlignment="1" applyProtection="1">
      <alignment horizontal="left"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8" fillId="3" borderId="1" xfId="0" applyNumberFormat="1" applyFont="1" applyFill="1" applyBorder="1" applyAlignment="1" applyProtection="1">
      <alignment horizontal="left" vertical="center"/>
      <protection locked="0"/>
    </xf>
    <xf numFmtId="0" fontId="8" fillId="3" borderId="11" xfId="0" applyFont="1" applyFill="1" applyBorder="1" applyAlignment="1" applyProtection="1">
      <alignment horizontal="left"/>
      <protection locked="0"/>
    </xf>
    <xf numFmtId="0" fontId="2" fillId="4" borderId="32" xfId="0" applyFont="1" applyFill="1" applyBorder="1" applyAlignment="1" applyProtection="1">
      <alignment horizontal="center" vertical="center" wrapText="1"/>
    </xf>
    <xf numFmtId="0" fontId="0" fillId="2" borderId="4" xfId="0" applyFill="1" applyBorder="1"/>
    <xf numFmtId="0" fontId="0" fillId="2" borderId="6" xfId="0" applyFill="1" applyBorder="1"/>
    <xf numFmtId="0" fontId="2" fillId="2" borderId="9" xfId="0" applyFont="1" applyFill="1" applyBorder="1" applyAlignment="1" applyProtection="1">
      <alignment horizontal="left" vertical="center" wrapText="1" indent="1"/>
    </xf>
    <xf numFmtId="0" fontId="8" fillId="3" borderId="11" xfId="0" applyFont="1" applyFill="1" applyBorder="1" applyAlignment="1" applyProtection="1">
      <alignment horizontal="left" vertical="center"/>
      <protection locked="0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166" fontId="8" fillId="3" borderId="1" xfId="0" applyNumberFormat="1" applyFont="1" applyFill="1" applyBorder="1" applyAlignment="1" applyProtection="1">
      <alignment horizontal="right" vertical="center"/>
      <protection locked="0"/>
    </xf>
    <xf numFmtId="2" fontId="8" fillId="3" borderId="25" xfId="0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 applyProtection="1">
      <alignment horizontal="left" vertical="center" indent="1"/>
    </xf>
    <xf numFmtId="0" fontId="8" fillId="0" borderId="25" xfId="0" applyNumberFormat="1" applyFont="1" applyFill="1" applyBorder="1" applyAlignment="1" applyProtection="1">
      <alignment horizontal="left" vertical="center"/>
      <protection locked="0"/>
    </xf>
    <xf numFmtId="0" fontId="2" fillId="2" borderId="25" xfId="0" applyFont="1" applyFill="1" applyBorder="1" applyAlignment="1" applyProtection="1">
      <alignment vertical="center"/>
    </xf>
    <xf numFmtId="14" fontId="0" fillId="3" borderId="0" xfId="0" applyNumberFormat="1" applyFill="1" applyProtection="1"/>
    <xf numFmtId="0" fontId="2" fillId="0" borderId="25" xfId="0" applyNumberFormat="1" applyFont="1" applyFill="1" applyBorder="1" applyAlignment="1" applyProtection="1">
      <alignment vertical="center"/>
      <protection hidden="1"/>
    </xf>
    <xf numFmtId="165" fontId="2" fillId="3" borderId="25" xfId="0" applyNumberFormat="1" applyFont="1" applyFill="1" applyBorder="1" applyAlignment="1" applyProtection="1">
      <alignment vertical="center"/>
      <protection locked="0"/>
    </xf>
    <xf numFmtId="0" fontId="2" fillId="2" borderId="25" xfId="0" applyNumberFormat="1" applyFont="1" applyFill="1" applyBorder="1" applyAlignment="1" applyProtection="1">
      <alignment vertical="center"/>
      <protection hidden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2" borderId="33" xfId="0" applyFont="1" applyFill="1" applyBorder="1" applyAlignment="1" applyProtection="1">
      <alignment horizontal="left" vertical="center"/>
    </xf>
    <xf numFmtId="0" fontId="2" fillId="2" borderId="34" xfId="0" applyFont="1" applyFill="1" applyBorder="1" applyAlignment="1" applyProtection="1">
      <alignment horizontal="left" vertical="center"/>
    </xf>
    <xf numFmtId="0" fontId="2" fillId="2" borderId="33" xfId="0" applyFont="1" applyFill="1" applyBorder="1" applyAlignment="1" applyProtection="1">
      <alignment horizontal="left" vertical="center" wrapText="1"/>
    </xf>
    <xf numFmtId="0" fontId="2" fillId="2" borderId="34" xfId="0" applyFont="1" applyFill="1" applyBorder="1" applyAlignment="1" applyProtection="1">
      <alignment horizontal="left" vertical="center" wrapText="1"/>
    </xf>
    <xf numFmtId="0" fontId="2" fillId="2" borderId="33" xfId="0" applyFont="1" applyFill="1" applyBorder="1" applyAlignment="1" applyProtection="1">
      <alignment horizontal="center" vertical="center"/>
    </xf>
    <xf numFmtId="0" fontId="2" fillId="2" borderId="34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left" vertical="center"/>
    </xf>
    <xf numFmtId="0" fontId="2" fillId="2" borderId="3" xfId="0" applyFont="1" applyFill="1" applyBorder="1" applyAlignment="1" applyProtection="1">
      <alignment horizontal="left" vertical="center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7" xfId="0" applyFont="1" applyFill="1" applyBorder="1" applyAlignment="1" applyProtection="1">
      <alignment horizontal="left" vertical="center"/>
    </xf>
    <xf numFmtId="0" fontId="2" fillId="2" borderId="8" xfId="0" applyFont="1" applyFill="1" applyBorder="1" applyAlignment="1" applyProtection="1">
      <alignment horizontal="left" vertical="center"/>
    </xf>
    <xf numFmtId="0" fontId="2" fillId="2" borderId="4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2" fillId="2" borderId="9" xfId="0" applyFont="1" applyFill="1" applyBorder="1" applyAlignment="1" applyProtection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25</xdr:row>
          <xdr:rowOff>76200</xdr:rowOff>
        </xdr:from>
        <xdr:to>
          <xdr:col>3</xdr:col>
          <xdr:colOff>561975</xdr:colOff>
          <xdr:row>25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25</xdr:row>
          <xdr:rowOff>76200</xdr:rowOff>
        </xdr:from>
        <xdr:to>
          <xdr:col>3</xdr:col>
          <xdr:colOff>1895475</xdr:colOff>
          <xdr:row>25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35</xdr:row>
          <xdr:rowOff>0</xdr:rowOff>
        </xdr:from>
        <xdr:to>
          <xdr:col>2</xdr:col>
          <xdr:colOff>9525</xdr:colOff>
          <xdr:row>36</xdr:row>
          <xdr:rowOff>171450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34</xdr:row>
          <xdr:rowOff>190500</xdr:rowOff>
        </xdr:from>
        <xdr:to>
          <xdr:col>3</xdr:col>
          <xdr:colOff>9525</xdr:colOff>
          <xdr:row>36</xdr:row>
          <xdr:rowOff>161925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20</xdr:row>
          <xdr:rowOff>190500</xdr:rowOff>
        </xdr:from>
        <xdr:to>
          <xdr:col>2</xdr:col>
          <xdr:colOff>9525</xdr:colOff>
          <xdr:row>22</xdr:row>
          <xdr:rowOff>200025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190500</xdr:rowOff>
        </xdr:from>
        <xdr:to>
          <xdr:col>3</xdr:col>
          <xdr:colOff>9525</xdr:colOff>
          <xdr:row>22</xdr:row>
          <xdr:rowOff>200025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33</xdr:row>
          <xdr:rowOff>0</xdr:rowOff>
        </xdr:from>
        <xdr:to>
          <xdr:col>2</xdr:col>
          <xdr:colOff>9525</xdr:colOff>
          <xdr:row>34</xdr:row>
          <xdr:rowOff>190500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33</xdr:row>
          <xdr:rowOff>0</xdr:rowOff>
        </xdr:from>
        <xdr:to>
          <xdr:col>3</xdr:col>
          <xdr:colOff>9525</xdr:colOff>
          <xdr:row>34</xdr:row>
          <xdr:rowOff>190500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6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31</xdr:row>
          <xdr:rowOff>190500</xdr:rowOff>
        </xdr:from>
        <xdr:to>
          <xdr:col>2</xdr:col>
          <xdr:colOff>9525</xdr:colOff>
          <xdr:row>33</xdr:row>
          <xdr:rowOff>171450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7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31</xdr:row>
          <xdr:rowOff>190500</xdr:rowOff>
        </xdr:from>
        <xdr:to>
          <xdr:col>3</xdr:col>
          <xdr:colOff>9525</xdr:colOff>
          <xdr:row>33</xdr:row>
          <xdr:rowOff>171450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7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21</xdr:row>
          <xdr:rowOff>28575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2</xdr:col>
          <xdr:colOff>1314450</xdr:colOff>
          <xdr:row>21</xdr:row>
          <xdr:rowOff>57150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20</xdr:row>
          <xdr:rowOff>180975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9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9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31</xdr:row>
          <xdr:rowOff>190500</xdr:rowOff>
        </xdr:from>
        <xdr:to>
          <xdr:col>2</xdr:col>
          <xdr:colOff>9525</xdr:colOff>
          <xdr:row>32</xdr:row>
          <xdr:rowOff>180975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A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A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20</xdr:row>
          <xdr:rowOff>180975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B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B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D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D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D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E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E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U322"/>
  <sheetViews>
    <sheetView showGridLines="0" tabSelected="1" zoomScale="90" zoomScaleNormal="90" workbookViewId="0">
      <selection activeCell="Y21" sqref="Y21"/>
    </sheetView>
  </sheetViews>
  <sheetFormatPr defaultColWidth="9.140625" defaultRowHeight="15" x14ac:dyDescent="0.25"/>
  <cols>
    <col min="1" max="1" width="2.7109375" style="50" customWidth="1"/>
    <col min="2" max="2" width="5.7109375" style="50" customWidth="1"/>
    <col min="3" max="3" width="11.140625" style="50" customWidth="1"/>
    <col min="4" max="4" width="30.85546875" style="50" customWidth="1"/>
    <col min="5" max="5" width="29.140625" style="50" customWidth="1"/>
    <col min="6" max="6" width="21" style="50" customWidth="1"/>
    <col min="7" max="7" width="15.7109375" style="50" hidden="1" customWidth="1"/>
    <col min="8" max="8" width="110.28515625" style="50" hidden="1" customWidth="1"/>
    <col min="9" max="9" width="0.85546875" style="50" hidden="1" customWidth="1"/>
    <col min="10" max="10" width="9.140625" style="50" hidden="1" customWidth="1"/>
    <col min="11" max="11" width="4.5703125" style="50" customWidth="1"/>
    <col min="12" max="12" width="15.5703125" style="50" hidden="1" customWidth="1"/>
    <col min="13" max="19" width="9.140625" style="50" hidden="1" customWidth="1"/>
    <col min="20" max="20" width="36.5703125" style="50" hidden="1" customWidth="1"/>
    <col min="21" max="21" width="0" style="50" hidden="1" customWidth="1"/>
    <col min="22" max="16384" width="9.140625" style="50"/>
  </cols>
  <sheetData>
    <row r="2" spans="2:14" x14ac:dyDescent="0.25">
      <c r="B2" s="56"/>
      <c r="C2" s="57" t="s">
        <v>573</v>
      </c>
      <c r="D2" s="58"/>
      <c r="E2" s="58"/>
      <c r="F2" s="58"/>
      <c r="G2" s="58"/>
      <c r="H2" s="58"/>
      <c r="I2" s="59"/>
      <c r="J2" s="58"/>
      <c r="K2" s="60"/>
      <c r="L2" s="49"/>
      <c r="M2" s="49"/>
      <c r="N2" s="49"/>
    </row>
    <row r="3" spans="2:14" ht="49.5" customHeight="1" x14ac:dyDescent="0.25">
      <c r="B3" s="61"/>
      <c r="C3" s="124" t="s">
        <v>650</v>
      </c>
      <c r="D3" s="125"/>
      <c r="E3" s="125"/>
      <c r="F3" s="125"/>
      <c r="G3" s="11"/>
      <c r="H3" s="11"/>
      <c r="I3" s="12"/>
      <c r="J3" s="11"/>
      <c r="K3" s="62"/>
      <c r="L3" s="49"/>
      <c r="M3" s="49"/>
      <c r="N3" s="49"/>
    </row>
    <row r="4" spans="2:14" x14ac:dyDescent="0.25">
      <c r="B4" s="61"/>
      <c r="C4" s="13" t="s">
        <v>0</v>
      </c>
      <c r="D4" s="14"/>
      <c r="E4" s="14"/>
      <c r="F4" s="11"/>
      <c r="G4" s="11"/>
      <c r="H4" s="11"/>
      <c r="I4" s="12"/>
      <c r="J4" s="11"/>
      <c r="K4" s="62"/>
      <c r="L4" s="49"/>
      <c r="M4" s="49"/>
      <c r="N4" s="49"/>
    </row>
    <row r="5" spans="2:14" x14ac:dyDescent="0.25">
      <c r="B5" s="61"/>
      <c r="C5" s="15" t="s">
        <v>1</v>
      </c>
      <c r="D5" s="14"/>
      <c r="E5" s="14"/>
      <c r="F5" s="11"/>
      <c r="G5" s="11"/>
      <c r="H5" s="11"/>
      <c r="I5" s="12"/>
      <c r="J5" s="11"/>
      <c r="K5" s="62"/>
      <c r="L5" s="49"/>
      <c r="M5" s="49" t="s">
        <v>3</v>
      </c>
      <c r="N5" s="49"/>
    </row>
    <row r="6" spans="2:14" x14ac:dyDescent="0.25">
      <c r="B6" s="61"/>
      <c r="C6" s="16" t="s">
        <v>2</v>
      </c>
      <c r="D6" s="16"/>
      <c r="E6" s="17"/>
      <c r="F6" s="11"/>
      <c r="G6" s="11"/>
      <c r="H6" s="11"/>
      <c r="I6" s="12"/>
      <c r="J6" s="11"/>
      <c r="K6" s="62"/>
      <c r="L6" s="49"/>
      <c r="M6" s="49" t="s">
        <v>4</v>
      </c>
      <c r="N6" s="49"/>
    </row>
    <row r="7" spans="2:14" x14ac:dyDescent="0.25">
      <c r="B7" s="61"/>
      <c r="C7" s="16"/>
      <c r="D7" s="16"/>
      <c r="E7" s="17"/>
      <c r="F7" s="11"/>
      <c r="G7" s="11"/>
      <c r="H7" s="11"/>
      <c r="I7" s="12"/>
      <c r="J7" s="11"/>
      <c r="K7" s="62"/>
      <c r="L7" s="49"/>
      <c r="M7" s="49"/>
      <c r="N7" s="49"/>
    </row>
    <row r="8" spans="2:14" x14ac:dyDescent="0.25">
      <c r="B8" s="61"/>
      <c r="C8" s="64" t="s">
        <v>581</v>
      </c>
      <c r="D8" s="65"/>
      <c r="E8" s="66"/>
      <c r="F8" s="67"/>
      <c r="G8" s="11"/>
      <c r="H8" s="11"/>
      <c r="I8" s="12"/>
      <c r="J8" s="11"/>
      <c r="K8" s="62"/>
      <c r="L8" s="49"/>
      <c r="M8" s="49"/>
      <c r="N8" s="49"/>
    </row>
    <row r="9" spans="2:14" ht="15" customHeight="1" x14ac:dyDescent="0.25">
      <c r="B9" s="61"/>
      <c r="C9" s="68" t="s">
        <v>568</v>
      </c>
      <c r="D9" s="65"/>
      <c r="E9" s="66"/>
      <c r="F9" s="69" t="s">
        <v>582</v>
      </c>
      <c r="G9" s="11"/>
      <c r="H9" s="11"/>
      <c r="I9" s="12"/>
      <c r="J9" s="11"/>
      <c r="K9" s="62"/>
      <c r="L9" s="49"/>
      <c r="M9" s="49"/>
      <c r="N9" s="49"/>
    </row>
    <row r="10" spans="2:14" ht="15" customHeight="1" x14ac:dyDescent="0.25">
      <c r="B10" s="61"/>
      <c r="C10" s="70" t="s">
        <v>583</v>
      </c>
      <c r="D10" s="70"/>
      <c r="E10" s="65"/>
      <c r="F10" s="71"/>
      <c r="G10" s="9"/>
      <c r="H10" s="9"/>
      <c r="I10" s="10"/>
      <c r="J10" s="9"/>
      <c r="K10" s="62"/>
      <c r="L10" s="49"/>
      <c r="M10" s="49"/>
      <c r="N10" s="49"/>
    </row>
    <row r="11" spans="2:14" ht="15" customHeight="1" x14ac:dyDescent="0.25">
      <c r="B11" s="61"/>
      <c r="C11" s="11"/>
      <c r="D11" s="11"/>
      <c r="E11" s="24"/>
      <c r="F11" s="11"/>
      <c r="G11" s="9"/>
      <c r="H11" s="9"/>
      <c r="I11" s="10"/>
      <c r="J11" s="9"/>
      <c r="K11" s="62"/>
      <c r="L11" s="49"/>
      <c r="M11" s="49"/>
      <c r="N11" s="49"/>
    </row>
    <row r="12" spans="2:14" ht="15" customHeight="1" x14ac:dyDescent="0.25">
      <c r="B12" s="61"/>
      <c r="C12" s="18" t="s">
        <v>5</v>
      </c>
      <c r="D12" s="11"/>
      <c r="E12" s="11"/>
      <c r="F12" s="11"/>
      <c r="G12" s="9"/>
      <c r="H12" s="9"/>
      <c r="I12" s="10"/>
      <c r="J12" s="9"/>
      <c r="K12" s="62"/>
      <c r="L12" s="49"/>
      <c r="M12" s="49"/>
      <c r="N12" s="49"/>
    </row>
    <row r="13" spans="2:14" ht="15" customHeight="1" x14ac:dyDescent="0.25">
      <c r="B13" s="61"/>
      <c r="C13" s="18" t="s">
        <v>675</v>
      </c>
      <c r="D13" s="11"/>
      <c r="E13" s="11"/>
      <c r="F13" s="11"/>
      <c r="G13" s="9"/>
      <c r="H13" s="9"/>
      <c r="I13" s="10"/>
      <c r="J13" s="9"/>
      <c r="K13" s="62"/>
      <c r="L13" s="49"/>
      <c r="M13" s="49"/>
      <c r="N13" s="49"/>
    </row>
    <row r="14" spans="2:14" ht="21" customHeight="1" x14ac:dyDescent="0.25">
      <c r="B14" s="61"/>
      <c r="C14" s="18" t="s">
        <v>676</v>
      </c>
      <c r="D14" s="11"/>
      <c r="E14" s="11"/>
      <c r="F14" s="11"/>
      <c r="G14" s="9"/>
      <c r="H14" s="9"/>
      <c r="I14" s="10"/>
      <c r="J14" s="9"/>
      <c r="K14" s="62"/>
      <c r="L14" s="49"/>
      <c r="M14" s="49"/>
      <c r="N14" s="49"/>
    </row>
    <row r="15" spans="2:14" x14ac:dyDescent="0.25">
      <c r="B15" s="84"/>
      <c r="C15" s="130"/>
      <c r="D15" s="131"/>
      <c r="E15" s="116" t="s">
        <v>673</v>
      </c>
      <c r="F15" s="115" t="s">
        <v>672</v>
      </c>
      <c r="G15" s="9"/>
      <c r="H15" s="9"/>
      <c r="I15" s="10"/>
      <c r="J15" s="9"/>
      <c r="K15" s="85"/>
      <c r="L15" s="49"/>
      <c r="M15" s="49"/>
      <c r="N15" s="49"/>
    </row>
    <row r="16" spans="2:14" x14ac:dyDescent="0.25">
      <c r="B16" s="84"/>
      <c r="C16" s="126" t="str">
        <f>CONCATENATE("Gross 
Floor Area 
",IF(Setup!$F$9="SI units","(sq m)","(sq ft)"))</f>
        <v>Gross 
Floor Area 
(sq ft)</v>
      </c>
      <c r="D16" s="127"/>
      <c r="E16" s="119">
        <v>42736</v>
      </c>
      <c r="F16" s="113">
        <v>2000</v>
      </c>
      <c r="G16" s="11"/>
      <c r="H16" s="11"/>
      <c r="I16" s="12"/>
      <c r="J16" s="11"/>
      <c r="K16" s="62"/>
      <c r="L16" s="49"/>
      <c r="M16" s="49"/>
      <c r="N16" s="117">
        <f ca="1">TODAY()</f>
        <v>43629</v>
      </c>
    </row>
    <row r="17" spans="2:21" x14ac:dyDescent="0.25">
      <c r="B17" s="84"/>
      <c r="C17" s="126" t="s">
        <v>666</v>
      </c>
      <c r="D17" s="127"/>
      <c r="E17" s="118"/>
      <c r="F17" s="82">
        <v>20000</v>
      </c>
      <c r="G17" s="11"/>
      <c r="H17" s="11"/>
      <c r="I17" s="12"/>
      <c r="J17" s="11"/>
      <c r="K17" s="62"/>
      <c r="L17" s="49">
        <f>F17/365</f>
        <v>54.794520547945204</v>
      </c>
      <c r="M17" s="49"/>
      <c r="N17" s="49"/>
      <c r="U17" s="50" t="b">
        <f>FALSE()</f>
        <v>0</v>
      </c>
    </row>
    <row r="18" spans="2:21" x14ac:dyDescent="0.25">
      <c r="B18" s="84"/>
      <c r="C18" s="126" t="s">
        <v>664</v>
      </c>
      <c r="D18" s="127"/>
      <c r="E18" s="119">
        <v>42736</v>
      </c>
      <c r="F18" s="82">
        <v>100</v>
      </c>
      <c r="G18" s="11"/>
      <c r="H18" s="11"/>
      <c r="I18" s="12"/>
      <c r="J18" s="11"/>
      <c r="K18" s="85"/>
      <c r="L18" s="49">
        <f>F18/7</f>
        <v>14.285714285714286</v>
      </c>
      <c r="M18" s="49"/>
      <c r="N18" s="49"/>
    </row>
    <row r="19" spans="2:21" x14ac:dyDescent="0.25">
      <c r="B19" s="61"/>
      <c r="C19" s="126" t="s">
        <v>667</v>
      </c>
      <c r="D19" s="127"/>
      <c r="E19" s="120"/>
      <c r="F19" s="82">
        <v>8</v>
      </c>
      <c r="G19" s="11"/>
      <c r="H19" s="11"/>
      <c r="I19" s="12"/>
      <c r="J19" s="11"/>
      <c r="K19" s="85"/>
      <c r="L19" s="49"/>
      <c r="M19" s="49"/>
      <c r="N19" s="49"/>
    </row>
    <row r="20" spans="2:21" ht="30" customHeight="1" x14ac:dyDescent="0.25">
      <c r="B20" s="61"/>
      <c r="C20" s="128" t="s">
        <v>668</v>
      </c>
      <c r="D20" s="129"/>
      <c r="E20" s="120"/>
      <c r="F20" s="82">
        <v>16</v>
      </c>
      <c r="G20" s="11"/>
      <c r="H20" s="11"/>
      <c r="I20" s="12"/>
      <c r="J20" s="11"/>
      <c r="K20" s="85"/>
      <c r="L20" s="49">
        <f>F20/60</f>
        <v>0.26666666666666666</v>
      </c>
      <c r="M20" s="49"/>
      <c r="N20" s="49"/>
    </row>
    <row r="21" spans="2:21" x14ac:dyDescent="0.25">
      <c r="B21" s="61"/>
      <c r="C21" s="126" t="s">
        <v>669</v>
      </c>
      <c r="D21" s="127"/>
      <c r="E21" s="119">
        <v>42736</v>
      </c>
      <c r="F21" s="83">
        <f>IFERROR(F19+ L17*(L20/L18),0)</f>
        <v>9.0228310502283104</v>
      </c>
      <c r="G21" s="11"/>
      <c r="H21" s="11"/>
      <c r="I21" s="12"/>
      <c r="J21" s="11"/>
      <c r="K21" s="62"/>
      <c r="L21" s="49"/>
      <c r="M21" s="49"/>
      <c r="N21" s="49"/>
    </row>
    <row r="22" spans="2:21" ht="24" customHeight="1" x14ac:dyDescent="0.25">
      <c r="B22" s="61"/>
      <c r="C22" s="11"/>
      <c r="D22" s="11"/>
      <c r="E22" s="11"/>
      <c r="F22" s="86"/>
      <c r="G22" s="11"/>
      <c r="H22" s="11"/>
      <c r="I22" s="12"/>
      <c r="J22" s="11"/>
      <c r="K22" s="62"/>
      <c r="L22" s="49"/>
      <c r="M22" s="49"/>
      <c r="N22" s="49"/>
    </row>
    <row r="23" spans="2:21" ht="30" customHeight="1" x14ac:dyDescent="0.25">
      <c r="B23" s="61"/>
      <c r="C23" s="18" t="s">
        <v>584</v>
      </c>
      <c r="D23" s="11"/>
      <c r="E23" s="11"/>
      <c r="F23" s="11"/>
      <c r="G23" s="11"/>
      <c r="H23" s="11"/>
      <c r="I23" s="12"/>
      <c r="J23" s="11"/>
      <c r="K23" s="62"/>
    </row>
    <row r="24" spans="2:21" x14ac:dyDescent="0.25">
      <c r="B24" s="61"/>
      <c r="C24" s="55" t="s">
        <v>566</v>
      </c>
      <c r="D24" s="46"/>
      <c r="E24" s="47"/>
      <c r="F24" s="45" t="s">
        <v>543</v>
      </c>
      <c r="G24" s="9"/>
      <c r="H24" s="9"/>
      <c r="I24" s="10"/>
      <c r="J24" s="9"/>
      <c r="K24" s="62"/>
    </row>
    <row r="25" spans="2:21" x14ac:dyDescent="0.25">
      <c r="B25" s="61"/>
      <c r="C25" s="48" t="s">
        <v>494</v>
      </c>
      <c r="D25" s="19"/>
      <c r="E25" s="20"/>
      <c r="F25" s="11"/>
      <c r="G25" s="9"/>
      <c r="H25" s="9"/>
      <c r="I25" s="10"/>
      <c r="J25" s="9"/>
      <c r="K25" s="62"/>
    </row>
    <row r="26" spans="2:21" ht="42" customHeight="1" x14ac:dyDescent="0.25">
      <c r="B26" s="61"/>
      <c r="C26" s="11"/>
      <c r="D26" s="9"/>
      <c r="E26" s="11"/>
      <c r="F26" s="11"/>
      <c r="G26" s="9"/>
      <c r="H26" s="9"/>
      <c r="I26" s="10"/>
      <c r="J26" s="9"/>
      <c r="K26" s="62"/>
    </row>
    <row r="27" spans="2:21" x14ac:dyDescent="0.25">
      <c r="B27" s="61"/>
      <c r="C27" s="72"/>
      <c r="D27" s="72"/>
      <c r="E27" s="72"/>
      <c r="F27" s="72"/>
      <c r="G27" s="73"/>
      <c r="H27" s="73"/>
      <c r="I27" s="74"/>
      <c r="J27" s="73"/>
      <c r="K27" s="62"/>
    </row>
    <row r="28" spans="2:21" ht="21" customHeight="1" x14ac:dyDescent="0.25">
      <c r="B28" s="61"/>
      <c r="C28" s="75" t="s">
        <v>585</v>
      </c>
      <c r="D28" s="76"/>
      <c r="E28" s="72"/>
      <c r="F28" s="72"/>
      <c r="G28" s="77"/>
      <c r="H28" s="77"/>
      <c r="I28" s="77"/>
      <c r="J28" s="77"/>
      <c r="K28" s="62"/>
    </row>
    <row r="29" spans="2:21" ht="30.6" customHeight="1" x14ac:dyDescent="0.25">
      <c r="B29" s="61"/>
      <c r="C29" s="123" t="s">
        <v>572</v>
      </c>
      <c r="D29" s="123"/>
      <c r="E29" s="123"/>
      <c r="F29" s="123"/>
      <c r="G29" s="77"/>
      <c r="H29" s="77"/>
      <c r="I29" s="77"/>
      <c r="J29" s="77"/>
      <c r="K29" s="62"/>
      <c r="L29" s="52" t="s">
        <v>6</v>
      </c>
      <c r="M29" s="52" t="s">
        <v>7</v>
      </c>
      <c r="O29" s="50" t="s">
        <v>551</v>
      </c>
      <c r="Q29" s="50" t="s">
        <v>551</v>
      </c>
      <c r="S29" s="87" t="s">
        <v>580</v>
      </c>
    </row>
    <row r="30" spans="2:21" ht="11.25" customHeight="1" x14ac:dyDescent="0.25">
      <c r="B30" s="79"/>
      <c r="C30" s="78"/>
      <c r="D30" s="78"/>
      <c r="E30" s="78"/>
      <c r="F30" s="78"/>
      <c r="G30" s="77"/>
      <c r="H30" s="77"/>
      <c r="I30" s="77"/>
      <c r="J30" s="77"/>
      <c r="K30" s="81"/>
      <c r="L30" s="80" t="s">
        <v>8</v>
      </c>
      <c r="M30" s="52" t="s">
        <v>9</v>
      </c>
      <c r="O30" s="50" t="s">
        <v>543</v>
      </c>
      <c r="Q30" s="50" t="s">
        <v>543</v>
      </c>
      <c r="S30" s="88" t="s">
        <v>587</v>
      </c>
    </row>
    <row r="31" spans="2:21" ht="11.25" customHeight="1" x14ac:dyDescent="0.25">
      <c r="F31" s="51"/>
      <c r="G31" s="51"/>
      <c r="H31" s="51"/>
      <c r="I31" s="51"/>
      <c r="J31" s="51"/>
      <c r="L31" s="52" t="s">
        <v>10</v>
      </c>
      <c r="M31" s="52" t="s">
        <v>11</v>
      </c>
      <c r="O31" s="50" t="s">
        <v>561</v>
      </c>
      <c r="Q31" s="50" t="s">
        <v>561</v>
      </c>
      <c r="S31" s="88" t="s">
        <v>588</v>
      </c>
    </row>
    <row r="32" spans="2:21" ht="11.25" customHeight="1" x14ac:dyDescent="0.25">
      <c r="F32" s="51"/>
      <c r="K32" s="54"/>
      <c r="L32" s="52" t="s">
        <v>12</v>
      </c>
      <c r="M32" s="52" t="s">
        <v>13</v>
      </c>
      <c r="O32" s="50" t="s">
        <v>558</v>
      </c>
      <c r="S32" s="88" t="s">
        <v>589</v>
      </c>
    </row>
    <row r="33" spans="6:19" x14ac:dyDescent="0.25">
      <c r="F33" s="51"/>
      <c r="K33" s="54"/>
      <c r="L33" s="52" t="s">
        <v>14</v>
      </c>
      <c r="M33" s="52" t="s">
        <v>15</v>
      </c>
      <c r="O33" s="50" t="s">
        <v>560</v>
      </c>
      <c r="S33" s="88" t="s">
        <v>590</v>
      </c>
    </row>
    <row r="34" spans="6:19" x14ac:dyDescent="0.25">
      <c r="F34" s="63" t="s">
        <v>677</v>
      </c>
      <c r="K34" s="63" t="s">
        <v>674</v>
      </c>
      <c r="L34" s="52" t="s">
        <v>16</v>
      </c>
      <c r="M34" s="52" t="s">
        <v>17</v>
      </c>
      <c r="O34" s="50" t="s">
        <v>559</v>
      </c>
      <c r="S34" s="88" t="s">
        <v>591</v>
      </c>
    </row>
    <row r="35" spans="6:19" x14ac:dyDescent="0.25">
      <c r="K35" s="63" t="s">
        <v>586</v>
      </c>
      <c r="L35" s="52" t="s">
        <v>18</v>
      </c>
      <c r="M35" s="52" t="s">
        <v>19</v>
      </c>
      <c r="S35" s="88" t="s">
        <v>592</v>
      </c>
    </row>
    <row r="36" spans="6:19" x14ac:dyDescent="0.25">
      <c r="K36" s="63" t="s">
        <v>570</v>
      </c>
      <c r="L36" s="52" t="s">
        <v>20</v>
      </c>
      <c r="M36" s="52" t="s">
        <v>21</v>
      </c>
      <c r="S36" s="88" t="s">
        <v>593</v>
      </c>
    </row>
    <row r="37" spans="6:19" x14ac:dyDescent="0.25">
      <c r="K37" s="63" t="s">
        <v>571</v>
      </c>
      <c r="L37" s="52" t="s">
        <v>22</v>
      </c>
      <c r="M37" s="52" t="s">
        <v>23</v>
      </c>
      <c r="S37" s="88" t="s">
        <v>594</v>
      </c>
    </row>
    <row r="38" spans="6:19" x14ac:dyDescent="0.25">
      <c r="L38" s="52" t="s">
        <v>24</v>
      </c>
      <c r="M38" s="52" t="s">
        <v>25</v>
      </c>
      <c r="S38" s="88" t="s">
        <v>595</v>
      </c>
    </row>
    <row r="39" spans="6:19" x14ac:dyDescent="0.25">
      <c r="L39" s="52" t="s">
        <v>26</v>
      </c>
      <c r="M39" s="52" t="s">
        <v>27</v>
      </c>
      <c r="S39" s="88" t="s">
        <v>596</v>
      </c>
    </row>
    <row r="40" spans="6:19" x14ac:dyDescent="0.25">
      <c r="L40" s="52" t="s">
        <v>28</v>
      </c>
      <c r="M40" s="52" t="s">
        <v>29</v>
      </c>
      <c r="S40" s="88" t="s">
        <v>597</v>
      </c>
    </row>
    <row r="41" spans="6:19" x14ac:dyDescent="0.25">
      <c r="L41" s="52" t="s">
        <v>30</v>
      </c>
      <c r="M41" s="52" t="s">
        <v>31</v>
      </c>
      <c r="S41" s="88" t="s">
        <v>598</v>
      </c>
    </row>
    <row r="42" spans="6:19" x14ac:dyDescent="0.25">
      <c r="L42" s="52" t="s">
        <v>32</v>
      </c>
      <c r="M42" s="52" t="s">
        <v>33</v>
      </c>
      <c r="S42" s="88" t="s">
        <v>599</v>
      </c>
    </row>
    <row r="43" spans="6:19" x14ac:dyDescent="0.25">
      <c r="L43" s="52" t="s">
        <v>34</v>
      </c>
      <c r="M43" s="52" t="s">
        <v>35</v>
      </c>
      <c r="S43" s="88" t="s">
        <v>600</v>
      </c>
    </row>
    <row r="44" spans="6:19" x14ac:dyDescent="0.25">
      <c r="L44" s="52" t="s">
        <v>36</v>
      </c>
      <c r="M44" s="52" t="s">
        <v>37</v>
      </c>
      <c r="S44" s="88" t="s">
        <v>601</v>
      </c>
    </row>
    <row r="45" spans="6:19" x14ac:dyDescent="0.25">
      <c r="L45" s="52" t="s">
        <v>38</v>
      </c>
      <c r="M45" s="52" t="s">
        <v>39</v>
      </c>
      <c r="S45" s="88" t="s">
        <v>602</v>
      </c>
    </row>
    <row r="46" spans="6:19" x14ac:dyDescent="0.25">
      <c r="L46" s="52" t="s">
        <v>40</v>
      </c>
      <c r="M46" s="52" t="s">
        <v>41</v>
      </c>
      <c r="S46" s="88" t="s">
        <v>603</v>
      </c>
    </row>
    <row r="47" spans="6:19" x14ac:dyDescent="0.25">
      <c r="L47" s="52" t="s">
        <v>42</v>
      </c>
      <c r="M47" s="52" t="s">
        <v>43</v>
      </c>
      <c r="S47" s="88" t="s">
        <v>604</v>
      </c>
    </row>
    <row r="48" spans="6:19" x14ac:dyDescent="0.25">
      <c r="L48" s="52" t="s">
        <v>44</v>
      </c>
      <c r="M48" s="52" t="s">
        <v>45</v>
      </c>
      <c r="S48" s="88" t="s">
        <v>605</v>
      </c>
    </row>
    <row r="49" spans="12:19" x14ac:dyDescent="0.25">
      <c r="L49" s="52" t="s">
        <v>46</v>
      </c>
      <c r="M49" s="52" t="s">
        <v>47</v>
      </c>
      <c r="S49" s="88" t="s">
        <v>606</v>
      </c>
    </row>
    <row r="50" spans="12:19" x14ac:dyDescent="0.25">
      <c r="L50" s="52" t="s">
        <v>48</v>
      </c>
      <c r="M50" s="52" t="s">
        <v>49</v>
      </c>
      <c r="S50" s="88" t="s">
        <v>607</v>
      </c>
    </row>
    <row r="51" spans="12:19" x14ac:dyDescent="0.25">
      <c r="L51" s="52" t="s">
        <v>50</v>
      </c>
      <c r="M51" s="52" t="s">
        <v>51</v>
      </c>
      <c r="S51" s="88" t="s">
        <v>608</v>
      </c>
    </row>
    <row r="52" spans="12:19" x14ac:dyDescent="0.25">
      <c r="L52" s="52" t="s">
        <v>52</v>
      </c>
      <c r="M52" s="52" t="s">
        <v>53</v>
      </c>
      <c r="S52" s="88" t="s">
        <v>609</v>
      </c>
    </row>
    <row r="53" spans="12:19" x14ac:dyDescent="0.25">
      <c r="L53" s="52" t="s">
        <v>54</v>
      </c>
      <c r="M53" s="52" t="s">
        <v>55</v>
      </c>
      <c r="S53" s="88" t="s">
        <v>610</v>
      </c>
    </row>
    <row r="54" spans="12:19" x14ac:dyDescent="0.25">
      <c r="L54" s="52" t="s">
        <v>56</v>
      </c>
      <c r="M54" s="52" t="s">
        <v>57</v>
      </c>
      <c r="S54" s="88" t="s">
        <v>611</v>
      </c>
    </row>
    <row r="55" spans="12:19" x14ac:dyDescent="0.25">
      <c r="L55" s="52" t="s">
        <v>58</v>
      </c>
      <c r="M55" s="52" t="s">
        <v>59</v>
      </c>
      <c r="S55" s="88" t="s">
        <v>612</v>
      </c>
    </row>
    <row r="56" spans="12:19" x14ac:dyDescent="0.25">
      <c r="L56" s="52" t="s">
        <v>60</v>
      </c>
      <c r="M56" s="52" t="s">
        <v>61</v>
      </c>
      <c r="S56" s="88" t="s">
        <v>613</v>
      </c>
    </row>
    <row r="57" spans="12:19" x14ac:dyDescent="0.25">
      <c r="L57" s="52" t="s">
        <v>62</v>
      </c>
      <c r="M57" s="52" t="s">
        <v>63</v>
      </c>
      <c r="S57" s="88" t="s">
        <v>614</v>
      </c>
    </row>
    <row r="58" spans="12:19" x14ac:dyDescent="0.25">
      <c r="L58" s="52" t="s">
        <v>64</v>
      </c>
      <c r="M58" s="52" t="s">
        <v>65</v>
      </c>
      <c r="S58" s="88" t="s">
        <v>615</v>
      </c>
    </row>
    <row r="59" spans="12:19" x14ac:dyDescent="0.25">
      <c r="L59" s="52" t="s">
        <v>66</v>
      </c>
      <c r="M59" s="52" t="s">
        <v>67</v>
      </c>
      <c r="S59" s="88" t="s">
        <v>616</v>
      </c>
    </row>
    <row r="60" spans="12:19" x14ac:dyDescent="0.25">
      <c r="L60" s="52" t="s">
        <v>68</v>
      </c>
      <c r="M60" s="52" t="s">
        <v>69</v>
      </c>
      <c r="S60" s="88" t="s">
        <v>617</v>
      </c>
    </row>
    <row r="61" spans="12:19" x14ac:dyDescent="0.25">
      <c r="L61" s="52" t="s">
        <v>70</v>
      </c>
      <c r="M61" s="52" t="s">
        <v>71</v>
      </c>
      <c r="S61" s="88" t="s">
        <v>618</v>
      </c>
    </row>
    <row r="62" spans="12:19" x14ac:dyDescent="0.25">
      <c r="L62" s="52" t="s">
        <v>72</v>
      </c>
      <c r="M62" s="52" t="s">
        <v>73</v>
      </c>
      <c r="S62" s="88" t="s">
        <v>619</v>
      </c>
    </row>
    <row r="63" spans="12:19" x14ac:dyDescent="0.25">
      <c r="L63" s="52" t="s">
        <v>74</v>
      </c>
      <c r="M63" s="52" t="s">
        <v>75</v>
      </c>
      <c r="S63" s="88" t="s">
        <v>620</v>
      </c>
    </row>
    <row r="64" spans="12:19" x14ac:dyDescent="0.25">
      <c r="L64" s="52" t="s">
        <v>76</v>
      </c>
      <c r="M64" s="52" t="s">
        <v>77</v>
      </c>
      <c r="S64" s="88" t="s">
        <v>621</v>
      </c>
    </row>
    <row r="65" spans="12:19" x14ac:dyDescent="0.25">
      <c r="L65" s="52" t="s">
        <v>78</v>
      </c>
      <c r="M65" s="52" t="s">
        <v>79</v>
      </c>
      <c r="S65" s="88" t="s">
        <v>622</v>
      </c>
    </row>
    <row r="66" spans="12:19" x14ac:dyDescent="0.25">
      <c r="L66" s="52" t="s">
        <v>80</v>
      </c>
      <c r="M66" s="52" t="s">
        <v>81</v>
      </c>
      <c r="S66" s="88" t="s">
        <v>623</v>
      </c>
    </row>
    <row r="67" spans="12:19" x14ac:dyDescent="0.25">
      <c r="L67" s="52" t="s">
        <v>82</v>
      </c>
      <c r="M67" s="52" t="s">
        <v>83</v>
      </c>
      <c r="S67" s="88" t="s">
        <v>624</v>
      </c>
    </row>
    <row r="68" spans="12:19" x14ac:dyDescent="0.25">
      <c r="L68" s="52" t="s">
        <v>84</v>
      </c>
      <c r="M68" s="52" t="s">
        <v>85</v>
      </c>
      <c r="S68" s="88" t="s">
        <v>625</v>
      </c>
    </row>
    <row r="69" spans="12:19" x14ac:dyDescent="0.25">
      <c r="L69" s="52" t="s">
        <v>86</v>
      </c>
      <c r="M69" s="52" t="s">
        <v>87</v>
      </c>
      <c r="S69" s="88" t="s">
        <v>626</v>
      </c>
    </row>
    <row r="70" spans="12:19" x14ac:dyDescent="0.25">
      <c r="L70" s="52" t="s">
        <v>88</v>
      </c>
      <c r="M70" s="52" t="s">
        <v>89</v>
      </c>
      <c r="S70" s="88" t="s">
        <v>627</v>
      </c>
    </row>
    <row r="71" spans="12:19" x14ac:dyDescent="0.25">
      <c r="L71" s="52" t="s">
        <v>90</v>
      </c>
      <c r="M71" s="52" t="s">
        <v>91</v>
      </c>
      <c r="S71" s="88" t="s">
        <v>628</v>
      </c>
    </row>
    <row r="72" spans="12:19" x14ac:dyDescent="0.25">
      <c r="L72" s="52" t="s">
        <v>92</v>
      </c>
      <c r="M72" s="52" t="s">
        <v>93</v>
      </c>
      <c r="S72" s="88" t="s">
        <v>629</v>
      </c>
    </row>
    <row r="73" spans="12:19" x14ac:dyDescent="0.25">
      <c r="L73" s="52" t="s">
        <v>94</v>
      </c>
      <c r="M73" s="52" t="s">
        <v>95</v>
      </c>
      <c r="S73" s="88" t="s">
        <v>630</v>
      </c>
    </row>
    <row r="74" spans="12:19" x14ac:dyDescent="0.25">
      <c r="L74" s="52" t="s">
        <v>96</v>
      </c>
      <c r="M74" s="52" t="s">
        <v>97</v>
      </c>
      <c r="S74" s="88" t="s">
        <v>631</v>
      </c>
    </row>
    <row r="75" spans="12:19" x14ac:dyDescent="0.25">
      <c r="L75" s="52" t="s">
        <v>98</v>
      </c>
      <c r="M75" s="52" t="s">
        <v>99</v>
      </c>
      <c r="S75" s="88" t="s">
        <v>632</v>
      </c>
    </row>
    <row r="76" spans="12:19" x14ac:dyDescent="0.25">
      <c r="L76" s="52" t="s">
        <v>100</v>
      </c>
      <c r="M76" s="52" t="s">
        <v>101</v>
      </c>
      <c r="S76" s="88" t="s">
        <v>633</v>
      </c>
    </row>
    <row r="77" spans="12:19" x14ac:dyDescent="0.25">
      <c r="L77" s="52" t="s">
        <v>102</v>
      </c>
      <c r="M77" s="52" t="s">
        <v>103</v>
      </c>
      <c r="S77" s="88" t="s">
        <v>634</v>
      </c>
    </row>
    <row r="78" spans="12:19" x14ac:dyDescent="0.25">
      <c r="L78" s="52" t="s">
        <v>104</v>
      </c>
      <c r="M78" s="52" t="s">
        <v>105</v>
      </c>
      <c r="S78" s="88" t="s">
        <v>635</v>
      </c>
    </row>
    <row r="79" spans="12:19" x14ac:dyDescent="0.25">
      <c r="L79" s="52" t="s">
        <v>106</v>
      </c>
      <c r="M79" s="52" t="s">
        <v>107</v>
      </c>
      <c r="S79" s="88" t="s">
        <v>636</v>
      </c>
    </row>
    <row r="80" spans="12:19" x14ac:dyDescent="0.25">
      <c r="L80" s="52" t="s">
        <v>108</v>
      </c>
      <c r="M80" s="52" t="s">
        <v>109</v>
      </c>
      <c r="S80" s="88" t="s">
        <v>637</v>
      </c>
    </row>
    <row r="81" spans="12:19" x14ac:dyDescent="0.25">
      <c r="L81" s="52" t="s">
        <v>110</v>
      </c>
      <c r="M81" s="52" t="s">
        <v>111</v>
      </c>
      <c r="S81" s="88" t="s">
        <v>638</v>
      </c>
    </row>
    <row r="82" spans="12:19" x14ac:dyDescent="0.25">
      <c r="L82" s="52" t="s">
        <v>112</v>
      </c>
      <c r="M82" s="52" t="s">
        <v>113</v>
      </c>
      <c r="S82" s="88" t="s">
        <v>639</v>
      </c>
    </row>
    <row r="83" spans="12:19" x14ac:dyDescent="0.25">
      <c r="L83" s="52" t="s">
        <v>114</v>
      </c>
      <c r="M83" s="52" t="s">
        <v>115</v>
      </c>
      <c r="S83" s="88" t="s">
        <v>640</v>
      </c>
    </row>
    <row r="84" spans="12:19" x14ac:dyDescent="0.25">
      <c r="L84" s="52" t="s">
        <v>116</v>
      </c>
      <c r="M84" s="52" t="s">
        <v>117</v>
      </c>
      <c r="S84" s="88" t="s">
        <v>641</v>
      </c>
    </row>
    <row r="85" spans="12:19" x14ac:dyDescent="0.25">
      <c r="L85" s="52" t="s">
        <v>118</v>
      </c>
      <c r="M85" s="52" t="s">
        <v>119</v>
      </c>
      <c r="S85" s="88" t="s">
        <v>642</v>
      </c>
    </row>
    <row r="86" spans="12:19" x14ac:dyDescent="0.25">
      <c r="L86" s="52" t="s">
        <v>120</v>
      </c>
      <c r="M86" s="52" t="s">
        <v>121</v>
      </c>
    </row>
    <row r="87" spans="12:19" x14ac:dyDescent="0.25">
      <c r="L87" s="52" t="s">
        <v>122</v>
      </c>
      <c r="M87" s="52" t="s">
        <v>123</v>
      </c>
    </row>
    <row r="88" spans="12:19" x14ac:dyDescent="0.25">
      <c r="L88" s="52" t="s">
        <v>124</v>
      </c>
      <c r="M88" s="52" t="s">
        <v>125</v>
      </c>
    </row>
    <row r="89" spans="12:19" x14ac:dyDescent="0.25">
      <c r="L89" s="52" t="s">
        <v>126</v>
      </c>
      <c r="M89" s="52" t="s">
        <v>127</v>
      </c>
    </row>
    <row r="90" spans="12:19" x14ac:dyDescent="0.25">
      <c r="L90" s="52" t="s">
        <v>128</v>
      </c>
      <c r="M90" s="52" t="s">
        <v>129</v>
      </c>
    </row>
    <row r="91" spans="12:19" x14ac:dyDescent="0.25">
      <c r="L91" s="52" t="s">
        <v>130</v>
      </c>
      <c r="M91" s="52" t="s">
        <v>131</v>
      </c>
    </row>
    <row r="92" spans="12:19" x14ac:dyDescent="0.25">
      <c r="L92" s="52" t="s">
        <v>132</v>
      </c>
      <c r="M92" s="52" t="s">
        <v>133</v>
      </c>
    </row>
    <row r="93" spans="12:19" x14ac:dyDescent="0.25">
      <c r="L93" s="52" t="s">
        <v>134</v>
      </c>
      <c r="M93" s="52" t="s">
        <v>135</v>
      </c>
    </row>
    <row r="94" spans="12:19" x14ac:dyDescent="0.25">
      <c r="L94" s="52" t="s">
        <v>136</v>
      </c>
      <c r="M94" s="52" t="s">
        <v>137</v>
      </c>
    </row>
    <row r="95" spans="12:19" x14ac:dyDescent="0.25">
      <c r="L95" s="52" t="s">
        <v>138</v>
      </c>
      <c r="M95" s="52" t="s">
        <v>139</v>
      </c>
    </row>
    <row r="96" spans="12:19" x14ac:dyDescent="0.25">
      <c r="L96" s="52" t="s">
        <v>140</v>
      </c>
      <c r="M96" s="52" t="s">
        <v>141</v>
      </c>
    </row>
    <row r="97" spans="12:13" x14ac:dyDescent="0.25">
      <c r="L97" s="52" t="s">
        <v>142</v>
      </c>
      <c r="M97" s="52" t="s">
        <v>143</v>
      </c>
    </row>
    <row r="98" spans="12:13" x14ac:dyDescent="0.25">
      <c r="L98" s="52" t="s">
        <v>144</v>
      </c>
      <c r="M98" s="52" t="s">
        <v>145</v>
      </c>
    </row>
    <row r="99" spans="12:13" x14ac:dyDescent="0.25">
      <c r="L99" s="52" t="s">
        <v>146</v>
      </c>
      <c r="M99" s="52" t="s">
        <v>147</v>
      </c>
    </row>
    <row r="100" spans="12:13" x14ac:dyDescent="0.25">
      <c r="L100" s="52" t="s">
        <v>148</v>
      </c>
      <c r="M100" s="52" t="s">
        <v>149</v>
      </c>
    </row>
    <row r="101" spans="12:13" x14ac:dyDescent="0.25">
      <c r="L101" s="52" t="s">
        <v>150</v>
      </c>
      <c r="M101" s="52" t="s">
        <v>151</v>
      </c>
    </row>
    <row r="102" spans="12:13" x14ac:dyDescent="0.25">
      <c r="L102" s="52" t="s">
        <v>152</v>
      </c>
      <c r="M102" s="52" t="s">
        <v>153</v>
      </c>
    </row>
    <row r="103" spans="12:13" x14ac:dyDescent="0.25">
      <c r="L103" s="52" t="s">
        <v>154</v>
      </c>
      <c r="M103" s="52" t="s">
        <v>155</v>
      </c>
    </row>
    <row r="104" spans="12:13" x14ac:dyDescent="0.25">
      <c r="L104" s="52" t="s">
        <v>156</v>
      </c>
      <c r="M104" s="52" t="s">
        <v>157</v>
      </c>
    </row>
    <row r="105" spans="12:13" x14ac:dyDescent="0.25">
      <c r="L105" s="52" t="s">
        <v>158</v>
      </c>
      <c r="M105" s="52" t="s">
        <v>159</v>
      </c>
    </row>
    <row r="106" spans="12:13" x14ac:dyDescent="0.25">
      <c r="L106" s="52" t="s">
        <v>160</v>
      </c>
      <c r="M106" s="52" t="s">
        <v>161</v>
      </c>
    </row>
    <row r="107" spans="12:13" x14ac:dyDescent="0.25">
      <c r="L107" s="52" t="s">
        <v>162</v>
      </c>
      <c r="M107" s="52" t="s">
        <v>163</v>
      </c>
    </row>
    <row r="108" spans="12:13" x14ac:dyDescent="0.25">
      <c r="L108" s="52" t="s">
        <v>164</v>
      </c>
      <c r="M108" s="52" t="s">
        <v>165</v>
      </c>
    </row>
    <row r="109" spans="12:13" x14ac:dyDescent="0.25">
      <c r="L109" s="52" t="s">
        <v>166</v>
      </c>
      <c r="M109" s="52" t="s">
        <v>167</v>
      </c>
    </row>
    <row r="110" spans="12:13" x14ac:dyDescent="0.25">
      <c r="L110" s="52" t="s">
        <v>168</v>
      </c>
      <c r="M110" s="52" t="s">
        <v>169</v>
      </c>
    </row>
    <row r="111" spans="12:13" x14ac:dyDescent="0.25">
      <c r="L111" s="52" t="s">
        <v>170</v>
      </c>
      <c r="M111" s="52" t="s">
        <v>171</v>
      </c>
    </row>
    <row r="112" spans="12:13" x14ac:dyDescent="0.25">
      <c r="L112" s="52" t="s">
        <v>172</v>
      </c>
      <c r="M112" s="52" t="s">
        <v>173</v>
      </c>
    </row>
    <row r="113" spans="12:13" x14ac:dyDescent="0.25">
      <c r="L113" s="52" t="s">
        <v>174</v>
      </c>
      <c r="M113" s="52" t="s">
        <v>175</v>
      </c>
    </row>
    <row r="114" spans="12:13" x14ac:dyDescent="0.25">
      <c r="L114" s="52" t="s">
        <v>176</v>
      </c>
      <c r="M114" s="52" t="s">
        <v>177</v>
      </c>
    </row>
    <row r="115" spans="12:13" x14ac:dyDescent="0.25">
      <c r="L115" s="52" t="s">
        <v>178</v>
      </c>
      <c r="M115" s="52" t="s">
        <v>179</v>
      </c>
    </row>
    <row r="116" spans="12:13" x14ac:dyDescent="0.25">
      <c r="L116" s="52" t="s">
        <v>180</v>
      </c>
      <c r="M116" s="52" t="s">
        <v>181</v>
      </c>
    </row>
    <row r="117" spans="12:13" x14ac:dyDescent="0.25">
      <c r="L117" s="52" t="s">
        <v>182</v>
      </c>
      <c r="M117" s="52" t="s">
        <v>183</v>
      </c>
    </row>
    <row r="118" spans="12:13" x14ac:dyDescent="0.25">
      <c r="L118" s="52" t="s">
        <v>184</v>
      </c>
      <c r="M118" s="52" t="s">
        <v>185</v>
      </c>
    </row>
    <row r="119" spans="12:13" x14ac:dyDescent="0.25">
      <c r="L119" s="52" t="s">
        <v>186</v>
      </c>
      <c r="M119" s="52" t="s">
        <v>187</v>
      </c>
    </row>
    <row r="120" spans="12:13" x14ac:dyDescent="0.25">
      <c r="L120" s="52" t="s">
        <v>188</v>
      </c>
      <c r="M120" s="52" t="s">
        <v>189</v>
      </c>
    </row>
    <row r="121" spans="12:13" x14ac:dyDescent="0.25">
      <c r="L121" s="52" t="s">
        <v>190</v>
      </c>
      <c r="M121" s="52" t="s">
        <v>191</v>
      </c>
    </row>
    <row r="122" spans="12:13" x14ac:dyDescent="0.25">
      <c r="L122" s="52" t="s">
        <v>192</v>
      </c>
      <c r="M122" s="52" t="s">
        <v>193</v>
      </c>
    </row>
    <row r="123" spans="12:13" x14ac:dyDescent="0.25">
      <c r="L123" s="52" t="s">
        <v>194</v>
      </c>
      <c r="M123" s="52" t="s">
        <v>195</v>
      </c>
    </row>
    <row r="124" spans="12:13" x14ac:dyDescent="0.25">
      <c r="L124" s="52" t="s">
        <v>196</v>
      </c>
      <c r="M124" s="52" t="s">
        <v>197</v>
      </c>
    </row>
    <row r="125" spans="12:13" x14ac:dyDescent="0.25">
      <c r="L125" s="52" t="s">
        <v>198</v>
      </c>
      <c r="M125" s="52" t="s">
        <v>199</v>
      </c>
    </row>
    <row r="126" spans="12:13" x14ac:dyDescent="0.25">
      <c r="L126" s="52" t="s">
        <v>200</v>
      </c>
      <c r="M126" s="52" t="s">
        <v>201</v>
      </c>
    </row>
    <row r="127" spans="12:13" x14ac:dyDescent="0.25">
      <c r="L127" s="52" t="s">
        <v>202</v>
      </c>
      <c r="M127" s="52" t="s">
        <v>203</v>
      </c>
    </row>
    <row r="128" spans="12:13" x14ac:dyDescent="0.25">
      <c r="L128" s="52" t="s">
        <v>204</v>
      </c>
      <c r="M128" s="52" t="s">
        <v>205</v>
      </c>
    </row>
    <row r="129" spans="12:13" x14ac:dyDescent="0.25">
      <c r="L129" s="52" t="s">
        <v>206</v>
      </c>
      <c r="M129" s="52" t="s">
        <v>207</v>
      </c>
    </row>
    <row r="130" spans="12:13" x14ac:dyDescent="0.25">
      <c r="L130" s="52" t="s">
        <v>208</v>
      </c>
      <c r="M130" s="52" t="s">
        <v>209</v>
      </c>
    </row>
    <row r="131" spans="12:13" x14ac:dyDescent="0.25">
      <c r="L131" s="52" t="s">
        <v>210</v>
      </c>
      <c r="M131" s="52" t="s">
        <v>211</v>
      </c>
    </row>
    <row r="132" spans="12:13" x14ac:dyDescent="0.25">
      <c r="L132" s="52" t="s">
        <v>212</v>
      </c>
      <c r="M132" s="52" t="s">
        <v>213</v>
      </c>
    </row>
    <row r="133" spans="12:13" x14ac:dyDescent="0.25">
      <c r="L133" s="52" t="s">
        <v>214</v>
      </c>
      <c r="M133" s="52" t="s">
        <v>215</v>
      </c>
    </row>
    <row r="134" spans="12:13" x14ac:dyDescent="0.25">
      <c r="L134" s="52" t="s">
        <v>216</v>
      </c>
      <c r="M134" s="52" t="s">
        <v>217</v>
      </c>
    </row>
    <row r="135" spans="12:13" x14ac:dyDescent="0.25">
      <c r="L135" s="52" t="s">
        <v>218</v>
      </c>
      <c r="M135" s="52" t="s">
        <v>219</v>
      </c>
    </row>
    <row r="136" spans="12:13" x14ac:dyDescent="0.25">
      <c r="L136" s="52" t="s">
        <v>220</v>
      </c>
      <c r="M136" s="52" t="s">
        <v>221</v>
      </c>
    </row>
    <row r="137" spans="12:13" x14ac:dyDescent="0.25">
      <c r="L137" s="52" t="s">
        <v>222</v>
      </c>
      <c r="M137" s="52" t="s">
        <v>223</v>
      </c>
    </row>
    <row r="138" spans="12:13" x14ac:dyDescent="0.25">
      <c r="L138" s="52" t="s">
        <v>224</v>
      </c>
      <c r="M138" s="52" t="s">
        <v>225</v>
      </c>
    </row>
    <row r="139" spans="12:13" x14ac:dyDescent="0.25">
      <c r="L139" s="52" t="s">
        <v>226</v>
      </c>
      <c r="M139" s="52" t="s">
        <v>227</v>
      </c>
    </row>
    <row r="140" spans="12:13" x14ac:dyDescent="0.25">
      <c r="L140" s="52" t="s">
        <v>228</v>
      </c>
      <c r="M140" s="52" t="s">
        <v>229</v>
      </c>
    </row>
    <row r="141" spans="12:13" x14ac:dyDescent="0.25">
      <c r="L141" s="52" t="s">
        <v>230</v>
      </c>
      <c r="M141" s="52" t="s">
        <v>231</v>
      </c>
    </row>
    <row r="142" spans="12:13" x14ac:dyDescent="0.25">
      <c r="L142" s="52" t="s">
        <v>232</v>
      </c>
      <c r="M142" s="52" t="s">
        <v>233</v>
      </c>
    </row>
    <row r="143" spans="12:13" x14ac:dyDescent="0.25">
      <c r="L143" s="52" t="s">
        <v>234</v>
      </c>
      <c r="M143" s="52" t="s">
        <v>235</v>
      </c>
    </row>
    <row r="144" spans="12:13" x14ac:dyDescent="0.25">
      <c r="L144" s="52" t="s">
        <v>236</v>
      </c>
      <c r="M144" s="52" t="s">
        <v>237</v>
      </c>
    </row>
    <row r="145" spans="12:13" x14ac:dyDescent="0.25">
      <c r="L145" s="52" t="s">
        <v>238</v>
      </c>
      <c r="M145" s="52" t="s">
        <v>239</v>
      </c>
    </row>
    <row r="146" spans="12:13" x14ac:dyDescent="0.25">
      <c r="L146" s="52" t="s">
        <v>240</v>
      </c>
      <c r="M146" s="52" t="s">
        <v>241</v>
      </c>
    </row>
    <row r="147" spans="12:13" x14ac:dyDescent="0.25">
      <c r="L147" s="52" t="s">
        <v>242</v>
      </c>
      <c r="M147" s="52" t="s">
        <v>243</v>
      </c>
    </row>
    <row r="148" spans="12:13" x14ac:dyDescent="0.25">
      <c r="L148" s="52" t="s">
        <v>244</v>
      </c>
      <c r="M148" s="52" t="s">
        <v>245</v>
      </c>
    </row>
    <row r="149" spans="12:13" x14ac:dyDescent="0.25">
      <c r="L149" s="52" t="s">
        <v>246</v>
      </c>
      <c r="M149" s="52" t="s">
        <v>247</v>
      </c>
    </row>
    <row r="150" spans="12:13" x14ac:dyDescent="0.25">
      <c r="L150" s="52" t="s">
        <v>248</v>
      </c>
      <c r="M150" s="52" t="s">
        <v>249</v>
      </c>
    </row>
    <row r="151" spans="12:13" x14ac:dyDescent="0.25">
      <c r="L151" s="52" t="s">
        <v>250</v>
      </c>
      <c r="M151" s="52" t="s">
        <v>251</v>
      </c>
    </row>
    <row r="152" spans="12:13" x14ac:dyDescent="0.25">
      <c r="L152" s="52" t="s">
        <v>252</v>
      </c>
      <c r="M152" s="52" t="s">
        <v>253</v>
      </c>
    </row>
    <row r="153" spans="12:13" x14ac:dyDescent="0.25">
      <c r="L153" s="52" t="s">
        <v>254</v>
      </c>
      <c r="M153" s="52" t="s">
        <v>255</v>
      </c>
    </row>
    <row r="154" spans="12:13" x14ac:dyDescent="0.25">
      <c r="L154" s="52" t="s">
        <v>256</v>
      </c>
      <c r="M154" s="52" t="s">
        <v>257</v>
      </c>
    </row>
    <row r="155" spans="12:13" x14ac:dyDescent="0.25">
      <c r="L155" s="52" t="s">
        <v>258</v>
      </c>
      <c r="M155" s="52" t="s">
        <v>259</v>
      </c>
    </row>
    <row r="156" spans="12:13" x14ac:dyDescent="0.25">
      <c r="L156" s="52" t="s">
        <v>260</v>
      </c>
      <c r="M156" s="52" t="s">
        <v>261</v>
      </c>
    </row>
    <row r="157" spans="12:13" x14ac:dyDescent="0.25">
      <c r="L157" s="52" t="s">
        <v>262</v>
      </c>
      <c r="M157" s="52" t="s">
        <v>263</v>
      </c>
    </row>
    <row r="158" spans="12:13" x14ac:dyDescent="0.25">
      <c r="L158" s="52" t="s">
        <v>264</v>
      </c>
      <c r="M158" s="52" t="s">
        <v>265</v>
      </c>
    </row>
    <row r="159" spans="12:13" x14ac:dyDescent="0.25">
      <c r="L159" s="52" t="s">
        <v>266</v>
      </c>
      <c r="M159" s="52" t="s">
        <v>267</v>
      </c>
    </row>
    <row r="160" spans="12:13" x14ac:dyDescent="0.25">
      <c r="L160" s="52" t="s">
        <v>268</v>
      </c>
      <c r="M160" s="52" t="s">
        <v>269</v>
      </c>
    </row>
    <row r="161" spans="12:13" x14ac:dyDescent="0.25">
      <c r="L161" s="52" t="s">
        <v>270</v>
      </c>
      <c r="M161" s="52" t="s">
        <v>271</v>
      </c>
    </row>
    <row r="162" spans="12:13" x14ac:dyDescent="0.25">
      <c r="L162" s="52" t="s">
        <v>272</v>
      </c>
      <c r="M162" s="52" t="s">
        <v>273</v>
      </c>
    </row>
    <row r="163" spans="12:13" x14ac:dyDescent="0.25">
      <c r="L163" s="52" t="s">
        <v>274</v>
      </c>
      <c r="M163" s="52" t="s">
        <v>275</v>
      </c>
    </row>
    <row r="164" spans="12:13" x14ac:dyDescent="0.25">
      <c r="L164" s="52" t="s">
        <v>276</v>
      </c>
      <c r="M164" s="52" t="s">
        <v>277</v>
      </c>
    </row>
    <row r="165" spans="12:13" x14ac:dyDescent="0.25">
      <c r="L165" s="52" t="s">
        <v>278</v>
      </c>
      <c r="M165" s="52" t="s">
        <v>279</v>
      </c>
    </row>
    <row r="166" spans="12:13" x14ac:dyDescent="0.25">
      <c r="L166" s="52" t="s">
        <v>280</v>
      </c>
      <c r="M166" s="52" t="s">
        <v>281</v>
      </c>
    </row>
    <row r="167" spans="12:13" x14ac:dyDescent="0.25">
      <c r="L167" s="52" t="s">
        <v>282</v>
      </c>
      <c r="M167" s="52" t="s">
        <v>283</v>
      </c>
    </row>
    <row r="168" spans="12:13" x14ac:dyDescent="0.25">
      <c r="L168" s="52" t="s">
        <v>284</v>
      </c>
      <c r="M168" s="52" t="s">
        <v>285</v>
      </c>
    </row>
    <row r="169" spans="12:13" x14ac:dyDescent="0.25">
      <c r="L169" s="52" t="s">
        <v>286</v>
      </c>
      <c r="M169" s="52" t="s">
        <v>287</v>
      </c>
    </row>
    <row r="170" spans="12:13" x14ac:dyDescent="0.25">
      <c r="L170" s="52" t="s">
        <v>288</v>
      </c>
      <c r="M170" s="52" t="s">
        <v>289</v>
      </c>
    </row>
    <row r="171" spans="12:13" x14ac:dyDescent="0.25">
      <c r="L171" s="52" t="s">
        <v>290</v>
      </c>
      <c r="M171" s="52" t="s">
        <v>291</v>
      </c>
    </row>
    <row r="172" spans="12:13" x14ac:dyDescent="0.25">
      <c r="L172" s="52" t="s">
        <v>292</v>
      </c>
      <c r="M172" s="52" t="s">
        <v>293</v>
      </c>
    </row>
    <row r="173" spans="12:13" x14ac:dyDescent="0.25">
      <c r="L173" s="52" t="s">
        <v>294</v>
      </c>
      <c r="M173" s="52" t="s">
        <v>295</v>
      </c>
    </row>
    <row r="174" spans="12:13" x14ac:dyDescent="0.25">
      <c r="L174" s="52" t="s">
        <v>296</v>
      </c>
      <c r="M174" s="52" t="s">
        <v>297</v>
      </c>
    </row>
    <row r="175" spans="12:13" x14ac:dyDescent="0.25">
      <c r="L175" s="52" t="s">
        <v>298</v>
      </c>
      <c r="M175" s="52" t="s">
        <v>299</v>
      </c>
    </row>
    <row r="176" spans="12:13" x14ac:dyDescent="0.25">
      <c r="L176" s="52" t="s">
        <v>300</v>
      </c>
      <c r="M176" s="52" t="s">
        <v>301</v>
      </c>
    </row>
    <row r="177" spans="12:13" x14ac:dyDescent="0.25">
      <c r="L177" s="52" t="s">
        <v>302</v>
      </c>
      <c r="M177" s="52" t="s">
        <v>303</v>
      </c>
    </row>
    <row r="178" spans="12:13" x14ac:dyDescent="0.25">
      <c r="L178" s="52" t="s">
        <v>304</v>
      </c>
      <c r="M178" s="52" t="s">
        <v>305</v>
      </c>
    </row>
    <row r="179" spans="12:13" x14ac:dyDescent="0.25">
      <c r="L179" s="52" t="s">
        <v>306</v>
      </c>
      <c r="M179" s="52" t="s">
        <v>307</v>
      </c>
    </row>
    <row r="180" spans="12:13" x14ac:dyDescent="0.25">
      <c r="L180" s="52" t="s">
        <v>308</v>
      </c>
      <c r="M180" s="52" t="s">
        <v>309</v>
      </c>
    </row>
    <row r="181" spans="12:13" x14ac:dyDescent="0.25">
      <c r="L181" s="52" t="s">
        <v>310</v>
      </c>
      <c r="M181" s="52" t="s">
        <v>311</v>
      </c>
    </row>
    <row r="182" spans="12:13" x14ac:dyDescent="0.25">
      <c r="L182" s="52" t="s">
        <v>312</v>
      </c>
      <c r="M182" s="52" t="s">
        <v>313</v>
      </c>
    </row>
    <row r="183" spans="12:13" x14ac:dyDescent="0.25">
      <c r="L183" s="52" t="s">
        <v>314</v>
      </c>
      <c r="M183" s="52" t="s">
        <v>315</v>
      </c>
    </row>
    <row r="184" spans="12:13" x14ac:dyDescent="0.25">
      <c r="L184" s="52" t="s">
        <v>316</v>
      </c>
      <c r="M184" s="52" t="s">
        <v>317</v>
      </c>
    </row>
    <row r="185" spans="12:13" x14ac:dyDescent="0.25">
      <c r="L185" s="52" t="s">
        <v>318</v>
      </c>
      <c r="M185" s="52" t="s">
        <v>319</v>
      </c>
    </row>
    <row r="186" spans="12:13" x14ac:dyDescent="0.25">
      <c r="L186" s="52" t="s">
        <v>320</v>
      </c>
      <c r="M186" s="52" t="s">
        <v>321</v>
      </c>
    </row>
    <row r="187" spans="12:13" x14ac:dyDescent="0.25">
      <c r="L187" s="52" t="s">
        <v>322</v>
      </c>
      <c r="M187" s="52" t="s">
        <v>323</v>
      </c>
    </row>
    <row r="188" spans="12:13" x14ac:dyDescent="0.25">
      <c r="L188" s="52" t="s">
        <v>324</v>
      </c>
      <c r="M188" s="52" t="s">
        <v>325</v>
      </c>
    </row>
    <row r="189" spans="12:13" x14ac:dyDescent="0.25">
      <c r="L189" s="52" t="s">
        <v>326</v>
      </c>
      <c r="M189" s="52" t="s">
        <v>327</v>
      </c>
    </row>
    <row r="190" spans="12:13" x14ac:dyDescent="0.25">
      <c r="L190" s="52" t="s">
        <v>328</v>
      </c>
      <c r="M190" s="52" t="s">
        <v>329</v>
      </c>
    </row>
    <row r="191" spans="12:13" x14ac:dyDescent="0.25">
      <c r="L191" s="52" t="s">
        <v>330</v>
      </c>
      <c r="M191" s="52" t="s">
        <v>331</v>
      </c>
    </row>
    <row r="192" spans="12:13" x14ac:dyDescent="0.25">
      <c r="L192" s="52" t="s">
        <v>332</v>
      </c>
      <c r="M192" s="52" t="s">
        <v>333</v>
      </c>
    </row>
    <row r="193" spans="12:13" x14ac:dyDescent="0.25">
      <c r="L193" s="52" t="s">
        <v>334</v>
      </c>
      <c r="M193" s="52" t="s">
        <v>335</v>
      </c>
    </row>
    <row r="194" spans="12:13" x14ac:dyDescent="0.25">
      <c r="L194" s="52" t="s">
        <v>336</v>
      </c>
      <c r="M194" s="52" t="s">
        <v>337</v>
      </c>
    </row>
    <row r="195" spans="12:13" x14ac:dyDescent="0.25">
      <c r="L195" s="52" t="s">
        <v>338</v>
      </c>
      <c r="M195" s="52" t="s">
        <v>339</v>
      </c>
    </row>
    <row r="196" spans="12:13" x14ac:dyDescent="0.25">
      <c r="L196" s="52" t="s">
        <v>340</v>
      </c>
      <c r="M196" s="52" t="s">
        <v>341</v>
      </c>
    </row>
    <row r="197" spans="12:13" x14ac:dyDescent="0.25">
      <c r="L197" s="52" t="s">
        <v>342</v>
      </c>
      <c r="M197" s="52" t="s">
        <v>343</v>
      </c>
    </row>
    <row r="198" spans="12:13" x14ac:dyDescent="0.25">
      <c r="L198" s="52" t="s">
        <v>344</v>
      </c>
      <c r="M198" s="52" t="s">
        <v>345</v>
      </c>
    </row>
    <row r="199" spans="12:13" x14ac:dyDescent="0.25">
      <c r="L199" s="52" t="s">
        <v>346</v>
      </c>
      <c r="M199" s="52" t="s">
        <v>347</v>
      </c>
    </row>
    <row r="200" spans="12:13" x14ac:dyDescent="0.25">
      <c r="L200" s="52" t="s">
        <v>348</v>
      </c>
      <c r="M200" s="52" t="s">
        <v>349</v>
      </c>
    </row>
    <row r="201" spans="12:13" x14ac:dyDescent="0.25">
      <c r="L201" s="52" t="s">
        <v>350</v>
      </c>
      <c r="M201" s="52" t="s">
        <v>351</v>
      </c>
    </row>
    <row r="202" spans="12:13" x14ac:dyDescent="0.25">
      <c r="L202" s="52" t="s">
        <v>352</v>
      </c>
      <c r="M202" s="52" t="s">
        <v>353</v>
      </c>
    </row>
    <row r="203" spans="12:13" x14ac:dyDescent="0.25">
      <c r="L203" s="52" t="s">
        <v>354</v>
      </c>
      <c r="M203" s="52" t="s">
        <v>355</v>
      </c>
    </row>
    <row r="204" spans="12:13" x14ac:dyDescent="0.25">
      <c r="L204" s="52" t="s">
        <v>356</v>
      </c>
      <c r="M204" s="52" t="s">
        <v>357</v>
      </c>
    </row>
    <row r="205" spans="12:13" x14ac:dyDescent="0.25">
      <c r="L205" s="52" t="s">
        <v>358</v>
      </c>
      <c r="M205" s="52" t="s">
        <v>359</v>
      </c>
    </row>
    <row r="206" spans="12:13" x14ac:dyDescent="0.25">
      <c r="L206" s="52" t="s">
        <v>360</v>
      </c>
      <c r="M206" s="52" t="s">
        <v>361</v>
      </c>
    </row>
    <row r="207" spans="12:13" x14ac:dyDescent="0.25">
      <c r="L207" s="52" t="s">
        <v>362</v>
      </c>
      <c r="M207" s="52" t="s">
        <v>363</v>
      </c>
    </row>
    <row r="208" spans="12:13" x14ac:dyDescent="0.25">
      <c r="L208" s="52" t="s">
        <v>364</v>
      </c>
      <c r="M208" s="52" t="s">
        <v>365</v>
      </c>
    </row>
    <row r="209" spans="12:13" x14ac:dyDescent="0.25">
      <c r="L209" s="52" t="s">
        <v>366</v>
      </c>
      <c r="M209" s="52" t="s">
        <v>367</v>
      </c>
    </row>
    <row r="210" spans="12:13" x14ac:dyDescent="0.25">
      <c r="L210" s="52" t="s">
        <v>368</v>
      </c>
      <c r="M210" s="52" t="s">
        <v>369</v>
      </c>
    </row>
    <row r="211" spans="12:13" x14ac:dyDescent="0.25">
      <c r="L211" s="52" t="s">
        <v>370</v>
      </c>
      <c r="M211" s="52" t="s">
        <v>371</v>
      </c>
    </row>
    <row r="212" spans="12:13" x14ac:dyDescent="0.25">
      <c r="L212" s="52" t="s">
        <v>372</v>
      </c>
      <c r="M212" s="52" t="s">
        <v>373</v>
      </c>
    </row>
    <row r="213" spans="12:13" x14ac:dyDescent="0.25">
      <c r="L213" s="52" t="s">
        <v>374</v>
      </c>
      <c r="M213" s="52" t="s">
        <v>375</v>
      </c>
    </row>
    <row r="214" spans="12:13" x14ac:dyDescent="0.25">
      <c r="L214" s="52" t="s">
        <v>376</v>
      </c>
      <c r="M214" s="52" t="s">
        <v>377</v>
      </c>
    </row>
    <row r="215" spans="12:13" x14ac:dyDescent="0.25">
      <c r="L215" s="52" t="s">
        <v>378</v>
      </c>
      <c r="M215" s="52" t="s">
        <v>379</v>
      </c>
    </row>
    <row r="216" spans="12:13" x14ac:dyDescent="0.25">
      <c r="L216" s="52" t="s">
        <v>380</v>
      </c>
      <c r="M216" s="52" t="s">
        <v>381</v>
      </c>
    </row>
    <row r="217" spans="12:13" x14ac:dyDescent="0.25">
      <c r="L217" s="52" t="s">
        <v>382</v>
      </c>
      <c r="M217" s="52" t="s">
        <v>383</v>
      </c>
    </row>
    <row r="218" spans="12:13" x14ac:dyDescent="0.25">
      <c r="L218" s="52" t="s">
        <v>384</v>
      </c>
      <c r="M218" s="52" t="s">
        <v>385</v>
      </c>
    </row>
    <row r="219" spans="12:13" x14ac:dyDescent="0.25">
      <c r="L219" s="52" t="s">
        <v>386</v>
      </c>
      <c r="M219" s="52" t="s">
        <v>387</v>
      </c>
    </row>
    <row r="220" spans="12:13" x14ac:dyDescent="0.25">
      <c r="L220" s="52" t="s">
        <v>388</v>
      </c>
      <c r="M220" s="52" t="s">
        <v>389</v>
      </c>
    </row>
    <row r="221" spans="12:13" x14ac:dyDescent="0.25">
      <c r="L221" s="52" t="s">
        <v>390</v>
      </c>
      <c r="M221" s="52" t="s">
        <v>391</v>
      </c>
    </row>
    <row r="222" spans="12:13" x14ac:dyDescent="0.25">
      <c r="L222" s="52" t="s">
        <v>392</v>
      </c>
      <c r="M222" s="52" t="s">
        <v>393</v>
      </c>
    </row>
    <row r="223" spans="12:13" x14ac:dyDescent="0.25">
      <c r="L223" s="52" t="s">
        <v>394</v>
      </c>
      <c r="M223" s="52" t="s">
        <v>395</v>
      </c>
    </row>
    <row r="224" spans="12:13" x14ac:dyDescent="0.25">
      <c r="L224" s="52" t="s">
        <v>396</v>
      </c>
      <c r="M224" s="52" t="s">
        <v>397</v>
      </c>
    </row>
    <row r="225" spans="12:13" x14ac:dyDescent="0.25">
      <c r="L225" s="52" t="s">
        <v>398</v>
      </c>
      <c r="M225" s="52" t="s">
        <v>399</v>
      </c>
    </row>
    <row r="226" spans="12:13" x14ac:dyDescent="0.25">
      <c r="L226" s="52" t="s">
        <v>400</v>
      </c>
      <c r="M226" s="52" t="s">
        <v>401</v>
      </c>
    </row>
    <row r="227" spans="12:13" x14ac:dyDescent="0.25">
      <c r="L227" s="52" t="s">
        <v>402</v>
      </c>
      <c r="M227" s="52" t="s">
        <v>403</v>
      </c>
    </row>
    <row r="228" spans="12:13" x14ac:dyDescent="0.25">
      <c r="L228" s="52" t="s">
        <v>404</v>
      </c>
      <c r="M228" s="52" t="s">
        <v>405</v>
      </c>
    </row>
    <row r="229" spans="12:13" x14ac:dyDescent="0.25">
      <c r="L229" s="52" t="s">
        <v>406</v>
      </c>
      <c r="M229" s="52" t="s">
        <v>407</v>
      </c>
    </row>
    <row r="230" spans="12:13" x14ac:dyDescent="0.25">
      <c r="L230" s="52" t="s">
        <v>408</v>
      </c>
      <c r="M230" s="52" t="s">
        <v>409</v>
      </c>
    </row>
    <row r="231" spans="12:13" x14ac:dyDescent="0.25">
      <c r="L231" s="52" t="s">
        <v>410</v>
      </c>
      <c r="M231" s="52" t="s">
        <v>411</v>
      </c>
    </row>
    <row r="232" spans="12:13" x14ac:dyDescent="0.25">
      <c r="L232" s="52" t="s">
        <v>412</v>
      </c>
      <c r="M232" s="52" t="s">
        <v>413</v>
      </c>
    </row>
    <row r="233" spans="12:13" x14ac:dyDescent="0.25">
      <c r="L233" s="52" t="s">
        <v>414</v>
      </c>
      <c r="M233" s="52" t="s">
        <v>415</v>
      </c>
    </row>
    <row r="234" spans="12:13" x14ac:dyDescent="0.25">
      <c r="L234" s="52" t="s">
        <v>416</v>
      </c>
      <c r="M234" s="52" t="s">
        <v>417</v>
      </c>
    </row>
    <row r="235" spans="12:13" x14ac:dyDescent="0.25">
      <c r="L235" s="52" t="s">
        <v>418</v>
      </c>
      <c r="M235" s="52" t="s">
        <v>419</v>
      </c>
    </row>
    <row r="236" spans="12:13" x14ac:dyDescent="0.25">
      <c r="L236" s="52" t="s">
        <v>420</v>
      </c>
      <c r="M236" s="52" t="s">
        <v>421</v>
      </c>
    </row>
    <row r="237" spans="12:13" x14ac:dyDescent="0.25">
      <c r="L237" s="52" t="s">
        <v>422</v>
      </c>
      <c r="M237" s="52" t="s">
        <v>423</v>
      </c>
    </row>
    <row r="238" spans="12:13" x14ac:dyDescent="0.25">
      <c r="L238" s="52" t="s">
        <v>424</v>
      </c>
      <c r="M238" s="52" t="s">
        <v>425</v>
      </c>
    </row>
    <row r="239" spans="12:13" x14ac:dyDescent="0.25">
      <c r="L239" s="52" t="s">
        <v>426</v>
      </c>
      <c r="M239" s="52" t="s">
        <v>427</v>
      </c>
    </row>
    <row r="240" spans="12:13" x14ac:dyDescent="0.25">
      <c r="L240" s="52" t="s">
        <v>428</v>
      </c>
      <c r="M240" s="52" t="s">
        <v>429</v>
      </c>
    </row>
    <row r="241" spans="12:13" x14ac:dyDescent="0.25">
      <c r="L241" s="52" t="s">
        <v>430</v>
      </c>
      <c r="M241" s="52" t="s">
        <v>431</v>
      </c>
    </row>
    <row r="242" spans="12:13" x14ac:dyDescent="0.25">
      <c r="L242" s="52" t="s">
        <v>432</v>
      </c>
      <c r="M242" s="52" t="s">
        <v>433</v>
      </c>
    </row>
    <row r="243" spans="12:13" x14ac:dyDescent="0.25">
      <c r="L243" s="52" t="s">
        <v>434</v>
      </c>
      <c r="M243" s="52" t="s">
        <v>435</v>
      </c>
    </row>
    <row r="244" spans="12:13" x14ac:dyDescent="0.25">
      <c r="L244" s="52" t="s">
        <v>436</v>
      </c>
      <c r="M244" s="52" t="s">
        <v>437</v>
      </c>
    </row>
    <row r="245" spans="12:13" x14ac:dyDescent="0.25">
      <c r="L245" s="52" t="s">
        <v>438</v>
      </c>
      <c r="M245" s="52" t="s">
        <v>439</v>
      </c>
    </row>
    <row r="246" spans="12:13" x14ac:dyDescent="0.25">
      <c r="L246" s="52" t="s">
        <v>440</v>
      </c>
      <c r="M246" s="52" t="s">
        <v>441</v>
      </c>
    </row>
    <row r="247" spans="12:13" x14ac:dyDescent="0.25">
      <c r="L247" s="52" t="s">
        <v>442</v>
      </c>
      <c r="M247" s="52" t="s">
        <v>443</v>
      </c>
    </row>
    <row r="248" spans="12:13" x14ac:dyDescent="0.25">
      <c r="L248" s="52" t="s">
        <v>444</v>
      </c>
      <c r="M248" s="52" t="s">
        <v>445</v>
      </c>
    </row>
    <row r="249" spans="12:13" x14ac:dyDescent="0.25">
      <c r="L249" s="52" t="s">
        <v>446</v>
      </c>
      <c r="M249" s="52" t="s">
        <v>447</v>
      </c>
    </row>
    <row r="250" spans="12:13" x14ac:dyDescent="0.25">
      <c r="L250" s="52" t="s">
        <v>448</v>
      </c>
      <c r="M250" s="52" t="s">
        <v>449</v>
      </c>
    </row>
    <row r="251" spans="12:13" x14ac:dyDescent="0.25">
      <c r="L251" s="52" t="s">
        <v>450</v>
      </c>
      <c r="M251" s="52" t="s">
        <v>451</v>
      </c>
    </row>
    <row r="252" spans="12:13" x14ac:dyDescent="0.25">
      <c r="L252" s="52" t="s">
        <v>452</v>
      </c>
      <c r="M252" s="52" t="s">
        <v>453</v>
      </c>
    </row>
    <row r="253" spans="12:13" x14ac:dyDescent="0.25">
      <c r="L253" s="52" t="s">
        <v>454</v>
      </c>
      <c r="M253" s="52" t="s">
        <v>455</v>
      </c>
    </row>
    <row r="254" spans="12:13" x14ac:dyDescent="0.25">
      <c r="L254" s="52" t="s">
        <v>456</v>
      </c>
      <c r="M254" s="52" t="s">
        <v>457</v>
      </c>
    </row>
    <row r="255" spans="12:13" x14ac:dyDescent="0.25">
      <c r="L255" s="52" t="s">
        <v>458</v>
      </c>
      <c r="M255" s="52" t="s">
        <v>459</v>
      </c>
    </row>
    <row r="256" spans="12:13" x14ac:dyDescent="0.25">
      <c r="L256" s="52" t="s">
        <v>460</v>
      </c>
      <c r="M256" s="52" t="s">
        <v>461</v>
      </c>
    </row>
    <row r="257" spans="12:13" x14ac:dyDescent="0.25">
      <c r="L257" s="52" t="s">
        <v>462</v>
      </c>
      <c r="M257" s="52" t="s">
        <v>463</v>
      </c>
    </row>
    <row r="258" spans="12:13" x14ac:dyDescent="0.25">
      <c r="L258" s="52" t="s">
        <v>464</v>
      </c>
      <c r="M258" s="52" t="s">
        <v>465</v>
      </c>
    </row>
    <row r="259" spans="12:13" x14ac:dyDescent="0.25">
      <c r="L259" s="52" t="s">
        <v>466</v>
      </c>
      <c r="M259" s="52" t="s">
        <v>467</v>
      </c>
    </row>
    <row r="260" spans="12:13" x14ac:dyDescent="0.25">
      <c r="L260" s="52" t="s">
        <v>468</v>
      </c>
      <c r="M260" s="52" t="s">
        <v>469</v>
      </c>
    </row>
    <row r="261" spans="12:13" x14ac:dyDescent="0.25">
      <c r="L261" s="52" t="s">
        <v>470</v>
      </c>
      <c r="M261" s="52" t="s">
        <v>471</v>
      </c>
    </row>
    <row r="262" spans="12:13" x14ac:dyDescent="0.25">
      <c r="L262" s="52" t="s">
        <v>472</v>
      </c>
      <c r="M262" s="52" t="s">
        <v>473</v>
      </c>
    </row>
    <row r="263" spans="12:13" x14ac:dyDescent="0.25">
      <c r="L263" s="52" t="s">
        <v>474</v>
      </c>
      <c r="M263" s="52" t="s">
        <v>475</v>
      </c>
    </row>
    <row r="264" spans="12:13" x14ac:dyDescent="0.25">
      <c r="L264" s="52" t="s">
        <v>476</v>
      </c>
      <c r="M264" s="52" t="s">
        <v>477</v>
      </c>
    </row>
    <row r="265" spans="12:13" x14ac:dyDescent="0.25">
      <c r="L265" s="52" t="s">
        <v>478</v>
      </c>
      <c r="M265" s="52" t="s">
        <v>479</v>
      </c>
    </row>
    <row r="266" spans="12:13" x14ac:dyDescent="0.25">
      <c r="L266" s="52" t="s">
        <v>480</v>
      </c>
      <c r="M266" s="52" t="s">
        <v>481</v>
      </c>
    </row>
    <row r="267" spans="12:13" x14ac:dyDescent="0.25">
      <c r="L267" s="52" t="s">
        <v>482</v>
      </c>
      <c r="M267" s="52" t="s">
        <v>483</v>
      </c>
    </row>
    <row r="268" spans="12:13" x14ac:dyDescent="0.25">
      <c r="L268" s="52" t="s">
        <v>484</v>
      </c>
      <c r="M268" s="52" t="s">
        <v>485</v>
      </c>
    </row>
    <row r="269" spans="12:13" x14ac:dyDescent="0.25">
      <c r="L269" s="52" t="s">
        <v>486</v>
      </c>
      <c r="M269" s="52" t="s">
        <v>487</v>
      </c>
    </row>
    <row r="270" spans="12:13" x14ac:dyDescent="0.25">
      <c r="L270" s="52" t="s">
        <v>488</v>
      </c>
      <c r="M270" s="52" t="s">
        <v>489</v>
      </c>
    </row>
    <row r="271" spans="12:13" x14ac:dyDescent="0.25">
      <c r="L271" s="52" t="s">
        <v>490</v>
      </c>
      <c r="M271" s="52" t="s">
        <v>491</v>
      </c>
    </row>
    <row r="272" spans="12:13" x14ac:dyDescent="0.25">
      <c r="L272" s="52" t="s">
        <v>492</v>
      </c>
      <c r="M272" s="52" t="s">
        <v>493</v>
      </c>
    </row>
    <row r="274" spans="12:12" x14ac:dyDescent="0.25">
      <c r="L274" s="53" t="s">
        <v>495</v>
      </c>
    </row>
    <row r="275" spans="12:12" x14ac:dyDescent="0.25">
      <c r="L275" s="52" t="s">
        <v>496</v>
      </c>
    </row>
    <row r="276" spans="12:12" x14ac:dyDescent="0.25">
      <c r="L276" s="52" t="s">
        <v>497</v>
      </c>
    </row>
    <row r="277" spans="12:12" x14ac:dyDescent="0.25">
      <c r="L277" s="52" t="s">
        <v>498</v>
      </c>
    </row>
    <row r="278" spans="12:12" x14ac:dyDescent="0.25">
      <c r="L278" s="52" t="s">
        <v>499</v>
      </c>
    </row>
    <row r="279" spans="12:12" x14ac:dyDescent="0.25">
      <c r="L279" s="52" t="s">
        <v>500</v>
      </c>
    </row>
    <row r="280" spans="12:12" x14ac:dyDescent="0.25">
      <c r="L280" s="52" t="s">
        <v>501</v>
      </c>
    </row>
    <row r="281" spans="12:12" x14ac:dyDescent="0.25">
      <c r="L281" s="52" t="s">
        <v>502</v>
      </c>
    </row>
    <row r="282" spans="12:12" x14ac:dyDescent="0.25">
      <c r="L282" s="52" t="s">
        <v>503</v>
      </c>
    </row>
    <row r="283" spans="12:12" x14ac:dyDescent="0.25">
      <c r="L283" s="52" t="s">
        <v>504</v>
      </c>
    </row>
    <row r="284" spans="12:12" x14ac:dyDescent="0.25">
      <c r="L284" s="52" t="s">
        <v>505</v>
      </c>
    </row>
    <row r="285" spans="12:12" x14ac:dyDescent="0.25">
      <c r="L285" s="52" t="s">
        <v>506</v>
      </c>
    </row>
    <row r="286" spans="12:12" x14ac:dyDescent="0.25">
      <c r="L286" s="52" t="s">
        <v>507</v>
      </c>
    </row>
    <row r="287" spans="12:12" x14ac:dyDescent="0.25">
      <c r="L287" s="52" t="s">
        <v>508</v>
      </c>
    </row>
    <row r="288" spans="12:12" x14ac:dyDescent="0.25">
      <c r="L288" s="52" t="s">
        <v>509</v>
      </c>
    </row>
    <row r="289" spans="12:12" x14ac:dyDescent="0.25">
      <c r="L289" s="52" t="s">
        <v>510</v>
      </c>
    </row>
    <row r="290" spans="12:12" x14ac:dyDescent="0.25">
      <c r="L290" s="52" t="s">
        <v>511</v>
      </c>
    </row>
    <row r="291" spans="12:12" x14ac:dyDescent="0.25">
      <c r="L291" s="52" t="s">
        <v>512</v>
      </c>
    </row>
    <row r="292" spans="12:12" x14ac:dyDescent="0.25">
      <c r="L292" s="52" t="s">
        <v>513</v>
      </c>
    </row>
    <row r="293" spans="12:12" x14ac:dyDescent="0.25">
      <c r="L293" s="52" t="s">
        <v>514</v>
      </c>
    </row>
    <row r="294" spans="12:12" x14ac:dyDescent="0.25">
      <c r="L294" s="52" t="s">
        <v>515</v>
      </c>
    </row>
    <row r="295" spans="12:12" x14ac:dyDescent="0.25">
      <c r="L295" s="52" t="s">
        <v>516</v>
      </c>
    </row>
    <row r="296" spans="12:12" x14ac:dyDescent="0.25">
      <c r="L296" s="52" t="s">
        <v>517</v>
      </c>
    </row>
    <row r="297" spans="12:12" x14ac:dyDescent="0.25">
      <c r="L297" s="52" t="s">
        <v>518</v>
      </c>
    </row>
    <row r="298" spans="12:12" x14ac:dyDescent="0.25">
      <c r="L298" s="52" t="s">
        <v>519</v>
      </c>
    </row>
    <row r="299" spans="12:12" x14ac:dyDescent="0.25">
      <c r="L299" s="52" t="s">
        <v>520</v>
      </c>
    </row>
    <row r="300" spans="12:12" x14ac:dyDescent="0.25">
      <c r="L300" s="52" t="s">
        <v>521</v>
      </c>
    </row>
    <row r="301" spans="12:12" x14ac:dyDescent="0.25">
      <c r="L301" s="52" t="s">
        <v>522</v>
      </c>
    </row>
    <row r="303" spans="12:12" x14ac:dyDescent="0.25">
      <c r="L303" s="53" t="s">
        <v>523</v>
      </c>
    </row>
    <row r="304" spans="12:12" x14ac:dyDescent="0.25">
      <c r="L304" s="52" t="s">
        <v>524</v>
      </c>
    </row>
    <row r="305" spans="12:12" x14ac:dyDescent="0.25">
      <c r="L305" s="52" t="s">
        <v>525</v>
      </c>
    </row>
    <row r="306" spans="12:12" x14ac:dyDescent="0.25">
      <c r="L306" s="52" t="s">
        <v>526</v>
      </c>
    </row>
    <row r="307" spans="12:12" x14ac:dyDescent="0.25">
      <c r="L307" s="52" t="s">
        <v>527</v>
      </c>
    </row>
    <row r="308" spans="12:12" x14ac:dyDescent="0.25">
      <c r="L308" s="52" t="s">
        <v>528</v>
      </c>
    </row>
    <row r="309" spans="12:12" x14ac:dyDescent="0.25">
      <c r="L309" s="52" t="s">
        <v>529</v>
      </c>
    </row>
    <row r="310" spans="12:12" x14ac:dyDescent="0.25">
      <c r="L310" s="52" t="s">
        <v>530</v>
      </c>
    </row>
    <row r="311" spans="12:12" x14ac:dyDescent="0.25">
      <c r="L311" s="52" t="s">
        <v>531</v>
      </c>
    </row>
    <row r="312" spans="12:12" x14ac:dyDescent="0.25">
      <c r="L312" s="52" t="s">
        <v>532</v>
      </c>
    </row>
    <row r="313" spans="12:12" x14ac:dyDescent="0.25">
      <c r="L313" s="52" t="s">
        <v>533</v>
      </c>
    </row>
    <row r="314" spans="12:12" x14ac:dyDescent="0.25">
      <c r="L314" s="52" t="s">
        <v>534</v>
      </c>
    </row>
    <row r="315" spans="12:12" x14ac:dyDescent="0.25">
      <c r="L315" s="52" t="s">
        <v>535</v>
      </c>
    </row>
    <row r="316" spans="12:12" x14ac:dyDescent="0.25">
      <c r="L316" s="52" t="s">
        <v>536</v>
      </c>
    </row>
    <row r="317" spans="12:12" x14ac:dyDescent="0.25">
      <c r="L317" s="52" t="s">
        <v>537</v>
      </c>
    </row>
    <row r="318" spans="12:12" x14ac:dyDescent="0.25">
      <c r="L318" s="52" t="s">
        <v>538</v>
      </c>
    </row>
    <row r="319" spans="12:12" x14ac:dyDescent="0.25">
      <c r="L319" s="52" t="s">
        <v>539</v>
      </c>
    </row>
    <row r="320" spans="12:12" x14ac:dyDescent="0.25">
      <c r="L320" s="52" t="s">
        <v>540</v>
      </c>
    </row>
    <row r="321" spans="12:12" x14ac:dyDescent="0.25">
      <c r="L321" s="52" t="s">
        <v>541</v>
      </c>
    </row>
    <row r="322" spans="12:12" x14ac:dyDescent="0.25">
      <c r="L322" s="52" t="s">
        <v>542</v>
      </c>
    </row>
  </sheetData>
  <mergeCells count="9">
    <mergeCell ref="C29:F29"/>
    <mergeCell ref="C3:F3"/>
    <mergeCell ref="C16:D16"/>
    <mergeCell ref="C17:D17"/>
    <mergeCell ref="C18:D18"/>
    <mergeCell ref="C19:D19"/>
    <mergeCell ref="C20:D20"/>
    <mergeCell ref="C21:D21"/>
    <mergeCell ref="C15:D15"/>
  </mergeCells>
  <dataValidations count="14">
    <dataValidation type="list" allowBlank="1" showInputMessage="1" showErrorMessage="1" sqref="F24" xr:uid="{00000000-0002-0000-0000-000000000000}">
      <formula1>newMet</formula1>
    </dataValidation>
    <dataValidation type="whole" allowBlank="1" showInputMessage="1" showErrorMessage="1" error="Character are not allowed in this field." sqref="F21" xr:uid="{00000000-0002-0000-0000-000001000000}">
      <formula1>0</formula1>
      <formula2>999999999</formula2>
    </dataValidation>
    <dataValidation allowBlank="1" showInputMessage="1" showErrorMessage="1" error="Year must be four digit." sqref="F15" xr:uid="{00000000-0002-0000-0000-000002000000}"/>
    <dataValidation type="whole" allowBlank="1" showInputMessage="1" showErrorMessage="1" errorTitle="Full time staff " error="Integers are only allowed in this fields_x000a_" sqref="F19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whole" allowBlank="1" showInputMessage="1" showErrorMessage="1" errorTitle="Weekly Operating Hours" error="It can accepts integer values from 1 to 168." sqref="F18" xr:uid="{00000000-0002-0000-0000-000005000000}">
      <formula1>1</formula1>
      <formula2>168</formula2>
    </dataValidation>
    <dataValidation type="whole" allowBlank="1" showInputMessage="1" showErrorMessage="1" errorTitle="Annual ridership " error="Integers are only allowed in this fields_x000a_" sqref="F17" xr:uid="{00000000-0002-0000-0000-000006000000}">
      <formula1>0</formula1>
      <formula2>999999999</formula2>
    </dataValidation>
    <dataValidation type="whole" allowBlank="1" showInputMessage="1" showErrorMessage="1" errorTitle="Average time spent by riders" error="Integers are only allowed in this fields" sqref="F20" xr:uid="{00000000-0002-0000-0000-000007000000}">
      <formula1>0</formula1>
      <formula2>999999999</formula2>
    </dataValidation>
    <dataValidation type="date" operator="lessThanOrEqual" allowBlank="1" showInputMessage="1" showErrorMessage="1" errorTitle="Invalid Date" error="Please enter a valid date" sqref="E16" xr:uid="{D9B908A4-2451-4A11-943E-0F532793F024}">
      <formula1>N16</formula1>
    </dataValidation>
    <dataValidation type="custom" operator="lessThanOrEqual" allowBlank="1" showInputMessage="1" showErrorMessage="1" errorTitle="Read Only Field" error="This field is not required" sqref="E20" xr:uid="{44AB7C9D-23FF-45BF-9D07-B03F722C2ED9}">
      <formula1>U17</formula1>
    </dataValidation>
    <dataValidation type="date" operator="lessThanOrEqual" allowBlank="1" showInputMessage="1" showErrorMessage="1" errorTitle="Invalid Date" error="Please enter a valid date" sqref="E18" xr:uid="{84F78BC4-1008-4191-93D1-F8C36A5B14CE}">
      <formula1>N16</formula1>
    </dataValidation>
    <dataValidation type="date" operator="lessThanOrEqual" allowBlank="1" showInputMessage="1" showErrorMessage="1" errorTitle="Invalid Date" error="Please enter a valid date" sqref="E21" xr:uid="{CC309E38-6F75-436B-9C06-13F143588C1F}">
      <formula1>N16</formula1>
    </dataValidation>
    <dataValidation type="custom" operator="lessThanOrEqual" allowBlank="1" showInputMessage="1" showErrorMessage="1" errorTitle="Read Only Field" error="This field is not required" sqref="E17" xr:uid="{0890D509-CC8F-4224-97D3-7C5BECCB4122}">
      <formula1>U17</formula1>
    </dataValidation>
    <dataValidation type="custom" operator="lessThanOrEqual" allowBlank="1" showInputMessage="1" showErrorMessage="1" errorTitle="Read Only Field" error="This field is not required" sqref="E19" xr:uid="{64FA609A-24A2-4DB9-87E1-152D73256733}">
      <formula1>U17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25</xdr:row>
                    <xdr:rowOff>76200</xdr:rowOff>
                  </from>
                  <to>
                    <xdr:col>3</xdr:col>
                    <xdr:colOff>561975</xdr:colOff>
                    <xdr:row>25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25</xdr:row>
                    <xdr:rowOff>76200</xdr:rowOff>
                  </from>
                  <to>
                    <xdr:col>3</xdr:col>
                    <xdr:colOff>1895475</xdr:colOff>
                    <xdr:row>25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579</v>
      </c>
      <c r="B1" s="6" t="str">
        <f ca="1">MID(CELL("filename",A1),FIND("]",CELL("filename",A1))+1,256)</f>
        <v>base_w</v>
      </c>
      <c r="C1" s="1"/>
      <c r="D1" s="6" t="str">
        <f ca="1">B1</f>
        <v>base_w</v>
      </c>
      <c r="E1" s="1"/>
    </row>
    <row r="2" spans="1:9" x14ac:dyDescent="0.25">
      <c r="A2" s="6" t="s">
        <v>579</v>
      </c>
      <c r="B2" s="99" t="s">
        <v>567</v>
      </c>
      <c r="C2" s="104"/>
      <c r="D2" s="102"/>
      <c r="E2" s="1"/>
    </row>
    <row r="3" spans="1:9" x14ac:dyDescent="0.25">
      <c r="A3" s="6" t="s">
        <v>579</v>
      </c>
      <c r="B3" s="100" t="s">
        <v>665</v>
      </c>
      <c r="C3" s="105"/>
      <c r="D3" s="102" t="s">
        <v>645</v>
      </c>
      <c r="E3" s="1"/>
    </row>
    <row r="4" spans="1:9" x14ac:dyDescent="0.25">
      <c r="A4" s="6" t="s">
        <v>579</v>
      </c>
      <c r="B4" s="100" t="s">
        <v>568</v>
      </c>
      <c r="C4" s="105"/>
      <c r="D4" s="102" t="s">
        <v>527</v>
      </c>
      <c r="E4" s="1"/>
    </row>
    <row r="5" spans="1:9" x14ac:dyDescent="0.25">
      <c r="A5" s="6" t="s">
        <v>579</v>
      </c>
      <c r="B5" s="44" t="s">
        <v>662</v>
      </c>
      <c r="C5" s="106"/>
      <c r="D5" s="98"/>
      <c r="E5" s="1"/>
    </row>
    <row r="6" spans="1:9" ht="24.75" customHeight="1" x14ac:dyDescent="0.25">
      <c r="A6" s="6">
        <v>10</v>
      </c>
      <c r="B6" s="103" t="s">
        <v>546</v>
      </c>
      <c r="C6" s="103" t="s">
        <v>547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3"/>
      <c r="C7" s="43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645</v>
      </c>
    </row>
    <row r="10" spans="1:9" ht="25.5" customHeight="1" x14ac:dyDescent="0.25">
      <c r="A10" s="6" t="s">
        <v>548</v>
      </c>
      <c r="B10" s="34"/>
      <c r="C10" s="34"/>
      <c r="D10" s="34"/>
      <c r="E10" s="1"/>
      <c r="I10" t="s">
        <v>646</v>
      </c>
    </row>
    <row r="11" spans="1:9" x14ac:dyDescent="0.25">
      <c r="I11" t="s">
        <v>647</v>
      </c>
    </row>
    <row r="15" spans="1:9" x14ac:dyDescent="0.25">
      <c r="H15" s="5" t="s">
        <v>527</v>
      </c>
    </row>
    <row r="16" spans="1:9" x14ac:dyDescent="0.25">
      <c r="H16" s="5" t="s">
        <v>530</v>
      </c>
    </row>
    <row r="17" spans="8:8" x14ac:dyDescent="0.25">
      <c r="H17" s="5" t="s">
        <v>549</v>
      </c>
    </row>
    <row r="18" spans="8:8" x14ac:dyDescent="0.25">
      <c r="H18" s="5" t="s">
        <v>550</v>
      </c>
    </row>
    <row r="19" spans="8:8" x14ac:dyDescent="0.25">
      <c r="H19" s="5" t="s">
        <v>524</v>
      </c>
    </row>
    <row r="20" spans="8:8" x14ac:dyDescent="0.25">
      <c r="H20" s="5" t="s">
        <v>529</v>
      </c>
    </row>
    <row r="21" spans="8:8" x14ac:dyDescent="0.25">
      <c r="H21" s="5" t="s">
        <v>544</v>
      </c>
    </row>
    <row r="22" spans="8:8" x14ac:dyDescent="0.25">
      <c r="H22" s="5" t="s">
        <v>563</v>
      </c>
    </row>
    <row r="23" spans="8:8" x14ac:dyDescent="0.25">
      <c r="H23" s="5" t="s">
        <v>526</v>
      </c>
    </row>
    <row r="24" spans="8:8" x14ac:dyDescent="0.25">
      <c r="H24" s="3" t="s">
        <v>545</v>
      </c>
    </row>
    <row r="25" spans="8:8" x14ac:dyDescent="0.25">
      <c r="H25" s="3" t="s">
        <v>564</v>
      </c>
    </row>
    <row r="26" spans="8:8" x14ac:dyDescent="0.25">
      <c r="H26" s="3" t="s">
        <v>565</v>
      </c>
    </row>
    <row r="27" spans="8:8" x14ac:dyDescent="0.25">
      <c r="H27" s="5" t="s">
        <v>648</v>
      </c>
    </row>
    <row r="28" spans="8:8" x14ac:dyDescent="0.25">
      <c r="H28" s="5" t="s">
        <v>649</v>
      </c>
    </row>
    <row r="29" spans="8:8" x14ac:dyDescent="0.25">
      <c r="H29" s="5" t="s">
        <v>643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uUluxXp8l12/WOnx9aqwFPn62icbP93RlH2V+w4EaDv8P80qL1q2G6EXqDuU8hEyA46aa6zfBNgO8h47DYm8jA==" saltValue="LQ6HQ4bdTbmw6YWhgN+c5w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10" ht="15" customHeight="1" x14ac:dyDescent="0.25">
      <c r="A1" s="6" t="s">
        <v>579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579</v>
      </c>
      <c r="B2" s="99" t="s">
        <v>567</v>
      </c>
      <c r="C2" s="104"/>
      <c r="D2" s="102"/>
      <c r="E2" s="1"/>
    </row>
    <row r="3" spans="1:10" x14ac:dyDescent="0.25">
      <c r="A3" s="6" t="s">
        <v>579</v>
      </c>
      <c r="B3" s="100" t="s">
        <v>665</v>
      </c>
      <c r="C3" s="105"/>
      <c r="D3" s="102" t="s">
        <v>644</v>
      </c>
      <c r="E3" s="1"/>
    </row>
    <row r="4" spans="1:10" x14ac:dyDescent="0.25">
      <c r="A4" s="6" t="s">
        <v>579</v>
      </c>
      <c r="B4" s="100" t="s">
        <v>568</v>
      </c>
      <c r="C4" s="105"/>
      <c r="D4" s="102" t="s">
        <v>532</v>
      </c>
      <c r="E4" s="1"/>
    </row>
    <row r="5" spans="1:10" x14ac:dyDescent="0.25">
      <c r="A5" s="6" t="s">
        <v>579</v>
      </c>
      <c r="B5" s="44" t="s">
        <v>662</v>
      </c>
      <c r="C5" s="106"/>
      <c r="D5" s="107"/>
      <c r="E5" s="1"/>
    </row>
    <row r="6" spans="1:10" ht="24" customHeight="1" x14ac:dyDescent="0.25">
      <c r="A6" s="6">
        <v>10</v>
      </c>
      <c r="B6" s="103" t="s">
        <v>546</v>
      </c>
      <c r="C6" s="103" t="s">
        <v>547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3"/>
      <c r="C7" s="43"/>
      <c r="D7" s="31"/>
      <c r="E7" s="1"/>
    </row>
    <row r="8" spans="1:10" ht="12.75" customHeight="1" x14ac:dyDescent="0.25">
      <c r="A8" s="28"/>
      <c r="B8" s="33"/>
      <c r="C8" s="33"/>
      <c r="D8" s="36"/>
      <c r="E8" s="1"/>
    </row>
    <row r="9" spans="1:10" ht="13.5" hidden="1" customHeight="1" x14ac:dyDescent="0.25">
      <c r="A9" s="6"/>
      <c r="B9" s="34"/>
      <c r="C9" s="34"/>
      <c r="D9" s="34"/>
      <c r="E9" s="1"/>
      <c r="J9" s="5" t="s">
        <v>644</v>
      </c>
    </row>
    <row r="10" spans="1:10" ht="25.5" customHeight="1" x14ac:dyDescent="0.25">
      <c r="A10" s="6" t="s">
        <v>548</v>
      </c>
      <c r="B10" s="34"/>
      <c r="C10" s="34"/>
      <c r="D10" s="34"/>
      <c r="E10" s="1"/>
      <c r="J10" s="5" t="s">
        <v>670</v>
      </c>
    </row>
    <row r="11" spans="1:10" x14ac:dyDescent="0.25">
      <c r="J11"/>
    </row>
    <row r="15" spans="1:10" x14ac:dyDescent="0.25">
      <c r="G15" s="3" t="s">
        <v>532</v>
      </c>
    </row>
    <row r="16" spans="1:10" x14ac:dyDescent="0.25">
      <c r="G16" s="3" t="s">
        <v>539</v>
      </c>
    </row>
    <row r="17" spans="7:7" x14ac:dyDescent="0.25">
      <c r="G17" s="3" t="s">
        <v>554</v>
      </c>
    </row>
    <row r="18" spans="7:7" x14ac:dyDescent="0.25">
      <c r="G18" s="3" t="s">
        <v>528</v>
      </c>
    </row>
    <row r="19" spans="7:7" x14ac:dyDescent="0.25">
      <c r="G19" s="3" t="s">
        <v>552</v>
      </c>
    </row>
    <row r="21" spans="7:7" x14ac:dyDescent="0.25">
      <c r="G21" s="3" t="s">
        <v>551</v>
      </c>
    </row>
  </sheetData>
  <sheetProtection algorithmName="SHA-512" hashValue="WM3yb2keUDzZMqk+18cgfgLlSPAKJ7L3KbJ5tJwykBRn51M0KYmKn9VQlzrapPgFjJYd+Tjh1en+GG1Kw9VljA==" saltValue="Qwn/OlgCbJtD55eH0qGvXw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7.8554687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579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579</v>
      </c>
      <c r="B2" s="99" t="s">
        <v>567</v>
      </c>
      <c r="C2" s="108"/>
      <c r="D2" s="102"/>
      <c r="E2" s="1"/>
    </row>
    <row r="3" spans="1:24" ht="29.25" customHeight="1" x14ac:dyDescent="0.25">
      <c r="A3" s="6" t="s">
        <v>579</v>
      </c>
      <c r="B3" s="100" t="s">
        <v>569</v>
      </c>
      <c r="C3" s="109"/>
      <c r="D3" s="110" t="s">
        <v>515</v>
      </c>
      <c r="E3" s="1"/>
    </row>
    <row r="4" spans="1:24" ht="15.75" customHeight="1" x14ac:dyDescent="0.25">
      <c r="A4" s="6" t="s">
        <v>579</v>
      </c>
      <c r="B4" s="100" t="s">
        <v>568</v>
      </c>
      <c r="C4" s="12"/>
      <c r="D4" s="111" t="s">
        <v>532</v>
      </c>
      <c r="E4" s="1"/>
    </row>
    <row r="5" spans="1:24" x14ac:dyDescent="0.25">
      <c r="A5" s="6" t="s">
        <v>579</v>
      </c>
      <c r="B5" s="44" t="s">
        <v>662</v>
      </c>
      <c r="C5" s="106"/>
      <c r="D5" s="107"/>
      <c r="E5" s="1"/>
    </row>
    <row r="6" spans="1:24" ht="24" customHeight="1" x14ac:dyDescent="0.25">
      <c r="A6" s="6">
        <v>10</v>
      </c>
      <c r="B6" s="103" t="s">
        <v>546</v>
      </c>
      <c r="C6" s="103" t="s">
        <v>547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3"/>
      <c r="C7" s="43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548</v>
      </c>
      <c r="B10" s="34"/>
      <c r="C10" s="34"/>
      <c r="D10" s="34"/>
      <c r="E10" s="1"/>
      <c r="V10" s="3" t="s">
        <v>561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515</v>
      </c>
      <c r="H19" s="3" t="s">
        <v>532</v>
      </c>
      <c r="I19" s="3" t="s">
        <v>539</v>
      </c>
      <c r="J19" s="3" t="s">
        <v>540</v>
      </c>
      <c r="K19" s="3" t="s">
        <v>528</v>
      </c>
      <c r="L19" s="3" t="s">
        <v>554</v>
      </c>
      <c r="M19" s="3" t="s">
        <v>552</v>
      </c>
      <c r="N19" s="3" t="s">
        <v>526</v>
      </c>
      <c r="O19" s="3" t="s">
        <v>671</v>
      </c>
      <c r="P19" s="3" t="s">
        <v>527</v>
      </c>
      <c r="Q19" s="3" t="s">
        <v>530</v>
      </c>
      <c r="R19" s="3" t="s">
        <v>549</v>
      </c>
      <c r="S19" s="3" t="s">
        <v>550</v>
      </c>
      <c r="T19" s="3" t="s">
        <v>524</v>
      </c>
      <c r="U19" s="3" t="s">
        <v>529</v>
      </c>
      <c r="V19" s="3" t="s">
        <v>544</v>
      </c>
    </row>
    <row r="20" spans="7:22" x14ac:dyDescent="0.25">
      <c r="G20" s="23" t="s">
        <v>517</v>
      </c>
      <c r="H20" s="3" t="s">
        <v>528</v>
      </c>
      <c r="I20" s="3" t="s">
        <v>554</v>
      </c>
      <c r="J20" s="3" t="s">
        <v>542</v>
      </c>
      <c r="K20" s="3" t="s">
        <v>552</v>
      </c>
      <c r="L20" s="3" t="s">
        <v>532</v>
      </c>
      <c r="M20" s="3" t="s">
        <v>539</v>
      </c>
      <c r="O20" s="5"/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516</v>
      </c>
      <c r="H21" s="3" t="s">
        <v>528</v>
      </c>
      <c r="I21" s="3" t="s">
        <v>554</v>
      </c>
      <c r="J21" s="3" t="s">
        <v>550</v>
      </c>
      <c r="K21" s="3" t="s">
        <v>529</v>
      </c>
      <c r="L21" s="3" t="s">
        <v>527</v>
      </c>
      <c r="M21" s="3" t="s">
        <v>545</v>
      </c>
      <c r="N21" s="3" t="s">
        <v>563</v>
      </c>
      <c r="O21" s="3" t="s">
        <v>552</v>
      </c>
      <c r="P21" s="3" t="s">
        <v>532</v>
      </c>
      <c r="Q21" s="3" t="s">
        <v>539</v>
      </c>
      <c r="R21" s="5"/>
      <c r="S21" s="5"/>
      <c r="T21" s="5"/>
      <c r="U21" s="5"/>
      <c r="V21" s="5"/>
    </row>
    <row r="22" spans="7:22" x14ac:dyDescent="0.25">
      <c r="G22" s="23" t="s">
        <v>514</v>
      </c>
      <c r="H22" s="3" t="s">
        <v>528</v>
      </c>
      <c r="I22" s="3" t="s">
        <v>554</v>
      </c>
      <c r="J22" s="3" t="s">
        <v>550</v>
      </c>
      <c r="K22" s="3" t="s">
        <v>529</v>
      </c>
      <c r="L22" s="3" t="s">
        <v>527</v>
      </c>
      <c r="M22" s="3" t="s">
        <v>545</v>
      </c>
      <c r="N22" s="3" t="s">
        <v>563</v>
      </c>
      <c r="O22" s="3" t="s">
        <v>552</v>
      </c>
      <c r="P22" s="3" t="s">
        <v>532</v>
      </c>
      <c r="Q22" s="3" t="s">
        <v>539</v>
      </c>
      <c r="R22" s="5"/>
      <c r="S22" s="5"/>
      <c r="T22" s="5"/>
      <c r="U22" s="5"/>
      <c r="V22" s="5"/>
    </row>
    <row r="23" spans="7:22" x14ac:dyDescent="0.25">
      <c r="G23" s="23" t="s">
        <v>513</v>
      </c>
      <c r="H23" s="3" t="s">
        <v>528</v>
      </c>
      <c r="I23" s="3" t="s">
        <v>554</v>
      </c>
      <c r="J23" s="3" t="s">
        <v>527</v>
      </c>
      <c r="K23" s="3" t="s">
        <v>545</v>
      </c>
      <c r="L23" s="3" t="s">
        <v>563</v>
      </c>
      <c r="M23" s="3" t="s">
        <v>552</v>
      </c>
      <c r="N23" s="3" t="s">
        <v>532</v>
      </c>
      <c r="O23" s="3" t="s">
        <v>539</v>
      </c>
      <c r="P23" s="5"/>
      <c r="Q23" s="5"/>
      <c r="R23" s="5"/>
      <c r="S23" s="5"/>
      <c r="T23" s="5"/>
      <c r="U23" s="5"/>
      <c r="V23" s="5"/>
    </row>
    <row r="24" spans="7:22" x14ac:dyDescent="0.25">
      <c r="G24" s="23" t="s">
        <v>509</v>
      </c>
      <c r="H24" s="3" t="s">
        <v>528</v>
      </c>
      <c r="I24" s="3" t="s">
        <v>554</v>
      </c>
      <c r="J24" s="3" t="s">
        <v>527</v>
      </c>
      <c r="K24" s="3" t="s">
        <v>545</v>
      </c>
      <c r="L24" s="3" t="s">
        <v>563</v>
      </c>
      <c r="M24" s="3" t="s">
        <v>552</v>
      </c>
      <c r="N24" s="3" t="s">
        <v>532</v>
      </c>
      <c r="O24" s="3" t="s">
        <v>539</v>
      </c>
      <c r="P24" s="5"/>
      <c r="Q24" s="5"/>
      <c r="R24" s="5"/>
      <c r="S24" s="5"/>
      <c r="T24" s="5"/>
      <c r="U24" s="5"/>
      <c r="V24" s="5"/>
    </row>
    <row r="25" spans="7:22" x14ac:dyDescent="0.25">
      <c r="G25" s="23" t="s">
        <v>510</v>
      </c>
      <c r="H25" s="3" t="s">
        <v>528</v>
      </c>
      <c r="I25" s="3" t="s">
        <v>554</v>
      </c>
      <c r="J25" s="3" t="s">
        <v>527</v>
      </c>
      <c r="K25" s="3" t="s">
        <v>545</v>
      </c>
      <c r="L25" s="3" t="s">
        <v>563</v>
      </c>
      <c r="M25" s="3" t="s">
        <v>552</v>
      </c>
      <c r="N25" s="3" t="s">
        <v>532</v>
      </c>
      <c r="O25" s="3" t="s">
        <v>539</v>
      </c>
      <c r="P25" s="5"/>
      <c r="Q25" s="5"/>
      <c r="R25" s="5"/>
      <c r="S25" s="5"/>
      <c r="T25" s="5"/>
      <c r="U25" s="5"/>
      <c r="V25" s="5"/>
    </row>
    <row r="26" spans="7:22" x14ac:dyDescent="0.25">
      <c r="G26" s="23" t="s">
        <v>511</v>
      </c>
      <c r="H26" s="3" t="s">
        <v>528</v>
      </c>
      <c r="I26" s="3" t="s">
        <v>554</v>
      </c>
      <c r="J26" s="3" t="s">
        <v>527</v>
      </c>
      <c r="K26" s="3" t="s">
        <v>545</v>
      </c>
      <c r="L26" s="3" t="s">
        <v>563</v>
      </c>
      <c r="M26" s="3" t="s">
        <v>552</v>
      </c>
      <c r="N26" s="3" t="s">
        <v>532</v>
      </c>
      <c r="O26" s="3" t="s">
        <v>539</v>
      </c>
      <c r="P26" s="5"/>
      <c r="Q26" s="5"/>
      <c r="R26" s="5"/>
      <c r="S26" s="5"/>
      <c r="T26" s="5"/>
      <c r="U26" s="5"/>
      <c r="V26" s="5"/>
    </row>
    <row r="27" spans="7:22" x14ac:dyDescent="0.25">
      <c r="G27" s="23" t="s">
        <v>575</v>
      </c>
      <c r="H27" s="3" t="s">
        <v>528</v>
      </c>
      <c r="I27" s="3" t="s">
        <v>554</v>
      </c>
      <c r="J27" s="3" t="s">
        <v>527</v>
      </c>
      <c r="K27" s="3" t="s">
        <v>545</v>
      </c>
      <c r="L27" s="3" t="s">
        <v>563</v>
      </c>
      <c r="M27" s="3" t="s">
        <v>552</v>
      </c>
      <c r="N27" s="3" t="s">
        <v>532</v>
      </c>
      <c r="O27" s="3" t="s">
        <v>539</v>
      </c>
      <c r="P27" s="5"/>
      <c r="Q27" s="5"/>
      <c r="R27" s="5"/>
      <c r="S27" s="5"/>
      <c r="T27" s="5"/>
      <c r="U27" s="5"/>
      <c r="V27" s="5"/>
    </row>
    <row r="28" spans="7:22" x14ac:dyDescent="0.25">
      <c r="G28" s="23" t="s">
        <v>496</v>
      </c>
      <c r="H28" s="3" t="s">
        <v>528</v>
      </c>
      <c r="I28" s="3" t="s">
        <v>554</v>
      </c>
      <c r="J28" s="3" t="s">
        <v>542</v>
      </c>
      <c r="K28" s="3" t="s">
        <v>555</v>
      </c>
      <c r="L28" s="3" t="s">
        <v>578</v>
      </c>
      <c r="M28" s="3" t="s">
        <v>556</v>
      </c>
      <c r="N28" s="3" t="s">
        <v>552</v>
      </c>
      <c r="O28" s="3" t="s">
        <v>532</v>
      </c>
      <c r="P28" s="3" t="s">
        <v>539</v>
      </c>
      <c r="R28" s="5"/>
      <c r="S28" s="5"/>
      <c r="T28" s="5"/>
      <c r="U28" s="5"/>
      <c r="V28" s="5"/>
    </row>
    <row r="29" spans="7:22" x14ac:dyDescent="0.25">
      <c r="G29" s="23" t="s">
        <v>497</v>
      </c>
      <c r="H29" s="3" t="s">
        <v>528</v>
      </c>
      <c r="I29" s="3" t="s">
        <v>554</v>
      </c>
      <c r="J29" s="3" t="s">
        <v>542</v>
      </c>
      <c r="K29" s="3" t="s">
        <v>555</v>
      </c>
      <c r="L29" s="3" t="s">
        <v>578</v>
      </c>
      <c r="M29" s="3" t="s">
        <v>556</v>
      </c>
      <c r="N29" s="3" t="s">
        <v>552</v>
      </c>
      <c r="O29" s="3" t="s">
        <v>532</v>
      </c>
      <c r="P29" s="3" t="s">
        <v>539</v>
      </c>
      <c r="R29" s="5"/>
      <c r="S29" s="5"/>
      <c r="T29" s="5"/>
      <c r="U29" s="5"/>
      <c r="V29" s="5"/>
    </row>
    <row r="30" spans="7:22" x14ac:dyDescent="0.25">
      <c r="G30" s="23" t="s">
        <v>498</v>
      </c>
      <c r="H30" s="3" t="s">
        <v>528</v>
      </c>
      <c r="I30" s="3" t="s">
        <v>554</v>
      </c>
      <c r="J30" s="3" t="s">
        <v>542</v>
      </c>
      <c r="K30" s="3" t="s">
        <v>555</v>
      </c>
      <c r="L30" s="3" t="s">
        <v>578</v>
      </c>
      <c r="M30" s="3" t="s">
        <v>556</v>
      </c>
      <c r="N30" s="3" t="s">
        <v>552</v>
      </c>
      <c r="O30" s="3" t="s">
        <v>532</v>
      </c>
      <c r="P30" s="3" t="s">
        <v>539</v>
      </c>
      <c r="R30" s="5"/>
      <c r="S30" s="5"/>
      <c r="T30" s="5"/>
      <c r="U30" s="5"/>
      <c r="V30" s="5"/>
    </row>
    <row r="31" spans="7:22" x14ac:dyDescent="0.25">
      <c r="G31" s="23" t="s">
        <v>499</v>
      </c>
      <c r="H31" s="3" t="s">
        <v>528</v>
      </c>
      <c r="I31" s="3" t="s">
        <v>554</v>
      </c>
      <c r="J31" s="3" t="s">
        <v>527</v>
      </c>
      <c r="K31" s="3" t="s">
        <v>545</v>
      </c>
      <c r="L31" s="3" t="s">
        <v>563</v>
      </c>
      <c r="M31" s="3" t="s">
        <v>552</v>
      </c>
      <c r="N31" s="3" t="s">
        <v>532</v>
      </c>
      <c r="O31" s="3" t="s">
        <v>539</v>
      </c>
      <c r="P31" s="5"/>
      <c r="Q31" s="5"/>
      <c r="R31" s="5"/>
      <c r="S31" s="5"/>
      <c r="T31" s="5"/>
      <c r="U31" s="5"/>
      <c r="V31" s="5"/>
    </row>
    <row r="32" spans="7:22" x14ac:dyDescent="0.25">
      <c r="G32" s="23" t="s">
        <v>505</v>
      </c>
      <c r="H32" s="3" t="s">
        <v>528</v>
      </c>
      <c r="I32" s="3" t="s">
        <v>554</v>
      </c>
      <c r="J32" s="3" t="s">
        <v>555</v>
      </c>
      <c r="K32" s="3" t="s">
        <v>578</v>
      </c>
      <c r="L32" s="3" t="s">
        <v>556</v>
      </c>
      <c r="M32" s="3" t="s">
        <v>540</v>
      </c>
      <c r="N32" s="3" t="s">
        <v>552</v>
      </c>
      <c r="O32" s="3" t="s">
        <v>557</v>
      </c>
      <c r="P32" s="3" t="s">
        <v>532</v>
      </c>
      <c r="Q32" s="3" t="s">
        <v>539</v>
      </c>
      <c r="R32" s="5"/>
      <c r="S32" s="5"/>
      <c r="T32" s="5"/>
      <c r="U32" s="5"/>
      <c r="V32" s="5"/>
    </row>
    <row r="33" spans="7:22" x14ac:dyDescent="0.25">
      <c r="G33" s="23" t="s">
        <v>504</v>
      </c>
      <c r="H33" s="3" t="s">
        <v>528</v>
      </c>
      <c r="I33" s="3" t="s">
        <v>554</v>
      </c>
      <c r="J33" s="3" t="s">
        <v>540</v>
      </c>
      <c r="K33" s="3" t="s">
        <v>552</v>
      </c>
      <c r="L33" s="3" t="s">
        <v>532</v>
      </c>
      <c r="M33" s="3" t="s">
        <v>539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576</v>
      </c>
      <c r="H34" s="3" t="s">
        <v>528</v>
      </c>
      <c r="I34" s="3" t="s">
        <v>554</v>
      </c>
      <c r="J34" s="3" t="s">
        <v>541</v>
      </c>
      <c r="K34" s="3" t="s">
        <v>552</v>
      </c>
      <c r="L34" s="3" t="s">
        <v>532</v>
      </c>
      <c r="M34" s="3" t="s">
        <v>539</v>
      </c>
      <c r="N34" s="5"/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553</v>
      </c>
      <c r="H35" s="3" t="s">
        <v>528</v>
      </c>
      <c r="I35" s="3" t="s">
        <v>554</v>
      </c>
      <c r="J35" s="3" t="s">
        <v>541</v>
      </c>
      <c r="K35" s="3" t="s">
        <v>552</v>
      </c>
      <c r="L35" s="3" t="s">
        <v>532</v>
      </c>
      <c r="M35" s="3" t="s">
        <v>539</v>
      </c>
      <c r="N35" s="5"/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577</v>
      </c>
      <c r="H36" s="3" t="s">
        <v>528</v>
      </c>
      <c r="I36" s="3" t="s">
        <v>554</v>
      </c>
      <c r="J36" s="3" t="s">
        <v>541</v>
      </c>
      <c r="K36" s="3" t="s">
        <v>552</v>
      </c>
      <c r="L36" s="3" t="s">
        <v>532</v>
      </c>
      <c r="M36" s="3" t="s">
        <v>539</v>
      </c>
      <c r="N36" s="5"/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8wPU+jwrzhGiYAcmBHejjWl6fQqoViAC+/8qbAk22T2mM/wsjvyjUEvcT37vmkd3zdh8Zw37wfDqrRw39JFPdQ==" saltValue="x/FTaCfjNyecp24t8+hf5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be accept 40 characters._x000a_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37"/>
  <sheetViews>
    <sheetView topLeftCell="A7" workbookViewId="0">
      <selection activeCell="B7" sqref="B7:D31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89" t="s">
        <v>567</v>
      </c>
      <c r="C2" s="91"/>
      <c r="D2" s="41" t="s">
        <v>659</v>
      </c>
      <c r="E2" s="1"/>
    </row>
    <row r="3" spans="1:5" ht="15" customHeight="1" x14ac:dyDescent="0.25">
      <c r="A3" s="6" t="s">
        <v>579</v>
      </c>
      <c r="B3" s="90" t="s">
        <v>665</v>
      </c>
      <c r="C3" s="92"/>
      <c r="D3" s="41" t="s">
        <v>659</v>
      </c>
      <c r="E3" s="1"/>
    </row>
    <row r="4" spans="1:5" ht="15" customHeight="1" x14ac:dyDescent="0.25">
      <c r="A4" s="6"/>
      <c r="B4" s="114" t="s">
        <v>568</v>
      </c>
      <c r="C4" s="92"/>
      <c r="D4" s="41" t="s">
        <v>652</v>
      </c>
      <c r="E4" s="1"/>
    </row>
    <row r="5" spans="1:5" ht="14.25" customHeight="1" x14ac:dyDescent="0.25">
      <c r="A5" s="6" t="s">
        <v>579</v>
      </c>
      <c r="B5" s="44" t="s">
        <v>662</v>
      </c>
      <c r="C5" s="93"/>
      <c r="D5" s="98"/>
      <c r="E5" s="1"/>
    </row>
    <row r="6" spans="1:5" ht="28.5" customHeight="1" x14ac:dyDescent="0.25">
      <c r="A6" s="6">
        <v>37</v>
      </c>
      <c r="B6" s="4" t="s">
        <v>546</v>
      </c>
      <c r="C6" s="4" t="s">
        <v>547</v>
      </c>
      <c r="D6" s="4" t="s">
        <v>663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7"/>
      <c r="B32" s="43"/>
      <c r="C32" s="43"/>
      <c r="D32" s="31"/>
      <c r="E32" s="1"/>
    </row>
    <row r="33" spans="1:5" x14ac:dyDescent="0.25">
      <c r="A33" s="7"/>
      <c r="B33" s="43"/>
      <c r="C33" s="43"/>
      <c r="D33" s="31"/>
      <c r="E33" s="1"/>
    </row>
    <row r="34" spans="1:5" x14ac:dyDescent="0.25">
      <c r="A34" s="7"/>
      <c r="B34" s="43"/>
      <c r="C34" s="43"/>
      <c r="D34" s="31"/>
      <c r="E34" s="1"/>
    </row>
    <row r="35" spans="1:5" x14ac:dyDescent="0.25">
      <c r="A35" s="28"/>
      <c r="B35" s="33"/>
      <c r="C35" s="33"/>
      <c r="D35" s="36"/>
      <c r="E35" s="1"/>
    </row>
    <row r="36" spans="1:5" ht="4.5" customHeight="1" x14ac:dyDescent="0.25">
      <c r="A36" s="7">
        <v>0</v>
      </c>
      <c r="B36" s="35"/>
      <c r="C36" s="35"/>
      <c r="D36" s="38"/>
      <c r="E36" s="1"/>
    </row>
    <row r="37" spans="1:5" ht="25.5" customHeight="1" x14ac:dyDescent="0.25">
      <c r="A37" s="6" t="s">
        <v>548</v>
      </c>
      <c r="B37" s="34"/>
      <c r="C37" s="34"/>
      <c r="D37" s="34"/>
      <c r="E37" s="1"/>
    </row>
  </sheetData>
  <sheetProtection algorithmName="SHA-512" hashValue="SYKu3oOpr7SjtgQamofvyciERwBtjdJe3BusRVt9//+3wOX1VLALDMr71A192zwTwSGCxiQcgiDeiSCRuElM9g==" saltValue="5l8WXZQUHFKu3+CBNtlouA==" spinCount="100000" sheet="1" objects="1" scenarios="1" formatRows="0"/>
  <dataValidations count="4">
    <dataValidation allowBlank="1" showInputMessage="1" showErrorMessage="1" error="Please enter a valid date in mm/dd/yyyy format." sqref="B35:D37" xr:uid="{00000000-0002-0000-0400-000000000000}"/>
    <dataValidation type="decimal" allowBlank="1" showInputMessage="1" showErrorMessage="1" error="Please enter a valid reading." sqref="D7:D34" xr:uid="{00000000-0002-0000-0400-000001000000}">
      <formula1>0</formula1>
      <formula2>9999999999</formula2>
    </dataValidation>
    <dataValidation type="date" allowBlank="1" showInputMessage="1" showErrorMessage="1" error="Please enter a valid date in mm/dd/yyyy format." sqref="B7:C34" xr:uid="{00000000-0002-0000-0400-000002000000}">
      <formula1>1</formula1>
      <formula2>73415</formula2>
    </dataValidation>
    <dataValidation type="textLength" allowBlank="1" showInputMessage="1" showErrorMessage="1" errorTitle="Data Source" error="it can be accept 40 characters." sqref="D5" xr:uid="{00000000-0002-0000-04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35</xdr:row>
                    <xdr:rowOff>0</xdr:rowOff>
                  </from>
                  <to>
                    <xdr:col>2</xdr:col>
                    <xdr:colOff>9525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34</xdr:row>
                    <xdr:rowOff>190500</xdr:rowOff>
                  </from>
                  <to>
                    <xdr:col>3</xdr:col>
                    <xdr:colOff>9525</xdr:colOff>
                    <xdr:row>36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E23"/>
  <sheetViews>
    <sheetView workbookViewId="0">
      <selection activeCell="B7" sqref="B7:D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2" t="s">
        <v>567</v>
      </c>
      <c r="C2" s="133"/>
      <c r="D2" s="41" t="s">
        <v>653</v>
      </c>
      <c r="E2" s="1"/>
    </row>
    <row r="3" spans="1:5" ht="15" customHeight="1" x14ac:dyDescent="0.25">
      <c r="A3" s="6" t="s">
        <v>579</v>
      </c>
      <c r="B3" s="134" t="s">
        <v>665</v>
      </c>
      <c r="C3" s="135"/>
      <c r="D3" s="41" t="s">
        <v>653</v>
      </c>
      <c r="E3" s="1"/>
    </row>
    <row r="4" spans="1:5" ht="15" customHeight="1" x14ac:dyDescent="0.25">
      <c r="A4" s="6"/>
      <c r="B4" s="95" t="s">
        <v>568</v>
      </c>
      <c r="C4" s="96"/>
      <c r="D4" s="41" t="s">
        <v>654</v>
      </c>
      <c r="E4" s="1"/>
    </row>
    <row r="5" spans="1:5" ht="14.25" customHeight="1" x14ac:dyDescent="0.25">
      <c r="A5" s="6" t="s">
        <v>579</v>
      </c>
      <c r="B5" s="136" t="s">
        <v>662</v>
      </c>
      <c r="C5" s="137"/>
      <c r="D5" s="101"/>
      <c r="E5" s="1"/>
    </row>
    <row r="6" spans="1:5" ht="28.5" customHeight="1" x14ac:dyDescent="0.25">
      <c r="A6" s="6">
        <v>23</v>
      </c>
      <c r="B6" s="4" t="s">
        <v>546</v>
      </c>
      <c r="C6" s="4" t="s">
        <v>547</v>
      </c>
      <c r="D6" s="4" t="str">
        <f>CONCATENATE("Period Consumption 
","(",D4,")")</f>
        <v>Period Consumption 
(person)</v>
      </c>
      <c r="E6" s="1"/>
    </row>
    <row r="7" spans="1:5" x14ac:dyDescent="0.25">
      <c r="A7" s="7"/>
      <c r="B7" s="43">
        <v>43070</v>
      </c>
      <c r="C7" s="43">
        <v>43100</v>
      </c>
      <c r="D7" s="112">
        <v>990</v>
      </c>
      <c r="E7" s="1"/>
    </row>
    <row r="8" spans="1:5" x14ac:dyDescent="0.25">
      <c r="A8" s="7"/>
      <c r="B8" s="43">
        <v>43101</v>
      </c>
      <c r="C8" s="43">
        <v>43131</v>
      </c>
      <c r="D8" s="112">
        <v>880</v>
      </c>
      <c r="E8" s="1"/>
    </row>
    <row r="9" spans="1:5" x14ac:dyDescent="0.25">
      <c r="A9" s="7"/>
      <c r="B9" s="43">
        <v>43132</v>
      </c>
      <c r="C9" s="43">
        <v>43159</v>
      </c>
      <c r="D9" s="112">
        <v>770</v>
      </c>
      <c r="E9" s="1"/>
    </row>
    <row r="10" spans="1:5" x14ac:dyDescent="0.25">
      <c r="A10" s="7"/>
      <c r="B10" s="43">
        <v>43160</v>
      </c>
      <c r="C10" s="43">
        <v>43190</v>
      </c>
      <c r="D10" s="112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112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112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112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112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112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112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112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112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112">
        <v>800</v>
      </c>
      <c r="E19" s="1"/>
    </row>
    <row r="20" spans="1:5" x14ac:dyDescent="0.25">
      <c r="A20" s="7"/>
      <c r="B20" s="43"/>
      <c r="C20" s="43"/>
      <c r="D20" s="112"/>
      <c r="E20" s="1"/>
    </row>
    <row r="21" spans="1:5" ht="10.5" customHeight="1" x14ac:dyDescent="0.25">
      <c r="A21" s="28"/>
      <c r="B21" s="33"/>
      <c r="C21" s="33"/>
      <c r="D21" s="36"/>
      <c r="E21" s="1"/>
    </row>
    <row r="22" spans="1:5" hidden="1" x14ac:dyDescent="0.25">
      <c r="A22" s="7">
        <v>0</v>
      </c>
      <c r="B22" s="35"/>
      <c r="C22" s="35"/>
      <c r="D22" s="38"/>
      <c r="E22" s="1"/>
    </row>
    <row r="23" spans="1:5" ht="25.5" customHeight="1" x14ac:dyDescent="0.25">
      <c r="A23" s="6" t="s">
        <v>548</v>
      </c>
      <c r="B23" s="34"/>
      <c r="C23" s="34"/>
      <c r="D23" s="34"/>
      <c r="E23" s="1"/>
    </row>
  </sheetData>
  <sheetProtection algorithmName="SHA-512" hashValue="W7mWiCd0oPzd/y8n/n6CH+KH8T03cwrvn/NOJiDpC7AvUHXh04F/nsrn/G71o2X880Op822jjBM92Qo6luERfA==" saltValue="CSybT432u29aNdiVvcDTGA==" spinCount="100000" sheet="1" objects="1" scenarios="1" formatRows="0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21:D23" xr:uid="{00000000-0002-0000-0500-000000000000}"/>
    <dataValidation type="date" allowBlank="1" showInputMessage="1" showErrorMessage="1" error="Please enter a valid date in mm/dd/yyyy format." sqref="B7:C20" xr:uid="{00000000-0002-0000-0500-000001000000}">
      <formula1>1</formula1>
      <formula2>73415</formula2>
    </dataValidation>
    <dataValidation type="whole" allowBlank="1" showInputMessage="1" showErrorMessage="1" errorTitle="Period Consumption" error="Integers are only allowed in this fields" sqref="D7:D20" xr:uid="{00000000-0002-0000-0500-000002000000}">
      <formula1>0</formula1>
      <formula2>999999999999</formula2>
    </dataValidation>
    <dataValidation type="textLength" allowBlank="1" showInputMessage="1" showErrorMessage="1" errorTitle="Data Source" error="it can be accept 40 characters._x000a_" sqref="D5" xr:uid="{00000000-0002-0000-05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20</xdr:row>
                    <xdr:rowOff>190500</xdr:rowOff>
                  </from>
                  <to>
                    <xdr:col>2</xdr:col>
                    <xdr:colOff>9525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190500</xdr:rowOff>
                  </from>
                  <to>
                    <xdr:col>3</xdr:col>
                    <xdr:colOff>9525</xdr:colOff>
                    <xdr:row>22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E35"/>
  <sheetViews>
    <sheetView workbookViewId="0">
      <selection activeCell="F25" sqref="F2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2" t="s">
        <v>567</v>
      </c>
      <c r="C2" s="133"/>
      <c r="D2" s="41" t="s">
        <v>660</v>
      </c>
      <c r="E2" s="1"/>
    </row>
    <row r="3" spans="1:5" ht="15" customHeight="1" x14ac:dyDescent="0.25">
      <c r="A3" s="6" t="s">
        <v>579</v>
      </c>
      <c r="B3" s="134" t="s">
        <v>665</v>
      </c>
      <c r="C3" s="135"/>
      <c r="D3" s="41" t="s">
        <v>658</v>
      </c>
      <c r="E3" s="1"/>
    </row>
    <row r="4" spans="1:5" ht="15" customHeight="1" x14ac:dyDescent="0.25">
      <c r="A4" s="6"/>
      <c r="B4" s="95" t="s">
        <v>568</v>
      </c>
      <c r="C4" s="96"/>
      <c r="D4" s="41" t="s">
        <v>652</v>
      </c>
      <c r="E4" s="1"/>
    </row>
    <row r="5" spans="1:5" ht="14.25" customHeight="1" x14ac:dyDescent="0.25">
      <c r="A5" s="6" t="s">
        <v>579</v>
      </c>
      <c r="B5" s="136" t="s">
        <v>662</v>
      </c>
      <c r="C5" s="137"/>
      <c r="D5" s="101"/>
      <c r="E5" s="1"/>
    </row>
    <row r="6" spans="1:5" ht="28.5" customHeight="1" x14ac:dyDescent="0.25">
      <c r="A6" s="6">
        <v>35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7"/>
      <c r="B32" s="43"/>
      <c r="C32" s="43"/>
      <c r="D32" s="31"/>
      <c r="E32" s="1"/>
    </row>
    <row r="33" spans="1:5" x14ac:dyDescent="0.25">
      <c r="A33" s="28"/>
      <c r="B33" s="33"/>
      <c r="C33" s="33"/>
      <c r="D33" s="36"/>
      <c r="E33" s="1"/>
    </row>
    <row r="34" spans="1:5" hidden="1" x14ac:dyDescent="0.25">
      <c r="A34" s="7">
        <v>0</v>
      </c>
      <c r="B34" s="35"/>
      <c r="C34" s="35"/>
      <c r="D34" s="38"/>
      <c r="E34" s="1"/>
    </row>
    <row r="35" spans="1:5" ht="25.5" customHeight="1" x14ac:dyDescent="0.25">
      <c r="A35" s="6" t="s">
        <v>548</v>
      </c>
      <c r="B35" s="34"/>
      <c r="C35" s="34"/>
      <c r="D35" s="34"/>
      <c r="E35" s="1"/>
    </row>
  </sheetData>
  <sheetProtection algorithmName="SHA-512" hashValue="VA3yP2O0JSX27IvW1BbAgNKQ4EUpuIDLguz//Wmc+E+NpKQuLRXZzQRIVLb87/aN4PP0bz264zI7m/JDyf64Iw==" saltValue="+C4CVVfM6PStBTZUyL9Qeg==" spinCount="100000" sheet="1" objects="1" scenarios="1" formatRows="0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33:D35" xr:uid="{00000000-0002-0000-0600-000000000000}"/>
    <dataValidation type="date" allowBlank="1" showInputMessage="1" showErrorMessage="1" error="Please enter a valid date in mm/dd/yyyy format." sqref="B7:C32" xr:uid="{00000000-0002-0000-0600-000001000000}">
      <formula1>1</formula1>
      <formula2>73415</formula2>
    </dataValidation>
    <dataValidation type="decimal" allowBlank="1" showInputMessage="1" showErrorMessage="1" error="Please enter a valid reading." sqref="D7:D32" xr:uid="{00000000-0002-0000-0600-000002000000}">
      <formula1>0</formula1>
      <formula2>9999999999</formula2>
    </dataValidation>
    <dataValidation type="textLength" allowBlank="1" showInputMessage="1" showErrorMessage="1" errorTitle=" Data Source" error="it can be accept 40 characters._x000a_" sqref="D5" xr:uid="{00000000-0002-0000-06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33</xdr:row>
                    <xdr:rowOff>0</xdr:rowOff>
                  </from>
                  <to>
                    <xdr:col>2</xdr:col>
                    <xdr:colOff>9525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33</xdr:row>
                    <xdr:rowOff>0</xdr:rowOff>
                  </from>
                  <to>
                    <xdr:col>3</xdr:col>
                    <xdr:colOff>9525</xdr:colOff>
                    <xdr:row>34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E34"/>
  <sheetViews>
    <sheetView workbookViewId="0">
      <selection activeCell="B7" sqref="B7:D3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.2851562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2" t="s">
        <v>567</v>
      </c>
      <c r="C2" s="138"/>
      <c r="D2" s="41" t="s">
        <v>661</v>
      </c>
      <c r="E2" s="1"/>
    </row>
    <row r="3" spans="1:5" ht="15" customHeight="1" x14ac:dyDescent="0.25">
      <c r="A3" s="6" t="s">
        <v>579</v>
      </c>
      <c r="B3" s="134" t="s">
        <v>665</v>
      </c>
      <c r="C3" s="139"/>
      <c r="D3" s="41" t="s">
        <v>658</v>
      </c>
      <c r="E3" s="1"/>
    </row>
    <row r="4" spans="1:5" ht="15" customHeight="1" x14ac:dyDescent="0.25">
      <c r="A4" s="6"/>
      <c r="B4" s="134" t="s">
        <v>568</v>
      </c>
      <c r="C4" s="139"/>
      <c r="D4" s="41" t="s">
        <v>652</v>
      </c>
      <c r="E4" s="1"/>
    </row>
    <row r="5" spans="1:5" ht="14.25" customHeight="1" x14ac:dyDescent="0.25">
      <c r="A5" s="6" t="s">
        <v>579</v>
      </c>
      <c r="B5" s="136" t="s">
        <v>662</v>
      </c>
      <c r="C5" s="140"/>
      <c r="D5" s="101"/>
      <c r="E5" s="1"/>
    </row>
    <row r="6" spans="1:5" ht="28.5" customHeight="1" x14ac:dyDescent="0.25">
      <c r="A6" s="6">
        <v>34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28"/>
      <c r="B32" s="33"/>
      <c r="C32" s="33"/>
      <c r="D32" s="36"/>
      <c r="E32" s="1"/>
    </row>
    <row r="33" spans="1:5" ht="2.25" customHeight="1" x14ac:dyDescent="0.25">
      <c r="A33" s="7">
        <v>0</v>
      </c>
      <c r="B33" s="35"/>
      <c r="C33" s="35"/>
      <c r="D33" s="38"/>
      <c r="E33" s="1"/>
    </row>
    <row r="34" spans="1:5" ht="25.5" customHeight="1" x14ac:dyDescent="0.25">
      <c r="A34" s="6" t="s">
        <v>548</v>
      </c>
      <c r="B34" s="34"/>
      <c r="C34" s="34"/>
      <c r="D34" s="34"/>
      <c r="E34" s="1"/>
    </row>
  </sheetData>
  <sheetProtection algorithmName="SHA-512" hashValue="oEXDF/lv5jWGqJkqgkutboECeDf4FJzL3o07KPX7org+WzZBiVmCTvhArvPrG1rw1JeTWZ4+8/9t4/TYzSoZ9w==" saltValue="6zl0huIovQGLAzSYnuXVcA==" spinCount="100000" sheet="1" objects="1" scenarios="1" formatRows="0"/>
  <mergeCells count="4">
    <mergeCell ref="B2:C2"/>
    <mergeCell ref="B3:C3"/>
    <mergeCell ref="B5:C5"/>
    <mergeCell ref="B4:C4"/>
  </mergeCells>
  <dataValidations count="4">
    <dataValidation allowBlank="1" showInputMessage="1" showErrorMessage="1" error="Please enter a valid date in mm/dd/yyyy format." sqref="B32:D34" xr:uid="{00000000-0002-0000-0700-000000000000}"/>
    <dataValidation type="date" allowBlank="1" showInputMessage="1" showErrorMessage="1" error="Please enter a valid date in mm/dd/yyyy format." sqref="B7:C31" xr:uid="{00000000-0002-0000-0700-000001000000}">
      <formula1>1</formula1>
      <formula2>73415</formula2>
    </dataValidation>
    <dataValidation type="decimal" allowBlank="1" showInputMessage="1" showErrorMessage="1" error="Please enter a valid reading." sqref="D7:D31" xr:uid="{00000000-0002-0000-0700-000002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7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31</xdr:row>
                    <xdr:rowOff>190500</xdr:rowOff>
                  </from>
                  <to>
                    <xdr:col>2</xdr:col>
                    <xdr:colOff>9525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31</xdr:row>
                    <xdr:rowOff>190500</xdr:rowOff>
                  </from>
                  <to>
                    <xdr:col>3</xdr:col>
                    <xdr:colOff>9525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E22"/>
  <sheetViews>
    <sheetView workbookViewId="0">
      <selection activeCell="B7" sqref="B7:D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2" t="s">
        <v>567</v>
      </c>
      <c r="C2" s="138"/>
      <c r="D2" s="94" t="s">
        <v>656</v>
      </c>
      <c r="E2" s="1"/>
    </row>
    <row r="3" spans="1:5" ht="15" customHeight="1" x14ac:dyDescent="0.25">
      <c r="A3" s="6" t="s">
        <v>579</v>
      </c>
      <c r="B3" s="134" t="s">
        <v>665</v>
      </c>
      <c r="C3" s="139"/>
      <c r="D3" s="94" t="s">
        <v>656</v>
      </c>
      <c r="E3" s="1"/>
    </row>
    <row r="4" spans="1:5" ht="15" customHeight="1" x14ac:dyDescent="0.25">
      <c r="A4" s="6"/>
      <c r="B4" s="95" t="s">
        <v>568</v>
      </c>
      <c r="C4" s="97"/>
      <c r="D4" s="94" t="s">
        <v>652</v>
      </c>
      <c r="E4" s="1"/>
    </row>
    <row r="5" spans="1:5" ht="14.25" customHeight="1" x14ac:dyDescent="0.25">
      <c r="A5" s="6" t="s">
        <v>579</v>
      </c>
      <c r="B5" s="136" t="s">
        <v>662</v>
      </c>
      <c r="C5" s="140"/>
      <c r="D5" s="101"/>
      <c r="E5" s="1"/>
    </row>
    <row r="6" spans="1:5" ht="28.5" customHeight="1" x14ac:dyDescent="0.25">
      <c r="A6" s="6">
        <v>22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/>
      <c r="B8" s="43">
        <v>43101</v>
      </c>
      <c r="C8" s="43">
        <v>43131</v>
      </c>
      <c r="D8" s="31">
        <v>880</v>
      </c>
      <c r="E8" s="1"/>
    </row>
    <row r="9" spans="1:5" x14ac:dyDescent="0.25">
      <c r="A9" s="7"/>
      <c r="B9" s="43">
        <v>43132</v>
      </c>
      <c r="C9" s="43">
        <v>43159</v>
      </c>
      <c r="D9" s="31">
        <v>770</v>
      </c>
      <c r="E9" s="1"/>
    </row>
    <row r="10" spans="1:5" x14ac:dyDescent="0.25">
      <c r="A10" s="7"/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1"/>
    </row>
    <row r="21" spans="1:5" x14ac:dyDescent="0.25">
      <c r="A21" s="7">
        <v>0</v>
      </c>
      <c r="B21" s="35"/>
      <c r="C21" s="35"/>
      <c r="D21" s="38"/>
      <c r="E21" s="1"/>
    </row>
    <row r="22" spans="1:5" ht="25.5" customHeight="1" x14ac:dyDescent="0.25">
      <c r="A22" s="6" t="s">
        <v>548</v>
      </c>
      <c r="B22" s="34"/>
      <c r="C22" s="34"/>
      <c r="D22" s="34"/>
      <c r="E22" s="1"/>
    </row>
  </sheetData>
  <sheetProtection algorithmName="SHA-512" hashValue="wn/AVvf48k6gUbLsu03u0mivtjzOGDdlLEmpbAyoc/mj7vhE9SAeUmMfqkWHgn1W/Wt3wjSiU/jjXjHpD1lzqg==" saltValue="7cBXW30891x5z0tRe4wk/Q==" spinCount="100000" sheet="1" objects="1" scenarios="1" formatRows="0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20:D22" xr:uid="{00000000-0002-0000-0800-000000000000}"/>
    <dataValidation type="date" allowBlank="1" showInputMessage="1" showErrorMessage="1" error="Please enter a valid date in mm/dd/yyyy format." sqref="B7:C19" xr:uid="{00000000-0002-0000-0800-000001000000}">
      <formula1>1</formula1>
      <formula2>73415</formula2>
    </dataValidation>
    <dataValidation type="decimal" allowBlank="1" showInputMessage="1" showErrorMessage="1" error="Please enter a valid reading." sqref="D7:D19" xr:uid="{00000000-0002-0000-0800-000002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8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2</xdr:col>
                    <xdr:colOff>1314450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E22"/>
  <sheetViews>
    <sheetView workbookViewId="0">
      <selection activeCell="B7" sqref="B7:D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5.5703125" style="3" customWidth="1"/>
    <col min="6" max="9" width="9.140625" style="3" customWidth="1"/>
    <col min="10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2" t="s">
        <v>567</v>
      </c>
      <c r="C2" s="138"/>
      <c r="D2" s="94" t="s">
        <v>657</v>
      </c>
      <c r="E2" s="1"/>
    </row>
    <row r="3" spans="1:5" ht="15" customHeight="1" x14ac:dyDescent="0.25">
      <c r="A3" s="6" t="s">
        <v>579</v>
      </c>
      <c r="B3" s="134" t="s">
        <v>665</v>
      </c>
      <c r="C3" s="139"/>
      <c r="D3" s="94" t="s">
        <v>657</v>
      </c>
      <c r="E3" s="1"/>
    </row>
    <row r="4" spans="1:5" ht="15" customHeight="1" x14ac:dyDescent="0.25">
      <c r="A4" s="6"/>
      <c r="B4" s="95" t="s">
        <v>568</v>
      </c>
      <c r="C4" s="97"/>
      <c r="D4" s="94" t="s">
        <v>652</v>
      </c>
      <c r="E4" s="1"/>
    </row>
    <row r="5" spans="1:5" ht="14.25" customHeight="1" x14ac:dyDescent="0.25">
      <c r="A5" s="6" t="s">
        <v>579</v>
      </c>
      <c r="B5" s="136" t="s">
        <v>662</v>
      </c>
      <c r="C5" s="140"/>
      <c r="D5" s="101"/>
      <c r="E5" s="1"/>
    </row>
    <row r="6" spans="1:5" ht="28.5" customHeight="1" x14ac:dyDescent="0.25">
      <c r="A6" s="6">
        <v>22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/>
      <c r="B8" s="43">
        <v>43101</v>
      </c>
      <c r="C8" s="43">
        <v>43131</v>
      </c>
      <c r="D8" s="31">
        <v>880</v>
      </c>
      <c r="E8" s="1"/>
    </row>
    <row r="9" spans="1:5" x14ac:dyDescent="0.25">
      <c r="A9" s="7"/>
      <c r="B9" s="43">
        <v>43132</v>
      </c>
      <c r="C9" s="43">
        <v>43159</v>
      </c>
      <c r="D9" s="31">
        <v>770</v>
      </c>
      <c r="E9" s="1"/>
    </row>
    <row r="10" spans="1:5" x14ac:dyDescent="0.25">
      <c r="A10" s="7"/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37"/>
    </row>
    <row r="21" spans="1:5" x14ac:dyDescent="0.25">
      <c r="A21" s="7">
        <v>0</v>
      </c>
      <c r="B21" s="35"/>
      <c r="C21" s="35"/>
      <c r="D21" s="38"/>
      <c r="E21" s="39"/>
    </row>
    <row r="22" spans="1:5" ht="25.5" customHeight="1" x14ac:dyDescent="0.25">
      <c r="A22" s="6" t="s">
        <v>548</v>
      </c>
      <c r="B22" s="34"/>
      <c r="C22" s="34"/>
      <c r="D22" s="34"/>
      <c r="E22" s="40"/>
    </row>
  </sheetData>
  <sheetProtection algorithmName="SHA-512" hashValue="CL4MGnFfykTyH+7/n6zKssELtCQ8fbQeOE9+NcgU7Q/p0mZ4houjsAPPsm9lwl3HZft4q6r6vp4Mnz3/lzbMuQ==" saltValue="Keb80O5/n7YdwMLmnz6dFg==" spinCount="100000" sheet="1" objects="1" scenarios="1" formatRows="0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900-000000000000}"/>
    <dataValidation allowBlank="1" showInputMessage="1" showErrorMessage="1" error="Please enter a valid date in mm/dd/yyyy format." sqref="B20:D22" xr:uid="{00000000-0002-0000-0900-000001000000}"/>
    <dataValidation type="date" allowBlank="1" showInputMessage="1" showErrorMessage="1" error="Please enter a valid date in mm/dd/yyyy format." sqref="B7:C19" xr:uid="{00000000-0002-0000-0900-000002000000}">
      <formula1>1</formula1>
      <formula2>73415</formula2>
    </dataValidation>
    <dataValidation type="decimal" allowBlank="1" showInputMessage="1" showErrorMessage="1" error="Please enter a valid reading." sqref="D7:D19" xr:uid="{00000000-0002-0000-0900-000003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9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E34"/>
  <sheetViews>
    <sheetView workbookViewId="0">
      <selection activeCell="I14" sqref="I14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140625" style="3" customWidth="1"/>
    <col min="6" max="9" width="9.140625" style="3" customWidth="1"/>
    <col min="10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2" t="s">
        <v>567</v>
      </c>
      <c r="C2" s="138"/>
      <c r="D2" s="94" t="s">
        <v>651</v>
      </c>
      <c r="E2" s="1"/>
    </row>
    <row r="3" spans="1:5" ht="15" customHeight="1" x14ac:dyDescent="0.25">
      <c r="A3" s="6" t="s">
        <v>579</v>
      </c>
      <c r="B3" s="134" t="s">
        <v>665</v>
      </c>
      <c r="C3" s="139"/>
      <c r="D3" s="94" t="s">
        <v>651</v>
      </c>
      <c r="E3" s="1"/>
    </row>
    <row r="4" spans="1:5" ht="15" customHeight="1" x14ac:dyDescent="0.25">
      <c r="A4" s="6"/>
      <c r="B4" s="95" t="s">
        <v>568</v>
      </c>
      <c r="C4" s="97"/>
      <c r="D4" s="94" t="s">
        <v>652</v>
      </c>
      <c r="E4" s="1"/>
    </row>
    <row r="5" spans="1:5" ht="14.25" customHeight="1" x14ac:dyDescent="0.25">
      <c r="A5" s="6" t="s">
        <v>579</v>
      </c>
      <c r="B5" s="136" t="s">
        <v>662</v>
      </c>
      <c r="C5" s="140"/>
      <c r="D5" s="101"/>
      <c r="E5" s="1"/>
    </row>
    <row r="6" spans="1:5" ht="28.5" customHeight="1" x14ac:dyDescent="0.25">
      <c r="A6" s="6">
        <v>34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43983</v>
      </c>
      <c r="C7" s="43">
        <v>44012</v>
      </c>
      <c r="D7" s="31">
        <v>800</v>
      </c>
      <c r="E7" s="1"/>
    </row>
    <row r="8" spans="1:5" x14ac:dyDescent="0.25">
      <c r="A8" s="7"/>
      <c r="B8" s="43">
        <v>43952</v>
      </c>
      <c r="C8" s="43">
        <v>43982</v>
      </c>
      <c r="D8" s="31">
        <v>820</v>
      </c>
      <c r="E8" s="1"/>
    </row>
    <row r="9" spans="1:5" x14ac:dyDescent="0.25">
      <c r="A9" s="7"/>
      <c r="B9" s="43">
        <v>43922</v>
      </c>
      <c r="C9" s="43">
        <v>43951</v>
      </c>
      <c r="D9" s="31">
        <v>830</v>
      </c>
      <c r="E9" s="1"/>
    </row>
    <row r="10" spans="1:5" x14ac:dyDescent="0.25">
      <c r="A10" s="7"/>
      <c r="B10" s="43">
        <v>43891</v>
      </c>
      <c r="C10" s="43">
        <v>43921</v>
      </c>
      <c r="D10" s="31">
        <v>840</v>
      </c>
      <c r="E10" s="1"/>
    </row>
    <row r="11" spans="1:5" x14ac:dyDescent="0.25">
      <c r="A11" s="7"/>
      <c r="B11" s="43">
        <v>43862</v>
      </c>
      <c r="C11" s="43">
        <v>43889</v>
      </c>
      <c r="D11" s="31">
        <v>850</v>
      </c>
      <c r="E11" s="1"/>
    </row>
    <row r="12" spans="1:5" x14ac:dyDescent="0.25">
      <c r="A12" s="7"/>
      <c r="B12" s="43">
        <v>43831</v>
      </c>
      <c r="C12" s="43">
        <v>43861</v>
      </c>
      <c r="D12" s="31">
        <v>860</v>
      </c>
      <c r="E12" s="1"/>
    </row>
    <row r="13" spans="1:5" x14ac:dyDescent="0.25">
      <c r="A13" s="7"/>
      <c r="B13" s="43">
        <v>43800</v>
      </c>
      <c r="C13" s="43">
        <v>43830</v>
      </c>
      <c r="D13" s="31">
        <v>870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890</v>
      </c>
      <c r="E14" s="1"/>
    </row>
    <row r="15" spans="1:5" x14ac:dyDescent="0.25">
      <c r="A15" s="7"/>
      <c r="B15" s="43">
        <v>43739</v>
      </c>
      <c r="C15" s="43">
        <v>43769</v>
      </c>
      <c r="D15" s="31">
        <v>550</v>
      </c>
      <c r="E15" s="1"/>
    </row>
    <row r="16" spans="1:5" x14ac:dyDescent="0.25">
      <c r="A16" s="7"/>
      <c r="B16" s="43">
        <v>43709</v>
      </c>
      <c r="C16" s="43">
        <v>43738</v>
      </c>
      <c r="D16" s="31">
        <v>660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770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880</v>
      </c>
      <c r="E18" s="1"/>
    </row>
    <row r="19" spans="1:5" x14ac:dyDescent="0.25">
      <c r="A19" s="7"/>
      <c r="B19" s="43">
        <v>43617</v>
      </c>
      <c r="C19" s="43">
        <v>43646</v>
      </c>
      <c r="D19" s="31">
        <v>800</v>
      </c>
      <c r="E19" s="1"/>
    </row>
    <row r="20" spans="1:5" x14ac:dyDescent="0.25">
      <c r="A20" s="7"/>
      <c r="B20" s="43">
        <v>43586</v>
      </c>
      <c r="C20" s="43">
        <v>43616</v>
      </c>
      <c r="D20" s="31">
        <v>820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830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840</v>
      </c>
      <c r="E22" s="1"/>
    </row>
    <row r="23" spans="1:5" x14ac:dyDescent="0.25">
      <c r="A23" s="7"/>
      <c r="B23" s="43">
        <v>43497</v>
      </c>
      <c r="C23" s="43">
        <v>43524</v>
      </c>
      <c r="D23" s="31">
        <v>850</v>
      </c>
      <c r="E23" s="1"/>
    </row>
    <row r="24" spans="1:5" x14ac:dyDescent="0.25">
      <c r="A24" s="7"/>
      <c r="B24" s="43">
        <v>43466</v>
      </c>
      <c r="C24" s="43">
        <v>43496</v>
      </c>
      <c r="D24" s="31">
        <v>860</v>
      </c>
      <c r="E24" s="1"/>
    </row>
    <row r="25" spans="1:5" x14ac:dyDescent="0.25">
      <c r="A25" s="7"/>
      <c r="B25" s="43">
        <v>43435</v>
      </c>
      <c r="C25" s="43">
        <v>43465</v>
      </c>
      <c r="D25" s="31">
        <v>870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890</v>
      </c>
      <c r="E26" s="1"/>
    </row>
    <row r="27" spans="1:5" x14ac:dyDescent="0.25">
      <c r="A27" s="7"/>
      <c r="B27" s="43">
        <v>43374</v>
      </c>
      <c r="C27" s="43">
        <v>43404</v>
      </c>
      <c r="D27" s="31">
        <v>550</v>
      </c>
      <c r="E27" s="1"/>
    </row>
    <row r="28" spans="1:5" x14ac:dyDescent="0.25">
      <c r="A28" s="7"/>
      <c r="B28" s="43">
        <v>43344</v>
      </c>
      <c r="C28" s="43">
        <v>43373</v>
      </c>
      <c r="D28" s="31">
        <v>660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770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880</v>
      </c>
      <c r="E30" s="1"/>
    </row>
    <row r="31" spans="1:5" x14ac:dyDescent="0.25">
      <c r="A31" s="7"/>
      <c r="B31" s="43">
        <v>43252</v>
      </c>
      <c r="C31" s="43">
        <v>43281</v>
      </c>
      <c r="D31" s="31">
        <v>990</v>
      </c>
      <c r="E31" s="1"/>
    </row>
    <row r="32" spans="1:5" x14ac:dyDescent="0.25">
      <c r="A32" s="28"/>
      <c r="B32" s="33"/>
      <c r="C32" s="33"/>
      <c r="D32" s="36"/>
      <c r="E32" s="37"/>
    </row>
    <row r="33" spans="1:5" x14ac:dyDescent="0.25">
      <c r="A33" s="7">
        <v>0</v>
      </c>
      <c r="B33" s="35"/>
      <c r="C33" s="35"/>
      <c r="D33" s="38"/>
      <c r="E33" s="39"/>
    </row>
    <row r="34" spans="1:5" ht="25.5" customHeight="1" x14ac:dyDescent="0.25">
      <c r="A34" s="6" t="s">
        <v>548</v>
      </c>
      <c r="B34" s="34"/>
      <c r="C34" s="34"/>
      <c r="D34" s="34"/>
      <c r="E34" s="40"/>
    </row>
  </sheetData>
  <sheetProtection algorithmName="SHA-512" hashValue="BJAvSwdRyED9J9uXGZMRXaRAT6GNHwEHlU4Ftzbxq+/193NwhnbdXUOdaXo8LeQqWaC6ZwgZ/mtgYHWX1mFYjA==" saltValue="Wo5TnCyJIdHxILzZpkCS1g==" spinCount="100000" sheet="1" objects="1" scenarios="1" formatRows="0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A00-000000000000}"/>
    <dataValidation allowBlank="1" showInputMessage="1" showErrorMessage="1" error="Please enter a valid date in mm/dd/yyyy format." sqref="B32:D34" xr:uid="{00000000-0002-0000-0A00-000001000000}"/>
    <dataValidation type="date" allowBlank="1" showInputMessage="1" showErrorMessage="1" error="Please enter a valid date in mm/dd/yyyy format." sqref="B7:C31" xr:uid="{00000000-0002-0000-0A00-000002000000}">
      <formula1>1</formula1>
      <formula2>73415</formula2>
    </dataValidation>
    <dataValidation type="decimal" allowBlank="1" showInputMessage="1" showErrorMessage="1" error="Please enter a valid reading." sqref="D7:D31" xr:uid="{00000000-0002-0000-0A00-000003000000}">
      <formula1>0</formula1>
      <formula2>9999999999</formula2>
    </dataValidation>
    <dataValidation type="textLength" allowBlank="1" showInputMessage="1" showErrorMessage="1" errorTitle="Data Source" error="it can be accept 40 characters." sqref="D5" xr:uid="{00000000-0002-0000-0A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9" r:id="rId3" name="Button 3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31</xdr:row>
                    <xdr:rowOff>190500</xdr:rowOff>
                  </from>
                  <to>
                    <xdr:col>2</xdr:col>
                    <xdr:colOff>9525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4" name="Button 4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E22"/>
  <sheetViews>
    <sheetView workbookViewId="0">
      <selection activeCell="G14" sqref="G14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7109375" style="3" customWidth="1"/>
    <col min="6" max="9" width="9.140625" style="3" customWidth="1"/>
    <col min="10" max="16384" width="9.140625" style="3"/>
  </cols>
  <sheetData>
    <row r="1" spans="1:5" x14ac:dyDescent="0.25">
      <c r="A1" s="6" t="s">
        <v>579</v>
      </c>
      <c r="B1" s="1"/>
      <c r="C1" s="1"/>
      <c r="D1" s="1"/>
      <c r="E1" s="1"/>
    </row>
    <row r="2" spans="1:5" x14ac:dyDescent="0.25">
      <c r="A2" s="6" t="s">
        <v>579</v>
      </c>
      <c r="B2" s="132" t="s">
        <v>567</v>
      </c>
      <c r="C2" s="138"/>
      <c r="D2" s="41" t="s">
        <v>655</v>
      </c>
      <c r="E2" s="1"/>
    </row>
    <row r="3" spans="1:5" ht="15" customHeight="1" x14ac:dyDescent="0.25">
      <c r="A3" s="6" t="s">
        <v>579</v>
      </c>
      <c r="B3" s="134" t="s">
        <v>665</v>
      </c>
      <c r="C3" s="139"/>
      <c r="D3" s="41" t="s">
        <v>655</v>
      </c>
      <c r="E3" s="1"/>
    </row>
    <row r="4" spans="1:5" ht="15" customHeight="1" x14ac:dyDescent="0.25">
      <c r="A4" s="6"/>
      <c r="B4" s="95" t="s">
        <v>568</v>
      </c>
      <c r="C4" s="97"/>
      <c r="D4" s="41" t="s">
        <v>652</v>
      </c>
      <c r="E4" s="1"/>
    </row>
    <row r="5" spans="1:5" ht="14.25" customHeight="1" x14ac:dyDescent="0.25">
      <c r="A5" s="6" t="s">
        <v>579</v>
      </c>
      <c r="B5" s="136" t="s">
        <v>662</v>
      </c>
      <c r="C5" s="140"/>
      <c r="D5" s="101"/>
      <c r="E5" s="1"/>
    </row>
    <row r="6" spans="1:5" ht="28.5" customHeight="1" x14ac:dyDescent="0.25">
      <c r="A6" s="6">
        <v>22</v>
      </c>
      <c r="B6" s="4" t="s">
        <v>546</v>
      </c>
      <c r="C6" s="4" t="s">
        <v>547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/>
      <c r="B8" s="43">
        <v>43101</v>
      </c>
      <c r="C8" s="43">
        <v>43131</v>
      </c>
      <c r="D8" s="31">
        <v>880</v>
      </c>
      <c r="E8" s="1"/>
    </row>
    <row r="9" spans="1:5" x14ac:dyDescent="0.25">
      <c r="A9" s="7"/>
      <c r="B9" s="43">
        <v>43132</v>
      </c>
      <c r="C9" s="43">
        <v>43159</v>
      </c>
      <c r="D9" s="31">
        <v>770</v>
      </c>
      <c r="E9" s="1"/>
    </row>
    <row r="10" spans="1:5" x14ac:dyDescent="0.25">
      <c r="A10" s="7"/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/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/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37"/>
    </row>
    <row r="21" spans="1:5" x14ac:dyDescent="0.25">
      <c r="A21" s="7">
        <v>0</v>
      </c>
      <c r="B21" s="35"/>
      <c r="C21" s="35"/>
      <c r="D21" s="38"/>
      <c r="E21" s="39"/>
    </row>
    <row r="22" spans="1:5" ht="25.5" customHeight="1" x14ac:dyDescent="0.25">
      <c r="A22" s="6" t="s">
        <v>548</v>
      </c>
      <c r="B22" s="34"/>
      <c r="C22" s="34"/>
      <c r="D22" s="34"/>
      <c r="E22" s="40"/>
    </row>
  </sheetData>
  <sheetProtection algorithmName="SHA-512" hashValue="KCcuoJtOHYEYzvlWD2wKwWztviYa5wfMCOROD6wOVFfSi9cnd+nf8kKiTG5z+i1WDeYMwlAQdlvLB20Ct2KQXA==" saltValue="DV4xmv0PDS6Ot/CXzDzvcg==" spinCount="100000" sheet="1" objects="1" scenarios="1" formatRows="0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B00-000000000000}"/>
    <dataValidation allowBlank="1" showInputMessage="1" showErrorMessage="1" error="Please enter a valid date in mm/dd/yyyy format." sqref="B20:D22" xr:uid="{00000000-0002-0000-0B00-000001000000}"/>
    <dataValidation type="date" allowBlank="1" showInputMessage="1" showErrorMessage="1" error="Please enter a valid date in mm/dd/yyyy format." sqref="B7:C19" xr:uid="{00000000-0002-0000-0B00-000002000000}">
      <formula1>1</formula1>
      <formula2>73415</formula2>
    </dataValidation>
    <dataValidation type="decimal" allowBlank="1" showInputMessage="1" showErrorMessage="1" error="Please enter a valid reading." sqref="D7:D19" xr:uid="{00000000-0002-0000-0B00-000003000000}">
      <formula1>0</formula1>
      <formula2>9999999999</formula2>
    </dataValidation>
    <dataValidation type="textLength" allowBlank="1" showInputMessage="1" showErrorMessage="1" errorTitle="Data Source" error="it can be accept 40 characters." sqref="D5" xr:uid="{00000000-0002-0000-0B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4" name="Button 5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I38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L9" sqref="L9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9" width="9.140625" style="3" hidden="1" customWidth="1"/>
    <col min="10" max="13" width="9.140625" style="3" customWidth="1"/>
    <col min="14" max="16384" width="9.140625" style="3"/>
  </cols>
  <sheetData>
    <row r="1" spans="1:6" x14ac:dyDescent="0.25">
      <c r="A1" s="6" t="s">
        <v>579</v>
      </c>
      <c r="B1" s="1"/>
      <c r="C1" s="1"/>
      <c r="D1" s="1"/>
      <c r="E1" s="1"/>
      <c r="F1" s="1"/>
    </row>
    <row r="2" spans="1:6" x14ac:dyDescent="0.25">
      <c r="A2" s="6" t="s">
        <v>579</v>
      </c>
      <c r="B2" s="141" t="s">
        <v>567</v>
      </c>
      <c r="C2" s="142"/>
      <c r="D2" s="143"/>
      <c r="E2" s="42" t="s">
        <v>574</v>
      </c>
      <c r="F2" s="1"/>
    </row>
    <row r="3" spans="1:6" ht="15" customHeight="1" x14ac:dyDescent="0.25">
      <c r="A3" s="6" t="s">
        <v>579</v>
      </c>
      <c r="B3" s="144" t="s">
        <v>665</v>
      </c>
      <c r="C3" s="145"/>
      <c r="D3" s="146"/>
      <c r="E3" s="42" t="s">
        <v>558</v>
      </c>
      <c r="F3" s="1"/>
    </row>
    <row r="4" spans="1:6" ht="14.25" customHeight="1" x14ac:dyDescent="0.25">
      <c r="A4" s="6" t="s">
        <v>579</v>
      </c>
      <c r="B4" s="25" t="s">
        <v>568</v>
      </c>
      <c r="C4" s="26"/>
      <c r="D4" s="27"/>
      <c r="E4" s="29" t="s">
        <v>562</v>
      </c>
      <c r="F4" s="1"/>
    </row>
    <row r="5" spans="1:6" x14ac:dyDescent="0.25">
      <c r="A5" s="6" t="s">
        <v>579</v>
      </c>
      <c r="B5" s="1"/>
      <c r="C5" s="1"/>
      <c r="D5" s="1"/>
      <c r="E5" s="1"/>
      <c r="F5" s="1"/>
    </row>
    <row r="6" spans="1:6" ht="25.5" x14ac:dyDescent="0.25">
      <c r="A6" s="6">
        <v>34</v>
      </c>
      <c r="B6" s="4" t="s">
        <v>546</v>
      </c>
      <c r="C6" s="4" t="s">
        <v>547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3">
        <v>43983</v>
      </c>
      <c r="C7" s="43">
        <v>44012</v>
      </c>
      <c r="D7" s="30">
        <v>2222</v>
      </c>
      <c r="E7" s="30">
        <v>1000</v>
      </c>
      <c r="F7" s="1"/>
    </row>
    <row r="8" spans="1:6" x14ac:dyDescent="0.25">
      <c r="A8" s="6"/>
      <c r="B8" s="43">
        <v>43952</v>
      </c>
      <c r="C8" s="43">
        <v>43982</v>
      </c>
      <c r="D8" s="30">
        <v>1927</v>
      </c>
      <c r="E8" s="30">
        <v>999</v>
      </c>
      <c r="F8" s="1"/>
    </row>
    <row r="9" spans="1:6" x14ac:dyDescent="0.25">
      <c r="A9" s="6"/>
      <c r="B9" s="43">
        <v>43922</v>
      </c>
      <c r="C9" s="43">
        <v>43951</v>
      </c>
      <c r="D9" s="30">
        <v>2200</v>
      </c>
      <c r="E9" s="30">
        <v>1109</v>
      </c>
      <c r="F9" s="1"/>
    </row>
    <row r="10" spans="1:6" x14ac:dyDescent="0.25">
      <c r="A10" s="6"/>
      <c r="B10" s="43">
        <v>43891</v>
      </c>
      <c r="C10" s="43">
        <v>43921</v>
      </c>
      <c r="D10" s="30">
        <v>1782</v>
      </c>
      <c r="E10" s="30">
        <v>543</v>
      </c>
      <c r="F10" s="1"/>
    </row>
    <row r="11" spans="1:6" x14ac:dyDescent="0.25">
      <c r="A11" s="6"/>
      <c r="B11" s="43">
        <v>43862</v>
      </c>
      <c r="C11" s="43">
        <v>43889</v>
      </c>
      <c r="D11" s="30">
        <v>2655</v>
      </c>
      <c r="E11" s="30">
        <v>782.1</v>
      </c>
      <c r="F11" s="1"/>
    </row>
    <row r="12" spans="1:6" x14ac:dyDescent="0.25">
      <c r="A12" s="6"/>
      <c r="B12" s="43">
        <v>43831</v>
      </c>
      <c r="C12" s="43">
        <v>43861</v>
      </c>
      <c r="D12" s="30">
        <v>1987</v>
      </c>
      <c r="E12" s="30">
        <v>908</v>
      </c>
      <c r="F12" s="1"/>
    </row>
    <row r="13" spans="1:6" x14ac:dyDescent="0.25">
      <c r="A13" s="6"/>
      <c r="B13" s="43">
        <v>43800</v>
      </c>
      <c r="C13" s="43">
        <v>43830</v>
      </c>
      <c r="D13" s="30">
        <v>2800</v>
      </c>
      <c r="E13" s="30">
        <v>2000</v>
      </c>
      <c r="F13" s="1"/>
    </row>
    <row r="14" spans="1:6" x14ac:dyDescent="0.25">
      <c r="A14" s="6"/>
      <c r="B14" s="43">
        <v>43770</v>
      </c>
      <c r="C14" s="43">
        <v>43799</v>
      </c>
      <c r="D14" s="30">
        <v>1545</v>
      </c>
      <c r="E14" s="30">
        <v>700</v>
      </c>
      <c r="F14" s="1"/>
    </row>
    <row r="15" spans="1:6" x14ac:dyDescent="0.25">
      <c r="A15" s="6"/>
      <c r="B15" s="43">
        <v>43739</v>
      </c>
      <c r="C15" s="43">
        <v>43769</v>
      </c>
      <c r="D15" s="30">
        <v>1777</v>
      </c>
      <c r="E15" s="30">
        <v>1123.22</v>
      </c>
      <c r="F15" s="1"/>
    </row>
    <row r="16" spans="1:6" x14ac:dyDescent="0.25">
      <c r="A16" s="6"/>
      <c r="B16" s="43">
        <v>43709</v>
      </c>
      <c r="C16" s="43">
        <v>43738</v>
      </c>
      <c r="D16" s="30">
        <v>1050</v>
      </c>
      <c r="E16" s="30">
        <v>680</v>
      </c>
      <c r="F16" s="1"/>
    </row>
    <row r="17" spans="1:6" x14ac:dyDescent="0.25">
      <c r="A17" s="6"/>
      <c r="B17" s="43">
        <v>43678</v>
      </c>
      <c r="C17" s="43">
        <v>43708</v>
      </c>
      <c r="D17" s="30">
        <v>1900</v>
      </c>
      <c r="E17" s="30">
        <v>800</v>
      </c>
      <c r="F17" s="1"/>
    </row>
    <row r="18" spans="1:6" x14ac:dyDescent="0.25">
      <c r="A18" s="6"/>
      <c r="B18" s="43">
        <v>43647</v>
      </c>
      <c r="C18" s="43">
        <v>43677</v>
      </c>
      <c r="D18" s="30">
        <v>2323</v>
      </c>
      <c r="E18" s="30">
        <v>1500.08</v>
      </c>
      <c r="F18" s="1"/>
    </row>
    <row r="19" spans="1:6" x14ac:dyDescent="0.25">
      <c r="A19" s="6"/>
      <c r="B19" s="43">
        <v>43617</v>
      </c>
      <c r="C19" s="43">
        <v>43646</v>
      </c>
      <c r="D19" s="30">
        <v>1978</v>
      </c>
      <c r="E19" s="30">
        <v>978</v>
      </c>
      <c r="F19" s="1"/>
    </row>
    <row r="20" spans="1:6" x14ac:dyDescent="0.25">
      <c r="A20" s="6"/>
      <c r="B20" s="43">
        <v>43586</v>
      </c>
      <c r="C20" s="43">
        <v>43616</v>
      </c>
      <c r="D20" s="30">
        <v>1927</v>
      </c>
      <c r="E20" s="30">
        <v>999</v>
      </c>
      <c r="F20" s="1"/>
    </row>
    <row r="21" spans="1:6" x14ac:dyDescent="0.25">
      <c r="A21" s="6"/>
      <c r="B21" s="43">
        <v>43556</v>
      </c>
      <c r="C21" s="43">
        <v>43585</v>
      </c>
      <c r="D21" s="30">
        <v>2200</v>
      </c>
      <c r="E21" s="30">
        <v>1109</v>
      </c>
      <c r="F21" s="1"/>
    </row>
    <row r="22" spans="1:6" x14ac:dyDescent="0.25">
      <c r="A22" s="6"/>
      <c r="B22" s="43">
        <v>43525</v>
      </c>
      <c r="C22" s="43">
        <v>43555</v>
      </c>
      <c r="D22" s="30">
        <v>1782</v>
      </c>
      <c r="E22" s="30">
        <v>543</v>
      </c>
      <c r="F22" s="1"/>
    </row>
    <row r="23" spans="1:6" x14ac:dyDescent="0.25">
      <c r="A23" s="6"/>
      <c r="B23" s="43">
        <v>43497</v>
      </c>
      <c r="C23" s="43">
        <v>43524</v>
      </c>
      <c r="D23" s="30">
        <v>2655</v>
      </c>
      <c r="E23" s="30">
        <v>782.1</v>
      </c>
      <c r="F23" s="1"/>
    </row>
    <row r="24" spans="1:6" x14ac:dyDescent="0.25">
      <c r="A24" s="6"/>
      <c r="B24" s="43">
        <v>43466</v>
      </c>
      <c r="C24" s="43">
        <v>43496</v>
      </c>
      <c r="D24" s="30">
        <v>1987</v>
      </c>
      <c r="E24" s="30">
        <v>908</v>
      </c>
      <c r="F24" s="1"/>
    </row>
    <row r="25" spans="1:6" x14ac:dyDescent="0.25">
      <c r="A25" s="6"/>
      <c r="B25" s="43">
        <v>43435</v>
      </c>
      <c r="C25" s="43">
        <v>43465</v>
      </c>
      <c r="D25" s="30">
        <v>2800</v>
      </c>
      <c r="E25" s="30">
        <v>2000</v>
      </c>
      <c r="F25" s="1"/>
    </row>
    <row r="26" spans="1:6" x14ac:dyDescent="0.25">
      <c r="A26" s="6"/>
      <c r="B26" s="43">
        <v>43405</v>
      </c>
      <c r="C26" s="43">
        <v>43434</v>
      </c>
      <c r="D26" s="30">
        <v>1545</v>
      </c>
      <c r="E26" s="30">
        <v>700</v>
      </c>
      <c r="F26" s="1"/>
    </row>
    <row r="27" spans="1:6" x14ac:dyDescent="0.25">
      <c r="A27" s="6"/>
      <c r="B27" s="43">
        <v>43374</v>
      </c>
      <c r="C27" s="43">
        <v>43404</v>
      </c>
      <c r="D27" s="30">
        <v>1777</v>
      </c>
      <c r="E27" s="30">
        <v>1123.22</v>
      </c>
      <c r="F27" s="1"/>
    </row>
    <row r="28" spans="1:6" x14ac:dyDescent="0.25">
      <c r="A28" s="6"/>
      <c r="B28" s="43">
        <v>43344</v>
      </c>
      <c r="C28" s="43">
        <v>43373</v>
      </c>
      <c r="D28" s="30">
        <v>1050</v>
      </c>
      <c r="E28" s="30">
        <v>680</v>
      </c>
      <c r="F28" s="1"/>
    </row>
    <row r="29" spans="1:6" x14ac:dyDescent="0.25">
      <c r="A29" s="6"/>
      <c r="B29" s="43">
        <v>43313</v>
      </c>
      <c r="C29" s="43">
        <v>43343</v>
      </c>
      <c r="D29" s="30">
        <v>1900</v>
      </c>
      <c r="E29" s="30">
        <v>800</v>
      </c>
      <c r="F29" s="1"/>
    </row>
    <row r="30" spans="1:6" x14ac:dyDescent="0.25">
      <c r="A30" s="6"/>
      <c r="B30" s="43">
        <v>43282</v>
      </c>
      <c r="C30" s="43">
        <v>43312</v>
      </c>
      <c r="D30" s="30">
        <v>2323</v>
      </c>
      <c r="E30" s="30">
        <v>1500.08</v>
      </c>
      <c r="F30" s="1"/>
    </row>
    <row r="31" spans="1:6" x14ac:dyDescent="0.25">
      <c r="A31" s="6"/>
      <c r="B31" s="43">
        <v>43252</v>
      </c>
      <c r="C31" s="43">
        <v>43281</v>
      </c>
      <c r="D31" s="30">
        <v>1978</v>
      </c>
      <c r="E31" s="30">
        <v>978</v>
      </c>
      <c r="F31" s="1"/>
    </row>
    <row r="32" spans="1:6" x14ac:dyDescent="0.25">
      <c r="A32" s="28"/>
      <c r="B32" s="33"/>
      <c r="C32" s="33"/>
      <c r="D32" s="36"/>
      <c r="E32" s="37"/>
      <c r="F32" s="1"/>
    </row>
    <row r="33" spans="1:9" hidden="1" x14ac:dyDescent="0.25">
      <c r="A33" s="7">
        <v>0</v>
      </c>
      <c r="B33" s="35"/>
      <c r="C33" s="35"/>
      <c r="D33" s="38"/>
      <c r="E33" s="39"/>
      <c r="F33" s="1"/>
    </row>
    <row r="34" spans="1:9" ht="25.5" customHeight="1" x14ac:dyDescent="0.25">
      <c r="A34" s="6" t="s">
        <v>548</v>
      </c>
      <c r="B34" s="34"/>
      <c r="C34" s="34"/>
      <c r="D34" s="34"/>
      <c r="E34" s="40"/>
      <c r="F34" s="1"/>
    </row>
    <row r="36" spans="1:9" x14ac:dyDescent="0.25">
      <c r="I36" s="3" t="s">
        <v>562</v>
      </c>
    </row>
    <row r="37" spans="1:9" x14ac:dyDescent="0.25">
      <c r="I37" s="3" t="s">
        <v>557</v>
      </c>
    </row>
    <row r="38" spans="1:9" x14ac:dyDescent="0.25">
      <c r="I38" s="3" t="s">
        <v>542</v>
      </c>
    </row>
  </sheetData>
  <sheetProtection algorithmName="SHA-512" hashValue="Ad/kYGZSKWf9Kih3zu737N24u3/lslkkWIPOx0bld7xrURgkPwmMpqQiCNtUg/Km31bURhZA1PWxnZS4I8g83A==" saltValue="1+4Ialf2XSS5J64WGm4kOw==" spinCount="100000" sheet="1" objects="1" scenarios="1" formatRows="0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C00-000000000000}">
      <formula1>newWaUnit</formula1>
    </dataValidation>
    <dataValidation allowBlank="1" showInputMessage="1" showErrorMessage="1" error="Please enter a valid date in mm/dd/yyyy format." sqref="B32:D34" xr:uid="{00000000-0002-0000-0C00-000001000000}"/>
    <dataValidation type="date" allowBlank="1" showInputMessage="1" showErrorMessage="1" error="Please enter a valid date in mm/dd/yyyy format." sqref="B7:C31" xr:uid="{00000000-0002-0000-0C00-000002000000}">
      <formula1>1</formula1>
      <formula2>54789</formula2>
    </dataValidation>
    <dataValidation type="decimal" allowBlank="1" showInputMessage="1" showErrorMessage="1" error="Please enter a valid reading." sqref="D7:E31" xr:uid="{00000000-0002-0000-0C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600F7-0798-4FFF-A450-AD93B41C832D}">
  <sheetPr codeName="Sheet11"/>
  <dimension ref="A1:J45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L8" sqref="L8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5" ht="15" customHeight="1" x14ac:dyDescent="0.25">
      <c r="A1" s="6" t="s">
        <v>579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579</v>
      </c>
      <c r="B2" s="121" t="s">
        <v>567</v>
      </c>
      <c r="C2" s="104"/>
      <c r="D2" s="102" t="s">
        <v>678</v>
      </c>
      <c r="E2" s="1"/>
    </row>
    <row r="3" spans="1:5" x14ac:dyDescent="0.25">
      <c r="A3" s="6" t="s">
        <v>579</v>
      </c>
      <c r="B3" s="122" t="s">
        <v>665</v>
      </c>
      <c r="C3" s="105"/>
      <c r="D3" s="102" t="s">
        <v>644</v>
      </c>
      <c r="E3" s="1"/>
    </row>
    <row r="4" spans="1:5" x14ac:dyDescent="0.25">
      <c r="A4" s="6" t="s">
        <v>579</v>
      </c>
      <c r="B4" s="122" t="s">
        <v>568</v>
      </c>
      <c r="C4" s="105"/>
      <c r="D4" s="102" t="s">
        <v>528</v>
      </c>
      <c r="E4" s="1"/>
    </row>
    <row r="5" spans="1:5" x14ac:dyDescent="0.25">
      <c r="A5" s="6" t="s">
        <v>579</v>
      </c>
      <c r="B5" s="44" t="s">
        <v>662</v>
      </c>
      <c r="C5" s="106"/>
      <c r="D5" s="107"/>
      <c r="E5" s="1"/>
    </row>
    <row r="6" spans="1:5" ht="24" customHeight="1" x14ac:dyDescent="0.25">
      <c r="A6" s="6">
        <v>34</v>
      </c>
      <c r="B6" s="103" t="s">
        <v>546</v>
      </c>
      <c r="C6" s="103" t="s">
        <v>547</v>
      </c>
      <c r="D6" s="4" t="str">
        <f>CONCATENATE("Period Consumption 
","(",D4,")")</f>
        <v>Period Consumption 
(kBtu)</v>
      </c>
      <c r="E6" s="1"/>
    </row>
    <row r="7" spans="1:5" x14ac:dyDescent="0.25">
      <c r="A7" s="7"/>
      <c r="B7" s="43">
        <v>43983</v>
      </c>
      <c r="C7" s="43">
        <v>44012</v>
      </c>
      <c r="D7" s="31">
        <v>770</v>
      </c>
      <c r="E7" s="1"/>
    </row>
    <row r="8" spans="1:5" x14ac:dyDescent="0.25">
      <c r="A8" s="7"/>
      <c r="B8" s="43">
        <v>43952</v>
      </c>
      <c r="C8" s="43">
        <v>43982</v>
      </c>
      <c r="D8" s="31">
        <v>500</v>
      </c>
      <c r="E8" s="1"/>
    </row>
    <row r="9" spans="1:5" x14ac:dyDescent="0.25">
      <c r="A9" s="7"/>
      <c r="B9" s="43">
        <v>43922</v>
      </c>
      <c r="C9" s="43">
        <v>43951</v>
      </c>
      <c r="D9" s="31">
        <v>400</v>
      </c>
      <c r="E9" s="1"/>
    </row>
    <row r="10" spans="1:5" x14ac:dyDescent="0.25">
      <c r="A10" s="7"/>
      <c r="B10" s="43">
        <v>43891</v>
      </c>
      <c r="C10" s="43">
        <v>43921</v>
      </c>
      <c r="D10" s="31">
        <v>6782</v>
      </c>
      <c r="E10" s="1"/>
    </row>
    <row r="11" spans="1:5" x14ac:dyDescent="0.25">
      <c r="A11" s="7"/>
      <c r="B11" s="43">
        <v>43862</v>
      </c>
      <c r="C11" s="43">
        <v>43889</v>
      </c>
      <c r="D11" s="31">
        <v>7655</v>
      </c>
      <c r="E11" s="1"/>
    </row>
    <row r="12" spans="1:5" x14ac:dyDescent="0.25">
      <c r="A12" s="7"/>
      <c r="B12" s="43">
        <v>43831</v>
      </c>
      <c r="C12" s="43">
        <v>43861</v>
      </c>
      <c r="D12" s="31">
        <v>987</v>
      </c>
      <c r="E12" s="1"/>
    </row>
    <row r="13" spans="1:5" x14ac:dyDescent="0.25">
      <c r="A13" s="7"/>
      <c r="B13" s="43">
        <v>43800</v>
      </c>
      <c r="C13" s="43">
        <v>43830</v>
      </c>
      <c r="D13" s="31">
        <v>1800</v>
      </c>
      <c r="E13" s="1"/>
    </row>
    <row r="14" spans="1:5" x14ac:dyDescent="0.25">
      <c r="A14" s="7"/>
      <c r="B14" s="43">
        <v>43770</v>
      </c>
      <c r="C14" s="43">
        <v>43799</v>
      </c>
      <c r="D14" s="31">
        <v>1545</v>
      </c>
      <c r="E14" s="1"/>
    </row>
    <row r="15" spans="1:5" x14ac:dyDescent="0.25">
      <c r="A15" s="7"/>
      <c r="B15" s="43">
        <v>43739</v>
      </c>
      <c r="C15" s="43">
        <v>43769</v>
      </c>
      <c r="D15" s="31">
        <v>1777</v>
      </c>
      <c r="E15" s="1"/>
    </row>
    <row r="16" spans="1:5" x14ac:dyDescent="0.25">
      <c r="A16" s="7"/>
      <c r="B16" s="43">
        <v>43709</v>
      </c>
      <c r="C16" s="43">
        <v>43738</v>
      </c>
      <c r="D16" s="31">
        <v>1050</v>
      </c>
      <c r="E16" s="1"/>
    </row>
    <row r="17" spans="1:5" x14ac:dyDescent="0.25">
      <c r="A17" s="7"/>
      <c r="B17" s="43">
        <v>43678</v>
      </c>
      <c r="C17" s="43">
        <v>43708</v>
      </c>
      <c r="D17" s="31">
        <v>900</v>
      </c>
      <c r="E17" s="1"/>
    </row>
    <row r="18" spans="1:5" x14ac:dyDescent="0.25">
      <c r="A18" s="7"/>
      <c r="B18" s="43">
        <v>43647</v>
      </c>
      <c r="C18" s="43">
        <v>43677</v>
      </c>
      <c r="D18" s="31">
        <v>2323</v>
      </c>
      <c r="E18" s="1"/>
    </row>
    <row r="19" spans="1:5" x14ac:dyDescent="0.25">
      <c r="A19" s="7"/>
      <c r="B19" s="43">
        <v>43617</v>
      </c>
      <c r="C19" s="43">
        <v>43646</v>
      </c>
      <c r="D19" s="31">
        <v>2222</v>
      </c>
      <c r="E19" s="1"/>
    </row>
    <row r="20" spans="1:5" x14ac:dyDescent="0.25">
      <c r="A20" s="7"/>
      <c r="B20" s="43">
        <v>43586</v>
      </c>
      <c r="C20" s="43">
        <v>43616</v>
      </c>
      <c r="D20" s="31">
        <v>500</v>
      </c>
      <c r="E20" s="1"/>
    </row>
    <row r="21" spans="1:5" x14ac:dyDescent="0.25">
      <c r="A21" s="7"/>
      <c r="B21" s="43">
        <v>43556</v>
      </c>
      <c r="C21" s="43">
        <v>43585</v>
      </c>
      <c r="D21" s="31">
        <v>400</v>
      </c>
      <c r="E21" s="1"/>
    </row>
    <row r="22" spans="1:5" x14ac:dyDescent="0.25">
      <c r="A22" s="7"/>
      <c r="B22" s="43">
        <v>43525</v>
      </c>
      <c r="C22" s="43">
        <v>43555</v>
      </c>
      <c r="D22" s="31">
        <v>6782</v>
      </c>
      <c r="E22" s="1"/>
    </row>
    <row r="23" spans="1:5" x14ac:dyDescent="0.25">
      <c r="A23" s="7"/>
      <c r="B23" s="43">
        <v>43497</v>
      </c>
      <c r="C23" s="43">
        <v>43524</v>
      </c>
      <c r="D23" s="31">
        <v>7655</v>
      </c>
      <c r="E23" s="1"/>
    </row>
    <row r="24" spans="1:5" x14ac:dyDescent="0.25">
      <c r="A24" s="7"/>
      <c r="B24" s="43">
        <v>43466</v>
      </c>
      <c r="C24" s="43">
        <v>43496</v>
      </c>
      <c r="D24" s="31">
        <v>987</v>
      </c>
      <c r="E24" s="1"/>
    </row>
    <row r="25" spans="1:5" x14ac:dyDescent="0.25">
      <c r="A25" s="7"/>
      <c r="B25" s="43">
        <v>43435</v>
      </c>
      <c r="C25" s="43">
        <v>43465</v>
      </c>
      <c r="D25" s="31">
        <v>1800</v>
      </c>
      <c r="E25" s="1"/>
    </row>
    <row r="26" spans="1:5" x14ac:dyDescent="0.25">
      <c r="A26" s="7"/>
      <c r="B26" s="43">
        <v>43405</v>
      </c>
      <c r="C26" s="43">
        <v>43434</v>
      </c>
      <c r="D26" s="31">
        <v>1545</v>
      </c>
      <c r="E26" s="1"/>
    </row>
    <row r="27" spans="1:5" x14ac:dyDescent="0.25">
      <c r="A27" s="7"/>
      <c r="B27" s="43">
        <v>43374</v>
      </c>
      <c r="C27" s="43">
        <v>43404</v>
      </c>
      <c r="D27" s="31">
        <v>1777</v>
      </c>
      <c r="E27" s="1"/>
    </row>
    <row r="28" spans="1:5" x14ac:dyDescent="0.25">
      <c r="A28" s="7"/>
      <c r="B28" s="43">
        <v>43344</v>
      </c>
      <c r="C28" s="43">
        <v>43373</v>
      </c>
      <c r="D28" s="31">
        <v>1050</v>
      </c>
      <c r="E28" s="1"/>
    </row>
    <row r="29" spans="1:5" x14ac:dyDescent="0.25">
      <c r="A29" s="7"/>
      <c r="B29" s="43">
        <v>43313</v>
      </c>
      <c r="C29" s="43">
        <v>43343</v>
      </c>
      <c r="D29" s="31">
        <v>900</v>
      </c>
      <c r="E29" s="1"/>
    </row>
    <row r="30" spans="1:5" x14ac:dyDescent="0.25">
      <c r="A30" s="7"/>
      <c r="B30" s="43">
        <v>43282</v>
      </c>
      <c r="C30" s="43">
        <v>43312</v>
      </c>
      <c r="D30" s="31">
        <v>2323</v>
      </c>
      <c r="E30" s="1"/>
    </row>
    <row r="31" spans="1:5" x14ac:dyDescent="0.25">
      <c r="A31" s="7"/>
      <c r="B31" s="43">
        <v>43252</v>
      </c>
      <c r="C31" s="43">
        <v>43281</v>
      </c>
      <c r="D31" s="31">
        <v>2222</v>
      </c>
      <c r="E31" s="1"/>
    </row>
    <row r="32" spans="1:5" ht="12.75" customHeight="1" x14ac:dyDescent="0.25">
      <c r="A32" s="28"/>
      <c r="B32" s="33"/>
      <c r="C32" s="33"/>
      <c r="D32" s="36"/>
      <c r="E32" s="1"/>
    </row>
    <row r="33" spans="1:10" ht="13.5" hidden="1" customHeight="1" x14ac:dyDescent="0.25">
      <c r="A33" s="6"/>
      <c r="B33" s="34"/>
      <c r="C33" s="34"/>
      <c r="D33" s="34"/>
      <c r="E33" s="1"/>
      <c r="J33" s="5" t="s">
        <v>644</v>
      </c>
    </row>
    <row r="34" spans="1:10" ht="25.5" customHeight="1" x14ac:dyDescent="0.25">
      <c r="A34" s="6" t="s">
        <v>548</v>
      </c>
      <c r="B34" s="34"/>
      <c r="C34" s="34"/>
      <c r="D34" s="34"/>
      <c r="E34" s="1"/>
      <c r="J34" s="5" t="s">
        <v>670</v>
      </c>
    </row>
    <row r="35" spans="1:10" x14ac:dyDescent="0.25">
      <c r="J35" s="5"/>
    </row>
    <row r="39" spans="1:10" x14ac:dyDescent="0.25">
      <c r="G39" s="3" t="s">
        <v>532</v>
      </c>
    </row>
    <row r="40" spans="1:10" x14ac:dyDescent="0.25">
      <c r="G40" s="3" t="s">
        <v>539</v>
      </c>
    </row>
    <row r="41" spans="1:10" x14ac:dyDescent="0.25">
      <c r="G41" s="3" t="s">
        <v>554</v>
      </c>
    </row>
    <row r="42" spans="1:10" x14ac:dyDescent="0.25">
      <c r="G42" s="3" t="s">
        <v>528</v>
      </c>
    </row>
    <row r="43" spans="1:10" x14ac:dyDescent="0.25">
      <c r="G43" s="3" t="s">
        <v>552</v>
      </c>
    </row>
    <row r="45" spans="1:10" x14ac:dyDescent="0.25">
      <c r="G45" s="3" t="s">
        <v>551</v>
      </c>
    </row>
  </sheetData>
  <sheetProtection algorithmName="SHA-512" hashValue="6ELq13iiSaiJhciPRWCpW3UydMtifVIFJW8aaR1k73GM/KySiZBGdFqNE+60IiYdwRuMvLpwKbwjZPaRUn/PLw==" saltValue="h88/KjzRmkJewMTxAX83zg==" spinCount="100000" sheet="1" objects="1" scenarios="1" formatRows="0"/>
  <dataValidations count="6">
    <dataValidation type="textLength" allowBlank="1" showInputMessage="1" showErrorMessage="1" errorTitle=" Data Source" error="it can be accept 40 characters." sqref="D5" xr:uid="{C3D1EAC5-52D9-4728-8003-F4F70B5245D7}">
      <formula1>0</formula1>
      <formula2>40</formula2>
    </dataValidation>
    <dataValidation type="decimal" allowBlank="1" showInputMessage="1" showErrorMessage="1" error="Please enter a valid reading." sqref="D7:D31" xr:uid="{4DE8AA90-032A-4001-A354-82F0398C15C9}">
      <formula1>0</formula1>
      <formula2>9999999999</formula2>
    </dataValidation>
    <dataValidation type="date" allowBlank="1" showInputMessage="1" showErrorMessage="1" error="Please enter a valid date in mm/dd/yyyy format." sqref="B7:C31" xr:uid="{58FBC1C6-EDF8-40E8-8F17-BDDD94F801AF}">
      <formula1>1</formula1>
      <formula2>73415</formula2>
    </dataValidation>
    <dataValidation allowBlank="1" showInputMessage="1" showErrorMessage="1" error="Please enter a valid date in mm/dd/yyyy format." sqref="B32:D34" xr:uid="{4CE92D3D-FA7B-499F-94CE-99248F0C5983}"/>
    <dataValidation type="list" allowBlank="1" showInputMessage="1" showErrorMessage="1" sqref="D3" xr:uid="{18965752-BDA9-4314-9EBB-7C846B3A877B}">
      <formula1>ElectricityDrp</formula1>
    </dataValidation>
    <dataValidation type="list" allowBlank="1" showInputMessage="1" showErrorMessage="1" error="Units cannot edit." sqref="D4" xr:uid="{305BA375-B5E8-4F0D-96D3-A6EED1F9BD07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A011F-1435-4198-8605-487883C44B47}">
  <sheetPr codeName="Sheet16"/>
  <dimension ref="A1:I63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L9" sqref="L9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579</v>
      </c>
      <c r="B1" s="6" t="str">
        <f ca="1">MID(CELL("filename",A1),FIND("]",CELL("filename",A1))+1,256)</f>
        <v>Water meter via upload</v>
      </c>
      <c r="C1" s="1"/>
      <c r="D1" s="6" t="str">
        <f ca="1">B1</f>
        <v>Water meter via upload</v>
      </c>
      <c r="E1" s="1"/>
    </row>
    <row r="2" spans="1:5" x14ac:dyDescent="0.25">
      <c r="A2" s="6" t="s">
        <v>579</v>
      </c>
      <c r="B2" s="121" t="s">
        <v>567</v>
      </c>
      <c r="C2" s="104"/>
      <c r="D2" s="102" t="s">
        <v>679</v>
      </c>
      <c r="E2" s="1"/>
    </row>
    <row r="3" spans="1:5" x14ac:dyDescent="0.25">
      <c r="A3" s="6" t="s">
        <v>579</v>
      </c>
      <c r="B3" s="122" t="s">
        <v>665</v>
      </c>
      <c r="C3" s="105"/>
      <c r="D3" s="102" t="s">
        <v>645</v>
      </c>
      <c r="E3" s="1"/>
    </row>
    <row r="4" spans="1:5" x14ac:dyDescent="0.25">
      <c r="A4" s="6" t="s">
        <v>579</v>
      </c>
      <c r="B4" s="122" t="s">
        <v>568</v>
      </c>
      <c r="C4" s="105"/>
      <c r="D4" s="102" t="s">
        <v>527</v>
      </c>
      <c r="E4" s="1"/>
    </row>
    <row r="5" spans="1:5" x14ac:dyDescent="0.25">
      <c r="A5" s="6" t="s">
        <v>579</v>
      </c>
      <c r="B5" s="44" t="s">
        <v>662</v>
      </c>
      <c r="C5" s="106"/>
      <c r="D5" s="98"/>
      <c r="E5" s="1"/>
    </row>
    <row r="6" spans="1:5" ht="24.75" customHeight="1" x14ac:dyDescent="0.25">
      <c r="A6" s="6">
        <v>34</v>
      </c>
      <c r="B6" s="103" t="s">
        <v>546</v>
      </c>
      <c r="C6" s="103" t="s">
        <v>547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3">
        <v>43983</v>
      </c>
      <c r="C7" s="43">
        <v>44012</v>
      </c>
      <c r="D7" s="30">
        <v>890</v>
      </c>
      <c r="E7" s="1"/>
    </row>
    <row r="8" spans="1:5" x14ac:dyDescent="0.25">
      <c r="A8" s="6"/>
      <c r="B8" s="43">
        <v>43952</v>
      </c>
      <c r="C8" s="43">
        <v>43982</v>
      </c>
      <c r="D8" s="30">
        <v>447</v>
      </c>
      <c r="E8" s="1"/>
    </row>
    <row r="9" spans="1:5" x14ac:dyDescent="0.25">
      <c r="A9" s="6"/>
      <c r="B9" s="43">
        <v>43922</v>
      </c>
      <c r="C9" s="43">
        <v>43951</v>
      </c>
      <c r="D9" s="30">
        <v>430</v>
      </c>
      <c r="E9" s="1"/>
    </row>
    <row r="10" spans="1:5" x14ac:dyDescent="0.25">
      <c r="A10" s="6"/>
      <c r="B10" s="43">
        <v>43891</v>
      </c>
      <c r="C10" s="43">
        <v>43921</v>
      </c>
      <c r="D10" s="30">
        <v>6782</v>
      </c>
      <c r="E10" s="1"/>
    </row>
    <row r="11" spans="1:5" x14ac:dyDescent="0.25">
      <c r="A11" s="6"/>
      <c r="B11" s="43">
        <v>43862</v>
      </c>
      <c r="C11" s="43">
        <v>43889</v>
      </c>
      <c r="D11" s="30">
        <v>7655</v>
      </c>
      <c r="E11" s="1"/>
    </row>
    <row r="12" spans="1:5" x14ac:dyDescent="0.25">
      <c r="A12" s="6"/>
      <c r="B12" s="43">
        <v>43831</v>
      </c>
      <c r="C12" s="43">
        <v>43861</v>
      </c>
      <c r="D12" s="30">
        <v>987</v>
      </c>
      <c r="E12" s="1"/>
    </row>
    <row r="13" spans="1:5" x14ac:dyDescent="0.25">
      <c r="A13" s="6"/>
      <c r="B13" s="43">
        <v>43800</v>
      </c>
      <c r="C13" s="43">
        <v>43830</v>
      </c>
      <c r="D13" s="30">
        <v>1800</v>
      </c>
      <c r="E13" s="1"/>
    </row>
    <row r="14" spans="1:5" x14ac:dyDescent="0.25">
      <c r="A14" s="6"/>
      <c r="B14" s="43">
        <v>43770</v>
      </c>
      <c r="C14" s="43">
        <v>43799</v>
      </c>
      <c r="D14" s="30">
        <v>1545</v>
      </c>
      <c r="E14" s="1"/>
    </row>
    <row r="15" spans="1:5" x14ac:dyDescent="0.25">
      <c r="A15" s="6"/>
      <c r="B15" s="43">
        <v>43739</v>
      </c>
      <c r="C15" s="43">
        <v>43769</v>
      </c>
      <c r="D15" s="30">
        <v>1777</v>
      </c>
      <c r="E15" s="1"/>
    </row>
    <row r="16" spans="1:5" x14ac:dyDescent="0.25">
      <c r="A16" s="6"/>
      <c r="B16" s="43">
        <v>43709</v>
      </c>
      <c r="C16" s="43">
        <v>43738</v>
      </c>
      <c r="D16" s="30">
        <v>1050</v>
      </c>
      <c r="E16" s="1"/>
    </row>
    <row r="17" spans="1:5" x14ac:dyDescent="0.25">
      <c r="A17" s="6"/>
      <c r="B17" s="43">
        <v>43678</v>
      </c>
      <c r="C17" s="43">
        <v>43708</v>
      </c>
      <c r="D17" s="30">
        <v>900</v>
      </c>
      <c r="E17" s="1"/>
    </row>
    <row r="18" spans="1:5" x14ac:dyDescent="0.25">
      <c r="A18" s="6"/>
      <c r="B18" s="43">
        <v>43647</v>
      </c>
      <c r="C18" s="43">
        <v>43677</v>
      </c>
      <c r="D18" s="30">
        <v>2323</v>
      </c>
      <c r="E18" s="1"/>
    </row>
    <row r="19" spans="1:5" x14ac:dyDescent="0.25">
      <c r="A19" s="6"/>
      <c r="B19" s="43">
        <v>43617</v>
      </c>
      <c r="C19" s="43">
        <v>43646</v>
      </c>
      <c r="D19" s="30">
        <v>2222</v>
      </c>
      <c r="E19" s="1"/>
    </row>
    <row r="20" spans="1:5" x14ac:dyDescent="0.25">
      <c r="A20" s="6"/>
      <c r="B20" s="43">
        <v>43586</v>
      </c>
      <c r="C20" s="43">
        <v>43616</v>
      </c>
      <c r="D20" s="30">
        <v>447</v>
      </c>
      <c r="E20" s="1"/>
    </row>
    <row r="21" spans="1:5" x14ac:dyDescent="0.25">
      <c r="A21" s="6"/>
      <c r="B21" s="43">
        <v>43556</v>
      </c>
      <c r="C21" s="43">
        <v>43585</v>
      </c>
      <c r="D21" s="30">
        <v>430</v>
      </c>
      <c r="E21" s="1"/>
    </row>
    <row r="22" spans="1:5" x14ac:dyDescent="0.25">
      <c r="A22" s="6"/>
      <c r="B22" s="43">
        <v>43525</v>
      </c>
      <c r="C22" s="43">
        <v>43555</v>
      </c>
      <c r="D22" s="30">
        <v>6782</v>
      </c>
      <c r="E22" s="1"/>
    </row>
    <row r="23" spans="1:5" x14ac:dyDescent="0.25">
      <c r="A23" s="6"/>
      <c r="B23" s="43">
        <v>43497</v>
      </c>
      <c r="C23" s="43">
        <v>43524</v>
      </c>
      <c r="D23" s="30">
        <v>7655</v>
      </c>
      <c r="E23" s="1"/>
    </row>
    <row r="24" spans="1:5" x14ac:dyDescent="0.25">
      <c r="A24" s="6"/>
      <c r="B24" s="43">
        <v>43466</v>
      </c>
      <c r="C24" s="43">
        <v>43496</v>
      </c>
      <c r="D24" s="30">
        <v>987</v>
      </c>
      <c r="E24" s="1"/>
    </row>
    <row r="25" spans="1:5" x14ac:dyDescent="0.25">
      <c r="A25" s="6"/>
      <c r="B25" s="43">
        <v>43435</v>
      </c>
      <c r="C25" s="43">
        <v>43465</v>
      </c>
      <c r="D25" s="30">
        <v>1800</v>
      </c>
      <c r="E25" s="1"/>
    </row>
    <row r="26" spans="1:5" x14ac:dyDescent="0.25">
      <c r="A26" s="6"/>
      <c r="B26" s="43">
        <v>43405</v>
      </c>
      <c r="C26" s="43">
        <v>43434</v>
      </c>
      <c r="D26" s="30">
        <v>1545</v>
      </c>
      <c r="E26" s="1"/>
    </row>
    <row r="27" spans="1:5" x14ac:dyDescent="0.25">
      <c r="A27" s="6"/>
      <c r="B27" s="43">
        <v>43374</v>
      </c>
      <c r="C27" s="43">
        <v>43404</v>
      </c>
      <c r="D27" s="30">
        <v>1777</v>
      </c>
      <c r="E27" s="1"/>
    </row>
    <row r="28" spans="1:5" x14ac:dyDescent="0.25">
      <c r="A28" s="6"/>
      <c r="B28" s="43">
        <v>43344</v>
      </c>
      <c r="C28" s="43">
        <v>43373</v>
      </c>
      <c r="D28" s="30">
        <v>1050</v>
      </c>
      <c r="E28" s="1"/>
    </row>
    <row r="29" spans="1:5" x14ac:dyDescent="0.25">
      <c r="A29" s="6"/>
      <c r="B29" s="43">
        <v>43313</v>
      </c>
      <c r="C29" s="43">
        <v>43343</v>
      </c>
      <c r="D29" s="30">
        <v>900</v>
      </c>
      <c r="E29" s="1"/>
    </row>
    <row r="30" spans="1:5" x14ac:dyDescent="0.25">
      <c r="A30" s="6"/>
      <c r="B30" s="43">
        <v>43282</v>
      </c>
      <c r="C30" s="43">
        <v>43312</v>
      </c>
      <c r="D30" s="30">
        <v>2323</v>
      </c>
      <c r="E30" s="1"/>
    </row>
    <row r="31" spans="1:5" x14ac:dyDescent="0.25">
      <c r="A31" s="6"/>
      <c r="B31" s="43">
        <v>43252</v>
      </c>
      <c r="C31" s="43">
        <v>43281</v>
      </c>
      <c r="D31" s="30">
        <v>2222</v>
      </c>
      <c r="E31" s="1"/>
    </row>
    <row r="32" spans="1:5" x14ac:dyDescent="0.25">
      <c r="A32" s="28"/>
      <c r="B32" s="33"/>
      <c r="C32" s="33"/>
      <c r="D32" s="36"/>
      <c r="E32" s="21"/>
    </row>
    <row r="33" spans="1:9" ht="6" customHeight="1" x14ac:dyDescent="0.25">
      <c r="A33" s="28"/>
      <c r="B33" s="33"/>
      <c r="C33" s="33"/>
      <c r="D33" s="36"/>
      <c r="E33" s="21"/>
      <c r="I33" s="5" t="s">
        <v>645</v>
      </c>
    </row>
    <row r="34" spans="1:9" ht="25.5" customHeight="1" x14ac:dyDescent="0.25">
      <c r="A34" s="6" t="s">
        <v>548</v>
      </c>
      <c r="B34" s="34"/>
      <c r="C34" s="34"/>
      <c r="D34" s="34"/>
      <c r="E34" s="1"/>
      <c r="I34" s="5" t="s">
        <v>646</v>
      </c>
    </row>
    <row r="35" spans="1:9" x14ac:dyDescent="0.25">
      <c r="I35" s="5" t="s">
        <v>647</v>
      </c>
    </row>
    <row r="39" spans="1:9" x14ac:dyDescent="0.25">
      <c r="H39" s="5" t="s">
        <v>527</v>
      </c>
    </row>
    <row r="40" spans="1:9" x14ac:dyDescent="0.25">
      <c r="H40" s="5" t="s">
        <v>530</v>
      </c>
    </row>
    <row r="41" spans="1:9" x14ac:dyDescent="0.25">
      <c r="H41" s="5" t="s">
        <v>549</v>
      </c>
    </row>
    <row r="42" spans="1:9" x14ac:dyDescent="0.25">
      <c r="H42" s="5" t="s">
        <v>550</v>
      </c>
    </row>
    <row r="43" spans="1:9" x14ac:dyDescent="0.25">
      <c r="H43" s="5" t="s">
        <v>524</v>
      </c>
    </row>
    <row r="44" spans="1:9" x14ac:dyDescent="0.25">
      <c r="H44" s="5" t="s">
        <v>529</v>
      </c>
    </row>
    <row r="45" spans="1:9" x14ac:dyDescent="0.25">
      <c r="H45" s="5" t="s">
        <v>544</v>
      </c>
    </row>
    <row r="46" spans="1:9" x14ac:dyDescent="0.25">
      <c r="H46" s="5" t="s">
        <v>563</v>
      </c>
    </row>
    <row r="47" spans="1:9" x14ac:dyDescent="0.25">
      <c r="H47" s="5" t="s">
        <v>526</v>
      </c>
    </row>
    <row r="48" spans="1:9" x14ac:dyDescent="0.25">
      <c r="H48" s="3" t="s">
        <v>545</v>
      </c>
    </row>
    <row r="49" spans="8:8" x14ac:dyDescent="0.25">
      <c r="H49" s="3" t="s">
        <v>564</v>
      </c>
    </row>
    <row r="50" spans="8:8" x14ac:dyDescent="0.25">
      <c r="H50" s="3" t="s">
        <v>565</v>
      </c>
    </row>
    <row r="51" spans="8:8" x14ac:dyDescent="0.25">
      <c r="H51" s="5" t="s">
        <v>648</v>
      </c>
    </row>
    <row r="52" spans="8:8" x14ac:dyDescent="0.25">
      <c r="H52" s="5" t="s">
        <v>649</v>
      </c>
    </row>
    <row r="53" spans="8:8" x14ac:dyDescent="0.25">
      <c r="H53" s="5" t="s">
        <v>643</v>
      </c>
    </row>
    <row r="54" spans="8:8" x14ac:dyDescent="0.25">
      <c r="H54" s="5"/>
    </row>
    <row r="55" spans="8:8" x14ac:dyDescent="0.25">
      <c r="H55" s="5"/>
    </row>
    <row r="56" spans="8:8" x14ac:dyDescent="0.25">
      <c r="H56" s="5"/>
    </row>
    <row r="57" spans="8:8" x14ac:dyDescent="0.25">
      <c r="H57" s="5"/>
    </row>
    <row r="58" spans="8:8" x14ac:dyDescent="0.25">
      <c r="H58" s="5"/>
    </row>
    <row r="59" spans="8:8" x14ac:dyDescent="0.25">
      <c r="H59" s="5"/>
    </row>
    <row r="60" spans="8:8" x14ac:dyDescent="0.25">
      <c r="H60" s="5"/>
    </row>
    <row r="61" spans="8:8" x14ac:dyDescent="0.25">
      <c r="H61" s="5"/>
    </row>
    <row r="62" spans="8:8" x14ac:dyDescent="0.25">
      <c r="H62" s="5"/>
    </row>
    <row r="63" spans="8:8" x14ac:dyDescent="0.25">
      <c r="H63" s="5"/>
    </row>
  </sheetData>
  <sheetProtection algorithmName="SHA-512" hashValue="cZbzmEGuq9hxRuVyqA80/A5KzjBdpKLcg4zBDE80aISlPeo0YN4NFyIfknVGcVg1/ytwG+VG4u48aUWG2MHyMg==" saltValue="/6IDdEOP9aN/9M2tIpRhkA==" spinCount="100000" sheet="1" objects="1" scenarios="1" formatRows="0"/>
  <dataValidations count="6">
    <dataValidation type="textLength" allowBlank="1" showInputMessage="1" showErrorMessage="1" errorTitle=" Data Source" error="it can be accept 40 characters." sqref="D5" xr:uid="{FFB706E1-8394-4960-AB55-5DA24F5350B0}">
      <formula1>0</formula1>
      <formula2>40</formula2>
    </dataValidation>
    <dataValidation type="decimal" allowBlank="1" showInputMessage="1" showErrorMessage="1" error="Please enter a valid reading." sqref="D7:D31" xr:uid="{3F32BA25-C96D-4B89-A6E3-7C773131E696}">
      <formula1>0</formula1>
      <formula2>9999999999</formula2>
    </dataValidation>
    <dataValidation type="date" allowBlank="1" showInputMessage="1" showErrorMessage="1" error="Please enter a valid date in mm/dd/yyyy format." sqref="B7:C31" xr:uid="{FEFE6687-63E1-4390-BAE7-5C98B4CA122B}">
      <formula1>1</formula1>
      <formula2>73415</formula2>
    </dataValidation>
    <dataValidation allowBlank="1" showInputMessage="1" showErrorMessage="1" error="Please enter a valid date in mm/dd/yyyy format." sqref="B32:D34" xr:uid="{6B3750B4-A3B5-4440-BF88-79A4DA3E36F8}"/>
    <dataValidation type="list" allowBlank="1" showInputMessage="1" showErrorMessage="1" sqref="D3" xr:uid="{77151F05-F331-4B4C-90E3-8429DDDFE77C}">
      <formula1>WaterDrp</formula1>
    </dataValidation>
    <dataValidation type="list" allowBlank="1" showInputMessage="1" showErrorMessage="1" error="Units cannot edit." sqref="D4" xr:uid="{7D71A8C7-CE2C-478E-9382-C3177E7CDBAD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50</vt:i4>
      </vt:variant>
    </vt:vector>
  </HeadingPairs>
  <TitlesOfParts>
    <vt:vector size="66" baseType="lpstr">
      <vt:lpstr>Setup</vt:lpstr>
      <vt:lpstr>base_w</vt:lpstr>
      <vt:lpstr>base_e</vt:lpstr>
      <vt:lpstr>base_f</vt:lpstr>
      <vt:lpstr>AQI</vt:lpstr>
      <vt:lpstr>Ridership</vt:lpstr>
      <vt:lpstr>PM2.5</vt:lpstr>
      <vt:lpstr>PM10</vt:lpstr>
      <vt:lpstr>NO2</vt:lpstr>
      <vt:lpstr>SO2</vt:lpstr>
      <vt:lpstr>O3</vt:lpstr>
      <vt:lpstr>CO</vt:lpstr>
      <vt:lpstr>Waste Stream</vt:lpstr>
      <vt:lpstr>Energy Meter via upload</vt:lpstr>
      <vt:lpstr>Water meter via upload</vt:lpstr>
      <vt:lpstr>base_summary</vt:lpstr>
      <vt:lpstr>Countries</vt:lpstr>
      <vt:lpstr>CountriesDetails</vt:lpstr>
      <vt:lpstr>countryName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spacetype</vt:lpstr>
      <vt:lpstr>Units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'Water meter via upload'!WaterDrp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'Water meter via upload'!watUni</vt:lpstr>
      <vt:lpstr>watUni</vt:lpstr>
      <vt:lpstr>waUn</vt:lpstr>
      <vt:lpstr>waunit</vt:lpstr>
      <vt:lpstr>Wood</vt:lpstr>
      <vt:lpstr>woods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2014-11-12T06:32:08Z</dcterms:created>
  <dcterms:modified xsi:type="dcterms:W3CDTF">2019-06-13T06:57:10Z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