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77FCFC3D-55CC-4891-A29B-657CE741961E}" xr6:coauthVersionLast="36" xr6:coauthVersionMax="43" xr10:uidLastSave="{00000000-0000-0000-0000-000000000000}"/>
  <bookViews>
    <workbookView xWindow="-120" yWindow="-120" windowWidth="20730" windowHeight="11160" firstSheet="5" activeTab="7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6" r:id="rId14"/>
    <sheet name="Water meter via upload" sheetId="27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7" l="1"/>
  <c r="B1" i="27"/>
  <c r="D1" i="27" s="1"/>
  <c r="D6" i="26"/>
  <c r="B1" i="26"/>
  <c r="D1" i="26" s="1"/>
  <c r="U17" i="1" l="1"/>
  <c r="N16" i="1" l="1"/>
  <c r="L20" i="1" l="1"/>
  <c r="L18" i="1"/>
  <c r="L17" i="1"/>
  <c r="F21" i="1" s="1"/>
  <c r="D6" i="22" l="1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<sst xmlns="http://schemas.openxmlformats.org/spreadsheetml/2006/main" count="1057" uniqueCount="680">
  <si>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</si>
  <si>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</si>
  <si>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</si>
  <si>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</si>
  <si>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</si>
  <si>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</si>
  <si>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</si>
  <si>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</si>
  <si>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</si>
  <si>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</si>
  <si>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</si>
  <si>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</si>
  <si>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</si>
  <si>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</si>
  <si>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</si>
  <si>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</si>
  <si>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</si>
  <si>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</si>
  <si>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</si>
  <si>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</si>
  <si>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</si>
  <si>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</si>
  <si>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</si>
  <si>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</si>
  <si>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</si>
  <si>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</si>
  <si>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</si>
  <si>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</si>
  <si>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</si>
  <si>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</si>
  <si>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</si>
  <si>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</si>
  <si>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</si>
  <si>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</si>
  <si>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</si>
  <si>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</si>
  <si>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</si>
  <si>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</si>
  <si>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</si>
  <si>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</si>
  <si>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</si>
  <si>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</si>
  <si>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</si>
  <si>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</si>
  <si>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</si>
  <si>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</si>
  <si>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</si>
  <si>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</si>
  <si>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</si>
  <si>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</si>
  <si>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</si>
  <si>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</si>
  <si>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</si>
  <si>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</si>
  <si>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</si>
  <si>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</si>
  <si>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</si>
  <si>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</si>
  <si>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</si>
  <si>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</si>
  <si>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</si>
  <si>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</si>
  <si>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</si>
  <si>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</si>
  <si>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</si>
  <si>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</si>
  <si>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</si>
  <si>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</si>
  <si>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</si>
  <si>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</si>
  <si>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</si>
  <si>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</si>
  <si>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</si>
  <si>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</si>
  <si>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</si>
  <si>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</si>
  <si>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</si>
  <si>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</si>
  <si>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</si>
  <si>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</si>
  <si>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</si>
  <si>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</si>
  <si>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</si>
  <si>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</si>
  <si>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</si>
  <si>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</si>
  <si>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</si>
  <si>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</si>
  <si>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</si>
  <si>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</si>
  <si>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</si>
  <si>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</si>
  <si>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</si>
  <si>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</si>
  <si>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</si>
  <si>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</si>
  <si>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</si>
  <si>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</si>
  <si>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</si>
  <si>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</si>
  <si>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</si>
  <si>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</si>
  <si>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</si>
  <si>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</si>
  <si>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</si>
  <si>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</si>
  <si>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</si>
  <si>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</si>
  <si>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</si>
  <si>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</si>
  <si>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</si>
  <si>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</si>
  <si>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</si>
  <si>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</si>
  <si>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</si>
  <si>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</si>
  <si>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</si>
  <si>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</si>
  <si>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</si>
  <si>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</si>
  <si>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</si>
  <si>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</si>
  <si>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</si>
  <si>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</si>
  <si>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</si>
  <si>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</si>
  <si>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</si>
  <si>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</si>
  <si>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</si>
  <si>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</si>
  <si>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</si>
  <si>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</si>
  <si>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</si>
  <si>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</si>
  <si>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</si>
  <si>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</si>
  <si>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</si>
  <si>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</si>
  <si>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</si>
  <si>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</si>
  <si>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</si>
  <si>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</si>
  <si>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</si>
  <si>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</si>
  <si>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</si>
  <si>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</si>
  <si>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</si>
  <si>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</si>
  <si>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</si>
  <si>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</si>
  <si>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</si>
  <si>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</si>
  <si>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</si>
  <si>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</si>
  <si>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</si>
  <si>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</si>
  <si>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</si>
  <si>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</si>
  <si>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</si>
  <si>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</si>
  <si>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</si>
  <si>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</si>
  <si>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</si>
  <si>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</si>
  <si>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</si>
  <si>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</si>
  <si>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</si>
  <si>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</si>
  <si>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</si>
  <si>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</si>
  <si>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</si>
  <si>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</si>
  <si>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</si>
  <si>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</si>
  <si>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</si>
  <si>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</si>
  <si>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</si>
  <si>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</si>
  <si>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</si>
  <si>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</si>
  <si>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</si>
  <si>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</si>
  <si>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</si>
  <si>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</si>
  <si>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</si>
  <si>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</si>
  <si>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</si>
  <si>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</si>
  <si>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</si>
  <si>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</si>
  <si>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</si>
  <si>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</si>
  <si>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</si>
  <si>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</si>
  <si>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</si>
  <si>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</si>
  <si>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</si>
  <si>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</si>
  <si>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</si>
  <si>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</si>
  <si>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</si>
  <si>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</si>
  <si>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</si>
  <si>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</si>
  <si>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</si>
  <si>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</si>
  <si>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</si>
  <si>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</si>
  <si>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</si>
  <si>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</si>
  <si>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</si>
  <si>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</si>
  <si>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</si>
  <si>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</si>
  <si>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</si>
  <si>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</si>
  <si>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</si>
  <si>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</si>
  <si>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</si>
  <si>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</si>
  <si>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</si>
  <si>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</si>
  <si>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</si>
  <si>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</si>
  <si>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</si>
  <si>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</si>
  <si>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</si>
  <si>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</si>
  <si>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</si>
  <si>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</si>
  <si>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</si>
  <si>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</si>
  <si>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</si>
  <si>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</si>
  <si>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</si>
  <si>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</si>
  <si>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</si>
  <si>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</si>
  <si>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</si>
  <si>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</si>
  <si>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</si>
  <si>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</si>
  <si>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</si>
  <si>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</si>
  <si>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</si>
  <si>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</si>
  <si>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</si>
  <si>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</si>
  <si>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</si>
  <si>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</si>
  <si>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</si>
  <si>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</si>
  <si>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</si>
  <si>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</si>
  <si>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</si>
  <si>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</si>
  <si>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</si>
  <si>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</si>
  <si>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</si>
  <si>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</si>
  <si>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</si>
  <si>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</si>
  <si>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</si>
  <si>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</si>
  <si>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</si>
  <si>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</si>
  <si>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</si>
  <si>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</si>
  <si>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</si>
  <si>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</si>
  <si>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</si>
  <si>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</si>
  <si>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</si>
  <si>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</si>
  <si>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</si>
  <si>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</si>
  <si>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</si>
  <si>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</si>
  <si>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</si>
  <si>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</si>
  <si>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</si>
  <si>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</si>
  <si>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</si>
  <si>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</si>
  <si>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</si>
  <si>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</si>
  <si>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</si>
  <si>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</si>
  <si>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</si>
  <si>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</si>
  <si>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</si>
  <si>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</si>
  <si>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</si>
  <si>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</si>
  <si>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</si>
  <si>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</si>
  <si>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</si>
  <si>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</si>
  <si>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</si>
  <si>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</si>
  <si>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</si>
  <si>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</si>
  <si>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</si>
  <si>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</si>
  <si>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</si>
  <si>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</si>
  <si>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</si>
  <si>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</si>
  <si>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</si>
  <si>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</si>
  <si>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</si>
  <si>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</si>
  <si>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</si>
  <si>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</si>
  <si>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</si>
  <si>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</si>
  <si>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</si>
  <si>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</si>
  <si>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</si>
  <si>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</si>
  <si>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</si>
  <si>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</si>
  <si>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</si>
  <si>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</si>
  <si>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</si>
  <si>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</si>
  <si>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</si>
  <si>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</si>
  <si>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</si>
  <si>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</si>
  <si>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</si>
  <si>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</si>
  <si>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</si>
  <si>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</si>
  <si>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</si>
  <si>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</si>
  <si>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</si>
  <si>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</si>
  <si>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</si>
  <si>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</si>
  <si>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</si>
  <si>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</si>
  <si>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</si>
  <si>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</si>
  <si>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</si>
  <si>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</si>
  <si>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</si>
  <si>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</si>
  <si>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</si>
  <si>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</si>
  <si>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</si>
  <si>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</si>
  <si>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</si>
  <si>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</si>
  <si>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</si>
  <si>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</si>
  <si>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</si>
  <si>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</si>
  <si>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</si>
  <si>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</si>
  <si>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</si>
  <si>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</si>
  <si>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</si>
  <si>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</si>
  <si>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</si>
  <si>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</si>
  <si>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</si>
  <si>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</si>
  <si>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</si>
  <si>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</si>
  <si>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</si>
  <si>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</si>
  <si>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</si>
  <si>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</si>
  <si>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</si>
  <si>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</si>
  <si>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</si>
  <si>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</si>
  <si>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</si>
  <si>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</si>
  <si>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</si>
  <si>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</si>
  <si>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</si>
  <si>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</si>
  <si>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</si>
  <si>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</si>
  <si>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</si>
  <si>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</si>
  <si>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</si>
  <si>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</si>
  <si>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</si>
  <si>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</si>
  <si>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</si>
  <si>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</si>
  <si>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</si>
  <si>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</si>
  <si>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</si>
  <si>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</si>
  <si>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</si>
  <si>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</si>
  <si>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</si>
  <si>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</si>
  <si>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</si>
  <si>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</si>
  <si>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</si>
  <si>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</si>
  <si>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</si>
  <si>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</si>
  <si>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</si>
  <si>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</si>
  <si>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</si>
  <si>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</si>
  <si>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</si>
  <si>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</si>
  <si>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</si>
  <si>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</si>
  <si>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</si>
  <si>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</si>
  <si>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</si>
  <si>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</si>
  <si>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</si>
  <si>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</si>
  <si>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</si>
  <si>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</si>
  <si>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</si>
  <si>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</si>
  <si>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</si>
  <si>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</si>
  <si>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</si>
  <si>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</si>
  <si>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</si>
  <si>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</si>
  <si>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</si>
  <si>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</si>
  <si>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</si>
  <si>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</si>
  <si>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</si>
  <si>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</si>
  <si>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</si>
  <si>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</si>
  <si>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</si>
  <si>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</si>
  <si>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</si>
  <si>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</si>
  <si>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</si>
  <si>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</si>
  <si>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</si>
  <si>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</si>
  <si>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</si>
  <si>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</si>
  <si>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</si>
  <si>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</si>
  <si>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</si>
  <si>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</si>
  <si>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</si>
  <si>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</si>
  <si>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</si>
  <si>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</si>
  <si>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</si>
  <si>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</si>
  <si>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</si>
  <si>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</si>
  <si>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</si>
  <si>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</si>
  <si>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</si>
  <si>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</si>
  <si>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</si>
  <si>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</si>
  <si>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</si>
  <si>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</si>
  <si>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</si>
  <si>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</si>
  <si>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</si>
  <si>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</si>
  <si>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</si>
  <si>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</si>
  <si>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</si>
  <si>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</si>
  <si>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</si>
  <si>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</si>
  <si>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</si>
  <si>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</si>
  <si>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</si>
  <si>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</si>
  <si>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</si>
  <si>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</si>
  <si>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</si>
  <si>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</si>
  <si>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</si>
  <si>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</si>
  <si>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</si>
  <si>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</si>
  <si>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</si>
  <si>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</si>
  <si>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</si>
  <si>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</si>
  <si>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</si>
  <si>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</si>
  <si>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</si>
  <si>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</si>
  <si>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</si>
  <si>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</si>
  <si>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</si>
  <si>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</si>
  <si>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</si>
  <si>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</si>
  <si>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</si>
  <si>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</si>
  <si>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</si>
  <si>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</si>
  <si>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</si>
  <si>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</si>
  <si>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</si>
  <si>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</si>
  <si>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</si>
  <si>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</si>
  <si>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</si>
  <si>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</si>
  <si>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</si>
  <si>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</si>
  <si>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</si>
  <si>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</si>
  <si>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</si>
  <si>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</si>
  <si>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</si>
  <si>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</si>
  <si>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</si>
  <si>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</si>
  <si>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</si>
  <si>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</si>
  <si>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</si>
  <si>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</si>
  <si>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</si>
  <si>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</si>
  <si>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</si>
  <si>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</si>
  <si>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</si>
  <si>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</si>
  <si>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</si>
  <si>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</si>
  <si>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</si>
  <si>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</si>
  <si>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</si>
  <si>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</si>
  <si>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</si>
  <si>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</si>
  <si>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</si>
  <si>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</si>
  <si>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</si>
  <si>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</si>
  <si>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</si>
  <si>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</si>
  <si>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</si>
  <si>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</si>
  <si>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</si>
  <si>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</si>
  <si>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</si>
  <si>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</si>
  <si>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</si>
  <si>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</si>
  <si>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</si>
  <si>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</si>
  <si>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</si>
  <si>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</si>
  <si>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</si>
  <si>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</si>
  <si>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</si>
  <si>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</si>
  <si>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</si>
  <si>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</si>
  <si>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</si>
  <si>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</si>
  <si>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</si>
  <si>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</si>
  <si>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</si>
  <si>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</si>
  <si>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</si>
  <si>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</si>
  <si>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</si>
  <si>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</si>
  <si>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</si>
  <si>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</si>
  <si>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</si>
  <si>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</si>
  <si>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</si>
  <si>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</si>
  <si>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</si>
  <si>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</si>
  <si>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</si>
  <si>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</si>
  <si>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</si>
  <si>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</si>
  <si>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</si>
  <si>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</si>
  <si>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</si>
  <si>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</si>
  <si>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</si>
  <si>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</si>
  <si>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</si>
  <si>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</si>
  <si>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</si>
  <si>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</si>
  <si>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</si>
  <si>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</si>
  <si>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</si>
  <si>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</si>
  <si>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</si>
  <si>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</si>
  <si>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</si>
  <si>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</si>
  <si>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</si>
  <si>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</si>
  <si>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</si>
  <si>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</si>
  <si>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</si>
  <si>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</si>
  <si>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</si>
  <si>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</si>
  <si>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</si>
  <si>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</si>
  <si>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</si>
  <si>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</si>
  <si>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</si>
  <si>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</si>
  <si>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</si>
  <si>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</si>
  <si>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</si>
  <si>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</si>
  <si>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</si>
  <si>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</si>
  <si>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</si>
  <si>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</si>
  <si>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</si>
  <si>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</si>
  <si>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</si>
  <si>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</si>
  <si>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</si>
  <si>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</si>
  <si>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</si>
  <si>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</si>
  <si>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</si>
  <si>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</si>
  <si>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</si>
  <si>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</si>
  <si>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</si>
  <si>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</si>
  <si>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</si>
  <si>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</si>
  <si>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</si>
  <si>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</si>
  <si>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</si>
  <si>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</si>
  <si>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</si>
  <si>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</si>
  <si>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</si>
  <si>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</si>
  <si>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</si>
  <si>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</si>
  <si>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</si>
  <si>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</si>
  <si>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</si>
  <si>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</si>
  <si>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</si>
  <si>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</si>
  <si>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</si>
  <si>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</si>
  <si>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</si>
  <si>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</si>
  <si>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</si>
  <si>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</si>
  <si>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</si>
  <si>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</si>
  <si>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Values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</si>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</sst>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3" fontId="4" fillId="0" borderId="25" xfId="8" applyNumberFormat="1" applyFont="1" applyFill="1" applyBorder="1" applyAlignment="1" applyProtection="1">
      <alignment horizontal="right" vertical="center" indent="1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8" fillId="0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35</xdr:row>
          <xdr:rowOff>0</xdr:rowOff>
        </xdr:from>
        <xdr:to>
          <xdr:col>2</xdr:col>
          <xdr:colOff>9525</xdr:colOff>
          <xdr:row>36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34</xdr:row>
          <xdr:rowOff>190500</xdr:rowOff>
        </xdr:from>
        <xdr:to>
          <xdr:col>3</xdr:col>
          <xdr:colOff>9525</xdr:colOff>
          <xdr:row>36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190500</xdr:rowOff>
        </xdr:from>
        <xdr:to>
          <xdr:col>2</xdr:col>
          <xdr:colOff>9525</xdr:colOff>
          <xdr:row>22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190500</xdr:rowOff>
        </xdr:from>
        <xdr:to>
          <xdr:col>3</xdr:col>
          <xdr:colOff>9525</xdr:colOff>
          <xdr:row>22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0</xdr:rowOff>
        </xdr:from>
        <xdr:to>
          <xdr:col>2</xdr:col>
          <xdr:colOff>9525</xdr:colOff>
          <xdr:row>34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0</xdr:rowOff>
        </xdr:from>
        <xdr:to>
          <xdr:col>3</xdr:col>
          <xdr:colOff>9525</xdr:colOff>
          <xdr:row>34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32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U322"/>
  <sheetViews>
    <sheetView showGridLines="0" zoomScale="90" zoomScaleNormal="90" workbookViewId="0">
      <selection activeCell="Y21" sqref="Y21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4" t="s">
        <v>650</v>
      </c>
      <c r="D3" s="125"/>
      <c r="E3" s="125"/>
      <c r="F3" s="125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582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583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675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4"/>
      <c r="C15" s="130"/>
      <c r="D15" s="131"/>
      <c r="E15" s="116" t="s">
        <v>673</v>
      </c>
      <c r="F15" s="115" t="s">
        <v>672</v>
      </c>
      <c r="G15" s="9"/>
      <c r="H15" s="9"/>
      <c r="I15" s="10"/>
      <c r="J15" s="9"/>
      <c r="K15" s="85"/>
      <c r="L15" s="49"/>
      <c r="M15" s="49"/>
      <c r="N15" s="49"/>
    </row>
    <row r="16" spans="2:14" x14ac:dyDescent="0.25">
      <c r="B16" s="84"/>
      <c r="C16" s="126" t="str">
        <f>CONCATENATE("Gross 
Floor Area 
",IF(Setup!$F$9="SI units","(sq m)","(sq ft)"))</f>
        <v>Gross 
Floor Area 
(sq ft)</v>
      </c>
      <c r="D16" s="127"/>
      <c r="E16" s="119">
        <v>42736</v>
      </c>
      <c r="F16" s="113">
        <v>2000</v>
      </c>
      <c r="G16" s="11"/>
      <c r="H16" s="11"/>
      <c r="I16" s="12"/>
      <c r="J16" s="11"/>
      <c r="K16" s="62"/>
      <c r="L16" s="49"/>
      <c r="M16" s="49"/>
      <c r="N16" s="117">
        <f ca="1">TODAY()</f>
        <v>43633</v>
      </c>
    </row>
    <row r="17" spans="2:21" x14ac:dyDescent="0.25">
      <c r="B17" s="84"/>
      <c r="C17" s="126" t="s">
        <v>666</v>
      </c>
      <c r="D17" s="127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  <c r="U17" s="50" t="b">
        <f>FALSE()</f>
        <v>0</v>
      </c>
    </row>
    <row r="18" spans="2:21" x14ac:dyDescent="0.25">
      <c r="B18" s="84"/>
      <c r="C18" s="126" t="s">
        <v>664</v>
      </c>
      <c r="D18" s="127"/>
      <c r="E18" s="119">
        <v>42736</v>
      </c>
      <c r="F18" s="82">
        <v>100</v>
      </c>
      <c r="G18" s="11"/>
      <c r="H18" s="11"/>
      <c r="I18" s="12"/>
      <c r="J18" s="11"/>
      <c r="K18" s="85"/>
      <c r="L18" s="49">
        <f>F18/7</f>
        <v>14.285714285714286</v>
      </c>
      <c r="M18" s="49"/>
      <c r="N18" s="49"/>
    </row>
    <row r="19" spans="2:21" x14ac:dyDescent="0.25">
      <c r="B19" s="61"/>
      <c r="C19" s="126" t="s">
        <v>667</v>
      </c>
      <c r="D19" s="127"/>
      <c r="E19" s="120"/>
      <c r="F19" s="82">
        <v>8</v>
      </c>
      <c r="G19" s="11"/>
      <c r="H19" s="11"/>
      <c r="I19" s="12"/>
      <c r="J19" s="11"/>
      <c r="K19" s="85"/>
      <c r="L19" s="49"/>
      <c r="M19" s="49"/>
      <c r="N19" s="49"/>
    </row>
    <row r="20" spans="2:21" ht="30" customHeight="1" x14ac:dyDescent="0.25">
      <c r="B20" s="61"/>
      <c r="C20" s="128" t="s">
        <v>668</v>
      </c>
      <c r="D20" s="129"/>
      <c r="E20" s="120"/>
      <c r="F20" s="82">
        <v>16</v>
      </c>
      <c r="G20" s="11"/>
      <c r="H20" s="11"/>
      <c r="I20" s="12"/>
      <c r="J20" s="11"/>
      <c r="K20" s="85"/>
      <c r="L20" s="49">
        <f>F20/60</f>
        <v>0.26666666666666666</v>
      </c>
      <c r="M20" s="49"/>
      <c r="N20" s="49"/>
    </row>
    <row r="21" spans="2:21" x14ac:dyDescent="0.25">
      <c r="B21" s="61"/>
      <c r="C21" s="126" t="s">
        <v>669</v>
      </c>
      <c r="D21" s="127"/>
      <c r="E21" s="119">
        <v>42736</v>
      </c>
      <c r="F21" s="83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21" ht="24" customHeight="1" x14ac:dyDescent="0.25">
      <c r="B22" s="61"/>
      <c r="C22" s="11"/>
      <c r="D22" s="11"/>
      <c r="E22" s="11"/>
      <c r="F22" s="86"/>
      <c r="G22" s="11"/>
      <c r="H22" s="11"/>
      <c r="I22" s="12"/>
      <c r="J22" s="11"/>
      <c r="K22" s="62"/>
      <c r="L22" s="49"/>
      <c r="M22" s="49"/>
      <c r="N22" s="49"/>
    </row>
    <row r="23" spans="2:21" ht="30" customHeight="1" x14ac:dyDescent="0.25">
      <c r="B23" s="61"/>
      <c r="C23" s="18" t="s">
        <v>584</v>
      </c>
      <c r="D23" s="11"/>
      <c r="E23" s="11"/>
      <c r="F23" s="11"/>
      <c r="G23" s="11"/>
      <c r="H23" s="11"/>
      <c r="I23" s="12"/>
      <c r="J23" s="11"/>
      <c r="K23" s="62"/>
    </row>
    <row r="24" spans="2:21" x14ac:dyDescent="0.25">
      <c r="B24" s="61"/>
      <c r="C24" s="55" t="s">
        <v>566</v>
      </c>
      <c r="D24" s="46"/>
      <c r="E24" s="47"/>
      <c r="F24" s="45" t="s">
        <v>543</v>
      </c>
      <c r="G24" s="9"/>
      <c r="H24" s="9"/>
      <c r="I24" s="10"/>
      <c r="J24" s="9"/>
      <c r="K24" s="62"/>
    </row>
    <row r="25" spans="2:21" x14ac:dyDescent="0.25">
      <c r="B25" s="61"/>
      <c r="C25" s="48" t="s">
        <v>494</v>
      </c>
      <c r="D25" s="19"/>
      <c r="E25" s="20"/>
      <c r="F25" s="11"/>
      <c r="G25" s="9"/>
      <c r="H25" s="9"/>
      <c r="I25" s="10"/>
      <c r="J25" s="9"/>
      <c r="K25" s="62"/>
    </row>
    <row r="26" spans="2:21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21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21" ht="21" customHeight="1" x14ac:dyDescent="0.25">
      <c r="B28" s="61"/>
      <c r="C28" s="75" t="s">
        <v>585</v>
      </c>
      <c r="D28" s="76"/>
      <c r="E28" s="72"/>
      <c r="F28" s="72"/>
      <c r="G28" s="77"/>
      <c r="H28" s="77"/>
      <c r="I28" s="77"/>
      <c r="J28" s="77"/>
      <c r="K28" s="62"/>
    </row>
    <row r="29" spans="2:21" ht="30.6" customHeight="1" x14ac:dyDescent="0.25">
      <c r="B29" s="61"/>
      <c r="C29" s="123" t="s">
        <v>572</v>
      </c>
      <c r="D29" s="123"/>
      <c r="E29" s="123"/>
      <c r="F29" s="123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551</v>
      </c>
      <c r="Q29" s="50" t="s">
        <v>551</v>
      </c>
      <c r="S29" s="87" t="s">
        <v>580</v>
      </c>
    </row>
    <row r="30" spans="2:21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543</v>
      </c>
      <c r="Q30" s="50" t="s">
        <v>543</v>
      </c>
      <c r="S30" s="88" t="s">
        <v>587</v>
      </c>
    </row>
    <row r="31" spans="2:21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561</v>
      </c>
      <c r="Q31" s="50" t="s">
        <v>561</v>
      </c>
      <c r="S31" s="88" t="s">
        <v>588</v>
      </c>
    </row>
    <row r="32" spans="2:21" ht="11.25" customHeight="1" x14ac:dyDescent="0.25">
      <c r="F32" s="51"/>
      <c r="K32" s="54"/>
      <c r="L32" s="52" t="s">
        <v>12</v>
      </c>
      <c r="M32" s="52" t="s">
        <v>13</v>
      </c>
      <c r="O32" s="50" t="s">
        <v>558</v>
      </c>
      <c r="S32" s="88" t="s">
        <v>589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560</v>
      </c>
      <c r="S33" s="88" t="s">
        <v>590</v>
      </c>
    </row>
    <row r="34" spans="6:19" x14ac:dyDescent="0.25">
      <c r="F34" s="63" t="s">
        <v>677</v>
      </c>
      <c r="K34" s="63" t="s">
        <v>674</v>
      </c>
      <c r="L34" s="52" t="s">
        <v>16</v>
      </c>
      <c r="M34" s="52" t="s">
        <v>17</v>
      </c>
      <c r="O34" s="50" t="s">
        <v>559</v>
      </c>
      <c r="S34" s="88" t="s">
        <v>591</v>
      </c>
    </row>
    <row r="35" spans="6:19" x14ac:dyDescent="0.25">
      <c r="K35" s="63" t="s">
        <v>586</v>
      </c>
      <c r="L35" s="52" t="s">
        <v>18</v>
      </c>
      <c r="M35" s="52" t="s">
        <v>19</v>
      </c>
      <c r="S35" s="88" t="s">
        <v>592</v>
      </c>
    </row>
    <row r="36" spans="6:19" x14ac:dyDescent="0.25">
      <c r="K36" s="63" t="s">
        <v>570</v>
      </c>
      <c r="L36" s="52" t="s">
        <v>20</v>
      </c>
      <c r="M36" s="52" t="s">
        <v>21</v>
      </c>
      <c r="S36" s="88" t="s">
        <v>593</v>
      </c>
    </row>
    <row r="37" spans="6:19" x14ac:dyDescent="0.25">
      <c r="K37" s="63" t="s">
        <v>571</v>
      </c>
      <c r="L37" s="52" t="s">
        <v>22</v>
      </c>
      <c r="M37" s="52" t="s">
        <v>23</v>
      </c>
      <c r="S37" s="88" t="s">
        <v>594</v>
      </c>
    </row>
    <row r="38" spans="6:19" x14ac:dyDescent="0.25">
      <c r="L38" s="52" t="s">
        <v>24</v>
      </c>
      <c r="M38" s="52" t="s">
        <v>25</v>
      </c>
      <c r="S38" s="88" t="s">
        <v>595</v>
      </c>
    </row>
    <row r="39" spans="6:19" x14ac:dyDescent="0.25">
      <c r="L39" s="52" t="s">
        <v>26</v>
      </c>
      <c r="M39" s="52" t="s">
        <v>27</v>
      </c>
      <c r="S39" s="88" t="s">
        <v>596</v>
      </c>
    </row>
    <row r="40" spans="6:19" x14ac:dyDescent="0.25">
      <c r="L40" s="52" t="s">
        <v>28</v>
      </c>
      <c r="M40" s="52" t="s">
        <v>29</v>
      </c>
      <c r="S40" s="88" t="s">
        <v>597</v>
      </c>
    </row>
    <row r="41" spans="6:19" x14ac:dyDescent="0.25">
      <c r="L41" s="52" t="s">
        <v>30</v>
      </c>
      <c r="M41" s="52" t="s">
        <v>31</v>
      </c>
      <c r="S41" s="88" t="s">
        <v>598</v>
      </c>
    </row>
    <row r="42" spans="6:19" x14ac:dyDescent="0.25">
      <c r="L42" s="52" t="s">
        <v>32</v>
      </c>
      <c r="M42" s="52" t="s">
        <v>33</v>
      </c>
      <c r="S42" s="88" t="s">
        <v>599</v>
      </c>
    </row>
    <row r="43" spans="6:19" x14ac:dyDescent="0.25">
      <c r="L43" s="52" t="s">
        <v>34</v>
      </c>
      <c r="M43" s="52" t="s">
        <v>35</v>
      </c>
      <c r="S43" s="88" t="s">
        <v>600</v>
      </c>
    </row>
    <row r="44" spans="6:19" x14ac:dyDescent="0.25">
      <c r="L44" s="52" t="s">
        <v>36</v>
      </c>
      <c r="M44" s="52" t="s">
        <v>37</v>
      </c>
      <c r="S44" s="88" t="s">
        <v>601</v>
      </c>
    </row>
    <row r="45" spans="6:19" x14ac:dyDescent="0.25">
      <c r="L45" s="52" t="s">
        <v>38</v>
      </c>
      <c r="M45" s="52" t="s">
        <v>39</v>
      </c>
      <c r="S45" s="88" t="s">
        <v>602</v>
      </c>
    </row>
    <row r="46" spans="6:19" x14ac:dyDescent="0.25">
      <c r="L46" s="52" t="s">
        <v>40</v>
      </c>
      <c r="M46" s="52" t="s">
        <v>41</v>
      </c>
      <c r="S46" s="88" t="s">
        <v>603</v>
      </c>
    </row>
    <row r="47" spans="6:19" x14ac:dyDescent="0.25">
      <c r="L47" s="52" t="s">
        <v>42</v>
      </c>
      <c r="M47" s="52" t="s">
        <v>43</v>
      </c>
      <c r="S47" s="88" t="s">
        <v>604</v>
      </c>
    </row>
    <row r="48" spans="6:19" x14ac:dyDescent="0.25">
      <c r="L48" s="52" t="s">
        <v>44</v>
      </c>
      <c r="M48" s="52" t="s">
        <v>45</v>
      </c>
      <c r="S48" s="88" t="s">
        <v>605</v>
      </c>
    </row>
    <row r="49" spans="12:19" x14ac:dyDescent="0.25">
      <c r="L49" s="52" t="s">
        <v>46</v>
      </c>
      <c r="M49" s="52" t="s">
        <v>47</v>
      </c>
      <c r="S49" s="88" t="s">
        <v>606</v>
      </c>
    </row>
    <row r="50" spans="12:19" x14ac:dyDescent="0.25">
      <c r="L50" s="52" t="s">
        <v>48</v>
      </c>
      <c r="M50" s="52" t="s">
        <v>49</v>
      </c>
      <c r="S50" s="88" t="s">
        <v>607</v>
      </c>
    </row>
    <row r="51" spans="12:19" x14ac:dyDescent="0.25">
      <c r="L51" s="52" t="s">
        <v>50</v>
      </c>
      <c r="M51" s="52" t="s">
        <v>51</v>
      </c>
      <c r="S51" s="88" t="s">
        <v>608</v>
      </c>
    </row>
    <row r="52" spans="12:19" x14ac:dyDescent="0.25">
      <c r="L52" s="52" t="s">
        <v>52</v>
      </c>
      <c r="M52" s="52" t="s">
        <v>53</v>
      </c>
      <c r="S52" s="88" t="s">
        <v>609</v>
      </c>
    </row>
    <row r="53" spans="12:19" x14ac:dyDescent="0.25">
      <c r="L53" s="52" t="s">
        <v>54</v>
      </c>
      <c r="M53" s="52" t="s">
        <v>55</v>
      </c>
      <c r="S53" s="88" t="s">
        <v>610</v>
      </c>
    </row>
    <row r="54" spans="12:19" x14ac:dyDescent="0.25">
      <c r="L54" s="52" t="s">
        <v>56</v>
      </c>
      <c r="M54" s="52" t="s">
        <v>57</v>
      </c>
      <c r="S54" s="88" t="s">
        <v>611</v>
      </c>
    </row>
    <row r="55" spans="12:19" x14ac:dyDescent="0.25">
      <c r="L55" s="52" t="s">
        <v>58</v>
      </c>
      <c r="M55" s="52" t="s">
        <v>59</v>
      </c>
      <c r="S55" s="88" t="s">
        <v>612</v>
      </c>
    </row>
    <row r="56" spans="12:19" x14ac:dyDescent="0.25">
      <c r="L56" s="52" t="s">
        <v>60</v>
      </c>
      <c r="M56" s="52" t="s">
        <v>61</v>
      </c>
      <c r="S56" s="88" t="s">
        <v>613</v>
      </c>
    </row>
    <row r="57" spans="12:19" x14ac:dyDescent="0.25">
      <c r="L57" s="52" t="s">
        <v>62</v>
      </c>
      <c r="M57" s="52" t="s">
        <v>63</v>
      </c>
      <c r="S57" s="88" t="s">
        <v>614</v>
      </c>
    </row>
    <row r="58" spans="12:19" x14ac:dyDescent="0.25">
      <c r="L58" s="52" t="s">
        <v>64</v>
      </c>
      <c r="M58" s="52" t="s">
        <v>65</v>
      </c>
      <c r="S58" s="88" t="s">
        <v>615</v>
      </c>
    </row>
    <row r="59" spans="12:19" x14ac:dyDescent="0.25">
      <c r="L59" s="52" t="s">
        <v>66</v>
      </c>
      <c r="M59" s="52" t="s">
        <v>67</v>
      </c>
      <c r="S59" s="88" t="s">
        <v>616</v>
      </c>
    </row>
    <row r="60" spans="12:19" x14ac:dyDescent="0.25">
      <c r="L60" s="52" t="s">
        <v>68</v>
      </c>
      <c r="M60" s="52" t="s">
        <v>69</v>
      </c>
      <c r="S60" s="88" t="s">
        <v>617</v>
      </c>
    </row>
    <row r="61" spans="12:19" x14ac:dyDescent="0.25">
      <c r="L61" s="52" t="s">
        <v>70</v>
      </c>
      <c r="M61" s="52" t="s">
        <v>71</v>
      </c>
      <c r="S61" s="88" t="s">
        <v>618</v>
      </c>
    </row>
    <row r="62" spans="12:19" x14ac:dyDescent="0.25">
      <c r="L62" s="52" t="s">
        <v>72</v>
      </c>
      <c r="M62" s="52" t="s">
        <v>73</v>
      </c>
      <c r="S62" s="88" t="s">
        <v>619</v>
      </c>
    </row>
    <row r="63" spans="12:19" x14ac:dyDescent="0.25">
      <c r="L63" s="52" t="s">
        <v>74</v>
      </c>
      <c r="M63" s="52" t="s">
        <v>75</v>
      </c>
      <c r="S63" s="88" t="s">
        <v>620</v>
      </c>
    </row>
    <row r="64" spans="12:19" x14ac:dyDescent="0.25">
      <c r="L64" s="52" t="s">
        <v>76</v>
      </c>
      <c r="M64" s="52" t="s">
        <v>77</v>
      </c>
      <c r="S64" s="88" t="s">
        <v>621</v>
      </c>
    </row>
    <row r="65" spans="12:19" x14ac:dyDescent="0.25">
      <c r="L65" s="52" t="s">
        <v>78</v>
      </c>
      <c r="M65" s="52" t="s">
        <v>79</v>
      </c>
      <c r="S65" s="88" t="s">
        <v>622</v>
      </c>
    </row>
    <row r="66" spans="12:19" x14ac:dyDescent="0.25">
      <c r="L66" s="52" t="s">
        <v>80</v>
      </c>
      <c r="M66" s="52" t="s">
        <v>81</v>
      </c>
      <c r="S66" s="88" t="s">
        <v>623</v>
      </c>
    </row>
    <row r="67" spans="12:19" x14ac:dyDescent="0.25">
      <c r="L67" s="52" t="s">
        <v>82</v>
      </c>
      <c r="M67" s="52" t="s">
        <v>83</v>
      </c>
      <c r="S67" s="88" t="s">
        <v>624</v>
      </c>
    </row>
    <row r="68" spans="12:19" x14ac:dyDescent="0.25">
      <c r="L68" s="52" t="s">
        <v>84</v>
      </c>
      <c r="M68" s="52" t="s">
        <v>85</v>
      </c>
      <c r="S68" s="88" t="s">
        <v>625</v>
      </c>
    </row>
    <row r="69" spans="12:19" x14ac:dyDescent="0.25">
      <c r="L69" s="52" t="s">
        <v>86</v>
      </c>
      <c r="M69" s="52" t="s">
        <v>87</v>
      </c>
      <c r="S69" s="88" t="s">
        <v>626</v>
      </c>
    </row>
    <row r="70" spans="12:19" x14ac:dyDescent="0.25">
      <c r="L70" s="52" t="s">
        <v>88</v>
      </c>
      <c r="M70" s="52" t="s">
        <v>89</v>
      </c>
      <c r="S70" s="88" t="s">
        <v>627</v>
      </c>
    </row>
    <row r="71" spans="12:19" x14ac:dyDescent="0.25">
      <c r="L71" s="52" t="s">
        <v>90</v>
      </c>
      <c r="M71" s="52" t="s">
        <v>91</v>
      </c>
      <c r="S71" s="88" t="s">
        <v>628</v>
      </c>
    </row>
    <row r="72" spans="12:19" x14ac:dyDescent="0.25">
      <c r="L72" s="52" t="s">
        <v>92</v>
      </c>
      <c r="M72" s="52" t="s">
        <v>93</v>
      </c>
      <c r="S72" s="88" t="s">
        <v>629</v>
      </c>
    </row>
    <row r="73" spans="12:19" x14ac:dyDescent="0.25">
      <c r="L73" s="52" t="s">
        <v>94</v>
      </c>
      <c r="M73" s="52" t="s">
        <v>95</v>
      </c>
      <c r="S73" s="88" t="s">
        <v>630</v>
      </c>
    </row>
    <row r="74" spans="12:19" x14ac:dyDescent="0.25">
      <c r="L74" s="52" t="s">
        <v>96</v>
      </c>
      <c r="M74" s="52" t="s">
        <v>97</v>
      </c>
      <c r="S74" s="88" t="s">
        <v>631</v>
      </c>
    </row>
    <row r="75" spans="12:19" x14ac:dyDescent="0.25">
      <c r="L75" s="52" t="s">
        <v>98</v>
      </c>
      <c r="M75" s="52" t="s">
        <v>99</v>
      </c>
      <c r="S75" s="88" t="s">
        <v>632</v>
      </c>
    </row>
    <row r="76" spans="12:19" x14ac:dyDescent="0.25">
      <c r="L76" s="52" t="s">
        <v>100</v>
      </c>
      <c r="M76" s="52" t="s">
        <v>101</v>
      </c>
      <c r="S76" s="88" t="s">
        <v>633</v>
      </c>
    </row>
    <row r="77" spans="12:19" x14ac:dyDescent="0.25">
      <c r="L77" s="52" t="s">
        <v>102</v>
      </c>
      <c r="M77" s="52" t="s">
        <v>103</v>
      </c>
      <c r="S77" s="88" t="s">
        <v>634</v>
      </c>
    </row>
    <row r="78" spans="12:19" x14ac:dyDescent="0.25">
      <c r="L78" s="52" t="s">
        <v>104</v>
      </c>
      <c r="M78" s="52" t="s">
        <v>105</v>
      </c>
      <c r="S78" s="88" t="s">
        <v>635</v>
      </c>
    </row>
    <row r="79" spans="12:19" x14ac:dyDescent="0.25">
      <c r="L79" s="52" t="s">
        <v>106</v>
      </c>
      <c r="M79" s="52" t="s">
        <v>107</v>
      </c>
      <c r="S79" s="88" t="s">
        <v>636</v>
      </c>
    </row>
    <row r="80" spans="12:19" x14ac:dyDescent="0.25">
      <c r="L80" s="52" t="s">
        <v>108</v>
      </c>
      <c r="M80" s="52" t="s">
        <v>109</v>
      </c>
      <c r="S80" s="88" t="s">
        <v>637</v>
      </c>
    </row>
    <row r="81" spans="12:19" x14ac:dyDescent="0.25">
      <c r="L81" s="52" t="s">
        <v>110</v>
      </c>
      <c r="M81" s="52" t="s">
        <v>111</v>
      </c>
      <c r="S81" s="88" t="s">
        <v>638</v>
      </c>
    </row>
    <row r="82" spans="12:19" x14ac:dyDescent="0.25">
      <c r="L82" s="52" t="s">
        <v>112</v>
      </c>
      <c r="M82" s="52" t="s">
        <v>113</v>
      </c>
      <c r="S82" s="88" t="s">
        <v>639</v>
      </c>
    </row>
    <row r="83" spans="12:19" x14ac:dyDescent="0.25">
      <c r="L83" s="52" t="s">
        <v>114</v>
      </c>
      <c r="M83" s="52" t="s">
        <v>115</v>
      </c>
      <c r="S83" s="88" t="s">
        <v>640</v>
      </c>
    </row>
    <row r="84" spans="12:19" x14ac:dyDescent="0.25">
      <c r="L84" s="52" t="s">
        <v>116</v>
      </c>
      <c r="M84" s="52" t="s">
        <v>117</v>
      </c>
      <c r="S84" s="88" t="s">
        <v>641</v>
      </c>
    </row>
    <row r="85" spans="12:19" x14ac:dyDescent="0.25">
      <c r="L85" s="52" t="s">
        <v>118</v>
      </c>
      <c r="M85" s="52" t="s">
        <v>119</v>
      </c>
      <c r="S85" s="88" t="s">
        <v>642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495</v>
      </c>
    </row>
    <row r="275" spans="12:12" x14ac:dyDescent="0.25">
      <c r="L275" s="52" t="s">
        <v>496</v>
      </c>
    </row>
    <row r="276" spans="12:12" x14ac:dyDescent="0.25">
      <c r="L276" s="52" t="s">
        <v>497</v>
      </c>
    </row>
    <row r="277" spans="12:12" x14ac:dyDescent="0.25">
      <c r="L277" s="52" t="s">
        <v>498</v>
      </c>
    </row>
    <row r="278" spans="12:12" x14ac:dyDescent="0.25">
      <c r="L278" s="52" t="s">
        <v>499</v>
      </c>
    </row>
    <row r="279" spans="12:12" x14ac:dyDescent="0.25">
      <c r="L279" s="52" t="s">
        <v>500</v>
      </c>
    </row>
    <row r="280" spans="12:12" x14ac:dyDescent="0.25">
      <c r="L280" s="52" t="s">
        <v>501</v>
      </c>
    </row>
    <row r="281" spans="12:12" x14ac:dyDescent="0.25">
      <c r="L281" s="52" t="s">
        <v>502</v>
      </c>
    </row>
    <row r="282" spans="12:12" x14ac:dyDescent="0.25">
      <c r="L282" s="52" t="s">
        <v>503</v>
      </c>
    </row>
    <row r="283" spans="12:12" x14ac:dyDescent="0.25">
      <c r="L283" s="52" t="s">
        <v>504</v>
      </c>
    </row>
    <row r="284" spans="12:12" x14ac:dyDescent="0.25">
      <c r="L284" s="52" t="s">
        <v>505</v>
      </c>
    </row>
    <row r="285" spans="12:12" x14ac:dyDescent="0.25">
      <c r="L285" s="52" t="s">
        <v>506</v>
      </c>
    </row>
    <row r="286" spans="12:12" x14ac:dyDescent="0.25">
      <c r="L286" s="52" t="s">
        <v>507</v>
      </c>
    </row>
    <row r="287" spans="12:12" x14ac:dyDescent="0.25">
      <c r="L287" s="52" t="s">
        <v>508</v>
      </c>
    </row>
    <row r="288" spans="12:12" x14ac:dyDescent="0.25">
      <c r="L288" s="52" t="s">
        <v>509</v>
      </c>
    </row>
    <row r="289" spans="12:12" x14ac:dyDescent="0.25">
      <c r="L289" s="52" t="s">
        <v>510</v>
      </c>
    </row>
    <row r="290" spans="12:12" x14ac:dyDescent="0.25">
      <c r="L290" s="52" t="s">
        <v>511</v>
      </c>
    </row>
    <row r="291" spans="12:12" x14ac:dyDescent="0.25">
      <c r="L291" s="52" t="s">
        <v>512</v>
      </c>
    </row>
    <row r="292" spans="12:12" x14ac:dyDescent="0.25">
      <c r="L292" s="52" t="s">
        <v>513</v>
      </c>
    </row>
    <row r="293" spans="12:12" x14ac:dyDescent="0.25">
      <c r="L293" s="52" t="s">
        <v>514</v>
      </c>
    </row>
    <row r="294" spans="12:12" x14ac:dyDescent="0.25">
      <c r="L294" s="52" t="s">
        <v>515</v>
      </c>
    </row>
    <row r="295" spans="12:12" x14ac:dyDescent="0.25">
      <c r="L295" s="52" t="s">
        <v>516</v>
      </c>
    </row>
    <row r="296" spans="12:12" x14ac:dyDescent="0.25">
      <c r="L296" s="52" t="s">
        <v>517</v>
      </c>
    </row>
    <row r="297" spans="12:12" x14ac:dyDescent="0.25">
      <c r="L297" s="52" t="s">
        <v>518</v>
      </c>
    </row>
    <row r="298" spans="12:12" x14ac:dyDescent="0.25">
      <c r="L298" s="52" t="s">
        <v>519</v>
      </c>
    </row>
    <row r="299" spans="12:12" x14ac:dyDescent="0.25">
      <c r="L299" s="52" t="s">
        <v>520</v>
      </c>
    </row>
    <row r="300" spans="12:12" x14ac:dyDescent="0.25">
      <c r="L300" s="52" t="s">
        <v>521</v>
      </c>
    </row>
    <row r="301" spans="12:12" x14ac:dyDescent="0.25">
      <c r="L301" s="52" t="s">
        <v>522</v>
      </c>
    </row>
    <row r="303" spans="12:12" x14ac:dyDescent="0.25">
      <c r="L303" s="53" t="s">
        <v>523</v>
      </c>
    </row>
    <row r="304" spans="12:12" x14ac:dyDescent="0.25">
      <c r="L304" s="52" t="s">
        <v>524</v>
      </c>
    </row>
    <row r="305" spans="12:12" x14ac:dyDescent="0.25">
      <c r="L305" s="52" t="s">
        <v>525</v>
      </c>
    </row>
    <row r="306" spans="12:12" x14ac:dyDescent="0.25">
      <c r="L306" s="52" t="s">
        <v>526</v>
      </c>
    </row>
    <row r="307" spans="12:12" x14ac:dyDescent="0.25">
      <c r="L307" s="52" t="s">
        <v>527</v>
      </c>
    </row>
    <row r="308" spans="12:12" x14ac:dyDescent="0.25">
      <c r="L308" s="52" t="s">
        <v>528</v>
      </c>
    </row>
    <row r="309" spans="12:12" x14ac:dyDescent="0.25">
      <c r="L309" s="52" t="s">
        <v>529</v>
      </c>
    </row>
    <row r="310" spans="12:12" x14ac:dyDescent="0.25">
      <c r="L310" s="52" t="s">
        <v>530</v>
      </c>
    </row>
    <row r="311" spans="12:12" x14ac:dyDescent="0.25">
      <c r="L311" s="52" t="s">
        <v>531</v>
      </c>
    </row>
    <row r="312" spans="12:12" x14ac:dyDescent="0.25">
      <c r="L312" s="52" t="s">
        <v>532</v>
      </c>
    </row>
    <row r="313" spans="12:12" x14ac:dyDescent="0.25">
      <c r="L313" s="52" t="s">
        <v>533</v>
      </c>
    </row>
    <row r="314" spans="12:12" x14ac:dyDescent="0.25">
      <c r="L314" s="52" t="s">
        <v>534</v>
      </c>
    </row>
    <row r="315" spans="12:12" x14ac:dyDescent="0.25">
      <c r="L315" s="52" t="s">
        <v>535</v>
      </c>
    </row>
    <row r="316" spans="12:12" x14ac:dyDescent="0.25">
      <c r="L316" s="52" t="s">
        <v>536</v>
      </c>
    </row>
    <row r="317" spans="12:12" x14ac:dyDescent="0.25">
      <c r="L317" s="52" t="s">
        <v>537</v>
      </c>
    </row>
    <row r="318" spans="12:12" x14ac:dyDescent="0.25">
      <c r="L318" s="52" t="s">
        <v>538</v>
      </c>
    </row>
    <row r="319" spans="12:12" x14ac:dyDescent="0.25">
      <c r="L319" s="52" t="s">
        <v>539</v>
      </c>
    </row>
    <row r="320" spans="12:12" x14ac:dyDescent="0.25">
      <c r="L320" s="52" t="s">
        <v>540</v>
      </c>
    </row>
    <row r="321" spans="12:12" x14ac:dyDescent="0.25">
      <c r="L321" s="52" t="s">
        <v>541</v>
      </c>
    </row>
    <row r="322" spans="12:12" x14ac:dyDescent="0.25">
      <c r="L322" s="52" t="s">
        <v>542</v>
      </c>
    </row>
  </sheetData>
  <mergeCells count="9">
    <mergeCell ref="C29:F29"/>
    <mergeCell ref="C3:F3"/>
    <mergeCell ref="C16:D16"/>
    <mergeCell ref="C17:D17"/>
    <mergeCell ref="C18:D18"/>
    <mergeCell ref="C19:D19"/>
    <mergeCell ref="C20:D20"/>
    <mergeCell ref="C21:D21"/>
    <mergeCell ref="C15:D15"/>
  </mergeCells>
  <dataValidations count="14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6" xr:uid="{D9B908A4-2451-4A11-943E-0F532793F024}">
      <formula1>N16</formula1>
    </dataValidation>
    <dataValidation type="custom" operator="lessThanOrEqual" allowBlank="1" showInputMessage="1" showErrorMessage="1" errorTitle="Read Only Field" error="This field is not required" sqref="E20" xr:uid="{44AB7C9D-23FF-45BF-9D07-B03F722C2ED9}">
      <formula1>U17</formula1>
    </dataValidation>
    <dataValidation type="date" operator="lessThanOrEqual" allowBlank="1" showInputMessage="1" showErrorMessage="1" errorTitle="Invalid Date" error="Please enter a valid date" sqref="E18" xr:uid="{84F78BC4-1008-4191-93D1-F8C36A5B14CE}">
      <formula1>N16</formula1>
    </dataValidation>
    <dataValidation type="date" operator="lessThanOrEqual" allowBlank="1" showInputMessage="1" showErrorMessage="1" errorTitle="Invalid Date" error="Please enter a valid date" sqref="E21" xr:uid="{CC309E38-6F75-436B-9C06-13F143588C1F}">
      <formula1>N16</formula1>
    </dataValidation>
    <dataValidation type="custom" operator="lessThanOrEqual" allowBlank="1" showInputMessage="1" showErrorMessage="1" errorTitle="Read Only Field" error="This field is not required" sqref="E17" xr:uid="{0890D509-CC8F-4224-97D3-7C5BECCB4122}">
      <formula1>U17</formula1>
    </dataValidation>
    <dataValidation type="custom" operator="lessThanOrEqual" allowBlank="1" showInputMessage="1" showErrorMessage="1" errorTitle="Read Only Field" error="This field is not required" sqref="E19" xr:uid="{64FA609A-24A2-4DB9-87E1-152D73256733}">
      <formula1>U17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9" t="s">
        <v>567</v>
      </c>
      <c r="C2" s="104"/>
      <c r="D2" s="102"/>
      <c r="E2" s="1"/>
    </row>
    <row r="3" spans="1:9" x14ac:dyDescent="0.25">
      <c r="A3" s="6" t="s">
        <v>579</v>
      </c>
      <c r="B3" s="100" t="s">
        <v>665</v>
      </c>
      <c r="C3" s="105"/>
      <c r="D3" s="102" t="s">
        <v>645</v>
      </c>
      <c r="E3" s="1"/>
    </row>
    <row r="4" spans="1:9" x14ac:dyDescent="0.25">
      <c r="A4" s="6" t="s">
        <v>579</v>
      </c>
      <c r="B4" s="100" t="s">
        <v>568</v>
      </c>
      <c r="C4" s="105"/>
      <c r="D4" s="102" t="s">
        <v>527</v>
      </c>
      <c r="E4" s="1"/>
    </row>
    <row r="5" spans="1:9" x14ac:dyDescent="0.25">
      <c r="A5" s="6" t="s">
        <v>579</v>
      </c>
      <c r="B5" s="44" t="s">
        <v>662</v>
      </c>
      <c r="C5" s="106"/>
      <c r="D5" s="98"/>
      <c r="E5" s="1"/>
    </row>
    <row r="6" spans="1:9" ht="24.75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646</v>
      </c>
    </row>
    <row r="11" spans="1:9" x14ac:dyDescent="0.25">
      <c r="I11" t="s">
        <v>647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648</v>
      </c>
    </row>
    <row r="28" spans="8:8" x14ac:dyDescent="0.25">
      <c r="H28" s="5" t="s">
        <v>649</v>
      </c>
    </row>
    <row r="29" spans="8:8" x14ac:dyDescent="0.25">
      <c r="H29" s="5" t="s">
        <v>643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9" t="s">
        <v>567</v>
      </c>
      <c r="C2" s="104"/>
      <c r="D2" s="102"/>
      <c r="E2" s="1"/>
    </row>
    <row r="3" spans="1:10" x14ac:dyDescent="0.25">
      <c r="A3" s="6" t="s">
        <v>579</v>
      </c>
      <c r="B3" s="100" t="s">
        <v>665</v>
      </c>
      <c r="C3" s="105"/>
      <c r="D3" s="102" t="s">
        <v>644</v>
      </c>
      <c r="E3" s="1"/>
    </row>
    <row r="4" spans="1:10" x14ac:dyDescent="0.25">
      <c r="A4" s="6" t="s">
        <v>579</v>
      </c>
      <c r="B4" s="100" t="s">
        <v>568</v>
      </c>
      <c r="C4" s="105"/>
      <c r="D4" s="102" t="s">
        <v>532</v>
      </c>
      <c r="E4" s="1"/>
    </row>
    <row r="5" spans="1:10" x14ac:dyDescent="0.25">
      <c r="A5" s="6" t="s">
        <v>579</v>
      </c>
      <c r="B5" s="44" t="s">
        <v>662</v>
      </c>
      <c r="C5" s="106"/>
      <c r="D5" s="107"/>
      <c r="E5" s="1"/>
    </row>
    <row r="6" spans="1:10" ht="24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670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9" t="s">
        <v>567</v>
      </c>
      <c r="C2" s="108"/>
      <c r="D2" s="102"/>
      <c r="E2" s="1"/>
    </row>
    <row r="3" spans="1:24" ht="29.25" customHeight="1" x14ac:dyDescent="0.25">
      <c r="A3" s="6" t="s">
        <v>579</v>
      </c>
      <c r="B3" s="100" t="s">
        <v>569</v>
      </c>
      <c r="C3" s="109"/>
      <c r="D3" s="110" t="s">
        <v>515</v>
      </c>
      <c r="E3" s="1"/>
    </row>
    <row r="4" spans="1:24" ht="15.75" customHeight="1" x14ac:dyDescent="0.25">
      <c r="A4" s="6" t="s">
        <v>579</v>
      </c>
      <c r="B4" s="100" t="s">
        <v>568</v>
      </c>
      <c r="C4" s="12"/>
      <c r="D4" s="111" t="s">
        <v>532</v>
      </c>
      <c r="E4" s="1"/>
    </row>
    <row r="5" spans="1:24" x14ac:dyDescent="0.25">
      <c r="A5" s="6" t="s">
        <v>579</v>
      </c>
      <c r="B5" s="44" t="s">
        <v>662</v>
      </c>
      <c r="C5" s="106"/>
      <c r="D5" s="107"/>
      <c r="E5" s="1"/>
    </row>
    <row r="6" spans="1:24" ht="24" customHeight="1" x14ac:dyDescent="0.25">
      <c r="A6" s="6">
        <v>10</v>
      </c>
      <c r="B6" s="103" t="s">
        <v>546</v>
      </c>
      <c r="C6" s="103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671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7"/>
  <sheetViews>
    <sheetView topLeftCell="A4"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9" t="s">
        <v>567</v>
      </c>
      <c r="C2" s="91"/>
      <c r="D2" s="41" t="s">
        <v>659</v>
      </c>
      <c r="E2" s="1"/>
    </row>
    <row r="3" spans="1:5" ht="15" customHeight="1" x14ac:dyDescent="0.25">
      <c r="A3" s="6" t="s">
        <v>579</v>
      </c>
      <c r="B3" s="90" t="s">
        <v>665</v>
      </c>
      <c r="C3" s="92"/>
      <c r="D3" s="41" t="s">
        <v>659</v>
      </c>
      <c r="E3" s="1"/>
    </row>
    <row r="4" spans="1:5" ht="15" customHeight="1" x14ac:dyDescent="0.25">
      <c r="A4" s="6"/>
      <c r="B4" s="114" t="s">
        <v>568</v>
      </c>
      <c r="C4" s="92"/>
      <c r="D4" s="41" t="s">
        <v>652</v>
      </c>
      <c r="E4" s="1"/>
    </row>
    <row r="5" spans="1:5" ht="14.25" customHeight="1" x14ac:dyDescent="0.25">
      <c r="A5" s="6" t="s">
        <v>579</v>
      </c>
      <c r="B5" s="44" t="s">
        <v>662</v>
      </c>
      <c r="C5" s="93"/>
      <c r="D5" s="98"/>
      <c r="E5" s="1"/>
    </row>
    <row r="6" spans="1:5" ht="28.5" customHeight="1" x14ac:dyDescent="0.25">
      <c r="A6" s="6">
        <v>37</v>
      </c>
      <c r="B6" s="4" t="s">
        <v>546</v>
      </c>
      <c r="C6" s="4" t="s">
        <v>547</v>
      </c>
      <c r="D6" s="4" t="s">
        <v>663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7"/>
      <c r="B33" s="43"/>
      <c r="C33" s="43"/>
      <c r="D33" s="31"/>
      <c r="E33" s="1"/>
    </row>
    <row r="34" spans="1:5" x14ac:dyDescent="0.25">
      <c r="A34" s="7"/>
      <c r="B34" s="43"/>
      <c r="C34" s="43"/>
      <c r="D34" s="31"/>
      <c r="E34" s="1"/>
    </row>
    <row r="35" spans="1:5" x14ac:dyDescent="0.25">
      <c r="A35" s="28"/>
      <c r="B35" s="33"/>
      <c r="C35" s="33"/>
      <c r="D35" s="36"/>
      <c r="E35" s="1"/>
    </row>
    <row r="36" spans="1:5" ht="4.5" customHeight="1" x14ac:dyDescent="0.25">
      <c r="A36" s="7">
        <v>0</v>
      </c>
      <c r="B36" s="35"/>
      <c r="C36" s="35"/>
      <c r="D36" s="38"/>
      <c r="E36" s="1"/>
    </row>
    <row r="37" spans="1:5" ht="25.5" customHeight="1" x14ac:dyDescent="0.25">
      <c r="A37" s="6" t="s">
        <v>548</v>
      </c>
      <c r="B37" s="34"/>
      <c r="C37" s="34"/>
      <c r="D37" s="34"/>
      <c r="E37" s="1"/>
    </row>
  </sheetData>
  <sheetProtection algorithmName="SHA-512" hashValue="SYKu3oOpr7SjtgQamofvyciERwBtjdJe3BusRVt9//+3wOX1VLALDMr71A192zwTwSGCxiQcgiDeiSCRuElM9g==" saltValue="5l8WXZQUHFKu3+CBNtlouA==" spinCount="100000" sheet="1" objects="1" scenarios="1" formatRows="0"/>
  <dataValidations count="4">
    <dataValidation allowBlank="1" showInputMessage="1" showErrorMessage="1" error="Please enter a valid date in mm/dd/yyyy format." sqref="B35:D37" xr:uid="{00000000-0002-0000-0400-000000000000}"/>
    <dataValidation type="decimal" allowBlank="1" showInputMessage="1" showErrorMessage="1" error="Please enter a valid reading." sqref="D7:D34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34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5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35</xdr:row>
                    <xdr:rowOff>0</xdr:rowOff>
                  </from>
                  <to>
                    <xdr:col>2</xdr:col>
                    <xdr:colOff>9525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34</xdr:row>
                    <xdr:rowOff>190500</xdr:rowOff>
                  </from>
                  <to>
                    <xdr:col>3</xdr:col>
                    <xdr:colOff>9525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3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653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653</v>
      </c>
      <c r="E3" s="1"/>
    </row>
    <row r="4" spans="1:5" ht="15" customHeight="1" x14ac:dyDescent="0.25">
      <c r="A4" s="6"/>
      <c r="B4" s="95" t="s">
        <v>568</v>
      </c>
      <c r="C4" s="96"/>
      <c r="D4" s="41" t="s">
        <v>654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23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2">
        <v>990</v>
      </c>
      <c r="E7" s="1"/>
    </row>
    <row r="8" spans="1:5" x14ac:dyDescent="0.25">
      <c r="A8" s="7"/>
      <c r="B8" s="43">
        <v>43101</v>
      </c>
      <c r="C8" s="43">
        <v>43131</v>
      </c>
      <c r="D8" s="112">
        <v>880</v>
      </c>
      <c r="E8" s="1"/>
    </row>
    <row r="9" spans="1:5" x14ac:dyDescent="0.25">
      <c r="A9" s="7"/>
      <c r="B9" s="43">
        <v>43132</v>
      </c>
      <c r="C9" s="43">
        <v>43159</v>
      </c>
      <c r="D9" s="112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2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2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2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2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2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2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2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2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2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2">
        <v>800</v>
      </c>
      <c r="E19" s="1"/>
    </row>
    <row r="20" spans="1:5" x14ac:dyDescent="0.25">
      <c r="A20" s="7"/>
      <c r="B20" s="43"/>
      <c r="C20" s="43"/>
      <c r="D20" s="112"/>
      <c r="E20" s="1"/>
    </row>
    <row r="21" spans="1:5" ht="10.5" customHeight="1" x14ac:dyDescent="0.25">
      <c r="A21" s="28"/>
      <c r="B21" s="33"/>
      <c r="C21" s="33"/>
      <c r="D21" s="36"/>
      <c r="E21" s="1"/>
    </row>
    <row r="22" spans="1:5" hidden="1" x14ac:dyDescent="0.25">
      <c r="A22" s="7">
        <v>0</v>
      </c>
      <c r="B22" s="35"/>
      <c r="C22" s="35"/>
      <c r="D22" s="38"/>
      <c r="E22" s="1"/>
    </row>
    <row r="23" spans="1:5" ht="25.5" customHeight="1" x14ac:dyDescent="0.25">
      <c r="A23" s="6" t="s">
        <v>548</v>
      </c>
      <c r="B23" s="34"/>
      <c r="C23" s="34"/>
      <c r="D23" s="34"/>
      <c r="E23" s="1"/>
    </row>
  </sheetData>
  <sheetProtection algorithmName="SHA-512" hashValue="W7mWiCd0oPzd/y8n/n6CH+KH8T03cwrvn/NOJiDpC7AvUHXh04F/nsrn/G71o2X880Op822jjBM92Qo6luERfA==" saltValue="CSybT432u29aNdiVvcDTGA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1:D23" xr:uid="{00000000-0002-0000-0500-000000000000}"/>
    <dataValidation type="date" allowBlank="1" showInputMessage="1" showErrorMessage="1" error="Please enter a valid date in mm/dd/yyyy format." sqref="B7:C20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20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190500</xdr:rowOff>
                  </from>
                  <to>
                    <xdr:col>2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190500</xdr:rowOff>
                  </from>
                  <to>
                    <xdr:col>3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5"/>
  <sheetViews>
    <sheetView topLeftCell="A7"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660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658</v>
      </c>
      <c r="E3" s="1"/>
    </row>
    <row r="4" spans="1:5" ht="15" customHeight="1" x14ac:dyDescent="0.25">
      <c r="A4" s="6"/>
      <c r="B4" s="95" t="s">
        <v>568</v>
      </c>
      <c r="C4" s="96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35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28"/>
      <c r="B33" s="33"/>
      <c r="C33" s="33"/>
      <c r="D33" s="36"/>
      <c r="E33" s="1"/>
    </row>
    <row r="34" spans="1:5" hidden="1" x14ac:dyDescent="0.25">
      <c r="A34" s="7">
        <v>0</v>
      </c>
      <c r="B34" s="35"/>
      <c r="C34" s="35"/>
      <c r="D34" s="38"/>
      <c r="E34" s="1"/>
    </row>
    <row r="35" spans="1:5" ht="25.5" customHeight="1" x14ac:dyDescent="0.25">
      <c r="A35" s="6" t="s">
        <v>548</v>
      </c>
      <c r="B35" s="34"/>
      <c r="C35" s="34"/>
      <c r="D35" s="34"/>
      <c r="E35" s="1"/>
    </row>
  </sheetData>
  <sheetProtection algorithmName="SHA-512" hashValue="VA3yP2O0JSX27IvW1BbAgNKQ4EUpuIDLguz//Wmc+E+NpKQuLRXZzQRIVLb87/aN4PP0bz264zI7m/JDyf64Iw==" saltValue="+C4CVVfM6PStBTZUyL9Qe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3:D35" xr:uid="{00000000-0002-0000-0600-000000000000}"/>
    <dataValidation type="date" allowBlank="1" showInputMessage="1" showErrorMessage="1" error="Please enter a valid date in mm/dd/yyyy format." sqref="B7:C32" xr:uid="{00000000-0002-0000-0600-000001000000}">
      <formula1>1</formula1>
      <formula2>73415</formula2>
    </dataValidation>
    <dataValidation type="decimal" allowBlank="1" showInputMessage="1" showErrorMessage="1" error="Please enter a valid reading." sqref="D7:D32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0</xdr:rowOff>
                  </from>
                  <to>
                    <xdr:col>2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34"/>
  <sheetViews>
    <sheetView tabSelected="1"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661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658</v>
      </c>
      <c r="E3" s="1"/>
    </row>
    <row r="4" spans="1:5" ht="15" customHeight="1" x14ac:dyDescent="0.25">
      <c r="A4" s="6"/>
      <c r="B4" s="134" t="s">
        <v>568</v>
      </c>
      <c r="C4" s="139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oEXDF/lv5jWGqJkqgkutboECeDf4FJzL3o07KPX7org+WzZBiVmCTvhArvPrG1rw1JeTWZ4+8/9t4/TYzSoZ9w==" saltValue="6zl0huIovQGLAzSYnuXVcA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 xr:uid="{00000000-0002-0000-0700-000000000000}"/>
    <dataValidation type="date" allowBlank="1" showInputMessage="1" showErrorMessage="1" error="Please enter a valid date in mm/dd/yyyy format." sqref="B7:C31" xr:uid="{00000000-0002-0000-0700-000001000000}">
      <formula1>1</formula1>
      <formula2>73415</formula2>
    </dataValidation>
    <dataValidation type="decimal" allowBlank="1" showInputMessage="1" showErrorMessage="1" error="Please enter a valid reading." sqref="D7:D31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656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656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548</v>
      </c>
      <c r="B22" s="34"/>
      <c r="C22" s="34"/>
      <c r="D22" s="34"/>
      <c r="E22" s="1"/>
    </row>
  </sheetData>
  <sheetProtection algorithmName="SHA-512" hashValue="wn/AVvf48k6gUbLsu03u0mivtjzOGDdlLEmpbAyoc/mj7vhE9SAeUmMfqkWHgn1W/Wt3wjSiU/jjXjHpD1lzqg==" saltValue="7cBXW30891x5z0tRe4wk/Q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657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657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CL4MGnFfykTyH+7/n6zKssELtCQ8fbQeOE9+NcgU7Q/p0mZ4houjsAPPsm9lwl3HZft4q6r6vp4Mnz3/lzbMuQ==" saltValue="Keb80O5/n7YdwMLmnz6dF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34"/>
  <sheetViews>
    <sheetView workbookViewId="0">
      <selection activeCell="I14" sqref="I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651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37"/>
    </row>
    <row r="33" spans="1:5" x14ac:dyDescent="0.25">
      <c r="A33" s="7">
        <v>0</v>
      </c>
      <c r="B33" s="35"/>
      <c r="C33" s="35"/>
      <c r="D33" s="38"/>
      <c r="E33" s="39"/>
    </row>
    <row r="34" spans="1:5" ht="25.5" customHeight="1" x14ac:dyDescent="0.25">
      <c r="A34" s="6" t="s">
        <v>548</v>
      </c>
      <c r="B34" s="34"/>
      <c r="C34" s="34"/>
      <c r="D34" s="34"/>
      <c r="E34" s="40"/>
    </row>
  </sheetData>
  <sheetProtection algorithmName="SHA-512" hashValue="BJAvSwdRyED9J9uXGZMRXaRAT6GNHwEHlU4Ftzbxq+/193NwhnbdXUOdaXo8LeQqWaC6ZwgZ/mtgYHWX1mFYjA==" saltValue="Wo5TnCyJIdHxILzZpkCS1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32:D34" xr:uid="{00000000-0002-0000-0A00-000001000000}"/>
    <dataValidation type="date" allowBlank="1" showInputMessage="1" showErrorMessage="1" error="Please enter a valid date in mm/dd/yyyy format." sqref="B7:C31" xr:uid="{00000000-0002-0000-0A00-000002000000}">
      <formula1>1</formula1>
      <formula2>73415</formula2>
    </dataValidation>
    <dataValidation type="decimal" allowBlank="1" showInputMessage="1" showErrorMessage="1" error="Please enter a valid reading." sqref="D7:D31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G14" sqref="G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655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655</v>
      </c>
      <c r="E3" s="1"/>
    </row>
    <row r="4" spans="1:5" ht="15" customHeight="1" x14ac:dyDescent="0.25">
      <c r="A4" s="6"/>
      <c r="B4" s="95" t="s">
        <v>568</v>
      </c>
      <c r="C4" s="97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KCcuoJtOHYEYzvlWD2wKwWztviYa5wfMCOROD6wOVFfSi9cnd+nf8kKiTG5z+i1WDeYMwlAQdlvLB20Ct2KQXA==" saltValue="DV4xmv0PDS6Ot/CXzDzvc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1" t="s">
        <v>567</v>
      </c>
      <c r="C2" s="142"/>
      <c r="D2" s="143"/>
      <c r="E2" s="42" t="s">
        <v>574</v>
      </c>
      <c r="F2" s="1"/>
    </row>
    <row r="3" spans="1:6" ht="15" customHeight="1" x14ac:dyDescent="0.25">
      <c r="A3" s="6" t="s">
        <v>579</v>
      </c>
      <c r="B3" s="144" t="s">
        <v>665</v>
      </c>
      <c r="C3" s="145"/>
      <c r="D3" s="146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Ad/kYGZSKWf9Kih3zu737N24u3/lslkkWIPOx0bld7xrURgkPwmMpqQiCNtUg/Km31bURhZA1PWxnZS4I8g83A==" saltValue="1+4Ialf2XSS5J64WGm4kO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2:D34" xr:uid="{00000000-0002-0000-0C00-000001000000}"/>
    <dataValidation type="date" allowBlank="1" showInputMessage="1" showErrorMessage="1" error="Please enter a valid date in mm/dd/yyyy format." sqref="B7:C31" xr:uid="{00000000-0002-0000-0C00-000002000000}">
      <formula1>1</formula1>
      <formula2>54789</formula2>
    </dataValidation>
    <dataValidation type="decimal" allowBlank="1" showInputMessage="1" showErrorMessage="1" error="Please enter a valid reading." sqref="D7:E31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00F7-0798-4FFF-A450-AD93B41C832D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8" sqref="L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678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644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528</v>
      </c>
      <c r="E4" s="1"/>
    </row>
    <row r="5" spans="1:5" x14ac:dyDescent="0.25">
      <c r="A5" s="6" t="s">
        <v>579</v>
      </c>
      <c r="B5" s="44" t="s">
        <v>662</v>
      </c>
      <c r="C5" s="106"/>
      <c r="D5" s="107"/>
      <c r="E5" s="1"/>
    </row>
    <row r="6" spans="1:5" ht="24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670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6ELq13iiSaiJhciPRWCpW3UydMtifVIFJW8aaR1k73GM/KySiZBGdFqNE+60IiYdwRuMvLpwKbwjZPaRUn/PLw==" saltValue="h88/KjzRmkJewMTxAX83zg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C3D1EAC5-52D9-4728-8003-F4F70B5245D7}">
      <formula1>0</formula1>
      <formula2>40</formula2>
    </dataValidation>
    <dataValidation type="decimal" allowBlank="1" showInputMessage="1" showErrorMessage="1" error="Please enter a valid reading." sqref="D7:D31" xr:uid="{4DE8AA90-032A-4001-A354-82F0398C15C9}">
      <formula1>0</formula1>
      <formula2>9999999999</formula2>
    </dataValidation>
    <dataValidation type="date" allowBlank="1" showInputMessage="1" showErrorMessage="1" error="Please enter a valid date in mm/dd/yyyy format." sqref="B7:C31" xr:uid="{58FBC1C6-EDF8-40E8-8F17-BDDD94F801AF}">
      <formula1>1</formula1>
      <formula2>73415</formula2>
    </dataValidation>
    <dataValidation allowBlank="1" showInputMessage="1" showErrorMessage="1" error="Please enter a valid date in mm/dd/yyyy format." sqref="B32:D34" xr:uid="{4CE92D3D-FA7B-499F-94CE-99248F0C5983}"/>
    <dataValidation type="list" allowBlank="1" showInputMessage="1" showErrorMessage="1" sqref="D3" xr:uid="{18965752-BDA9-4314-9EBB-7C846B3A877B}">
      <formula1>ElectricityDrp</formula1>
    </dataValidation>
    <dataValidation type="list" allowBlank="1" showInputMessage="1" showErrorMessage="1" error="Units cannot edit." sqref="D4" xr:uid="{305BA375-B5E8-4F0D-96D3-A6EED1F9BD07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011F-1435-4198-8605-487883C44B47}">
  <sheetPr codeName="Sheet16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679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645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527</v>
      </c>
      <c r="E4" s="1"/>
    </row>
    <row r="5" spans="1:5" x14ac:dyDescent="0.25">
      <c r="A5" s="6" t="s">
        <v>579</v>
      </c>
      <c r="B5" s="44" t="s">
        <v>662</v>
      </c>
      <c r="C5" s="106"/>
      <c r="D5" s="98"/>
      <c r="E5" s="1"/>
    </row>
    <row r="6" spans="1:5" ht="24.75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646</v>
      </c>
    </row>
    <row r="35" spans="1:9" x14ac:dyDescent="0.25">
      <c r="I35" s="5" t="s">
        <v>647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648</v>
      </c>
    </row>
    <row r="52" spans="8:8" x14ac:dyDescent="0.25">
      <c r="H52" s="5" t="s">
        <v>649</v>
      </c>
    </row>
    <row r="53" spans="8:8" x14ac:dyDescent="0.25">
      <c r="H53" s="5" t="s">
        <v>643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cZbzmEGuq9hxRuVyqA80/A5KzjBdpKLcg4zBDE80aISlPeo0YN4NFyIfknVGcVg1/ytwG+VG4u48aUWG2MHyMg==" saltValue="/6IDdEOP9aN/9M2tIpRhkA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FFB706E1-8394-4960-AB55-5DA24F5350B0}">
      <formula1>0</formula1>
      <formula2>40</formula2>
    </dataValidation>
    <dataValidation type="decimal" allowBlank="1" showInputMessage="1" showErrorMessage="1" error="Please enter a valid reading." sqref="D7:D31" xr:uid="{3F32BA25-C96D-4B89-A6E3-7C773131E696}">
      <formula1>0</formula1>
      <formula2>9999999999</formula2>
    </dataValidation>
    <dataValidation type="date" allowBlank="1" showInputMessage="1" showErrorMessage="1" error="Please enter a valid date in mm/dd/yyyy format." sqref="B7:C31" xr:uid="{FEFE6687-63E1-4390-BAE7-5C98B4CA122B}">
      <formula1>1</formula1>
      <formula2>73415</formula2>
    </dataValidation>
    <dataValidation allowBlank="1" showInputMessage="1" showErrorMessage="1" error="Please enter a valid date in mm/dd/yyyy format." sqref="B32:D34" xr:uid="{6B3750B4-A3B5-4440-BF88-79A4DA3E36F8}"/>
    <dataValidation type="list" allowBlank="1" showInputMessage="1" showErrorMessage="1" sqref="D3" xr:uid="{77151F05-F331-4B4C-90E3-8429DDDFE77C}">
      <formula1>WaterDrp</formula1>
    </dataValidation>
    <dataValidation type="list" allowBlank="1" showInputMessage="1" showErrorMessage="1" error="Units cannot edit." sqref="D4" xr:uid="{7D71A8C7-CE2C-478E-9382-C3177E7CDBAD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2019-06-17T06:36:30Z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