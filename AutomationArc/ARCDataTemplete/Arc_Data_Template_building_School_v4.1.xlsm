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9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3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4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1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0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21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2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utomationArc\AutomationArc\ARCDataTemplete\"/>
    </mc:Choice>
  </mc:AlternateContent>
  <xr:revisionPtr revIDLastSave="0" documentId="13_ncr:1_{221B1746-62E0-4BE2-8826-2F4F1FB7B8B2}" xr6:coauthVersionLast="36" xr6:coauthVersionMax="36" xr10:uidLastSave="{00000000-0000-0000-0000-000000000000}"/>
  <workbookProtection workbookAlgorithmName="SHA-512" workbookHashValue="N+qmGWL0ifhH4l8l1eGkgMfQdqwcQLO40pK7uF8l0pk79lQpwrr0/UfDN59Y19LMLKo8CJqEgDw3PP6fLcETxw==" workbookSaltValue="+0r666nQlMxzPTJ2RzdALw==" workbookSpinCount="100000" lockStructure="1"/>
  <bookViews>
    <workbookView xWindow="0" yWindow="0" windowWidth="20490" windowHeight="9090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Occupancy" sheetId="16" r:id="rId5"/>
    <sheet name="CO2 Reading for Upload" sheetId="12" r:id="rId6"/>
    <sheet name="CO2 Readings" sheetId="14" r:id="rId7"/>
    <sheet name="TVOC Reading for Upload" sheetId="13" r:id="rId8"/>
    <sheet name="TVOC Readings" sheetId="15" r:id="rId9"/>
    <sheet name="Waste Stream" sheetId="11" r:id="rId10"/>
    <sheet name="Carbon Monoxide" sheetId="17" r:id="rId11"/>
    <sheet name="Ozone" sheetId="18" r:id="rId12"/>
    <sheet name="Atmospheric Particulate Matter" sheetId="19" r:id="rId13"/>
    <sheet name="Acetaldehyde" sheetId="20" r:id="rId14"/>
    <sheet name="Benzene" sheetId="21" r:id="rId15"/>
    <sheet name="Styrene" sheetId="22" r:id="rId16"/>
    <sheet name="Toluene" sheetId="23" r:id="rId17"/>
    <sheet name="Naphthalene " sheetId="24" r:id="rId18"/>
    <sheet name="Dichlorobenzene" sheetId="25" r:id="rId19"/>
    <sheet name="Xylenes-total" sheetId="26" r:id="rId20"/>
    <sheet name="Formaldehyde" sheetId="27" r:id="rId21"/>
    <sheet name="Energy Meter via upload" sheetId="28" r:id="rId22"/>
    <sheet name="Water meter via upload" sheetId="29" r:id="rId23"/>
    <sheet name="base_summary" sheetId="3" state="hidden" r:id="rId24"/>
  </sheets>
  <definedNames>
    <definedName name="_xlnm._FilterDatabase" localSheetId="6" hidden="1">'CO2 Readings'!$B$2:$F$4</definedName>
    <definedName name="_xlnm._FilterDatabase" localSheetId="8" hidden="1">'TVOC Readings'!$B$2:$G$4</definedName>
    <definedName name="columnDelete">'CO2 Readings'!$29:$29</definedName>
    <definedName name="columnDeleteVOC">'TVOC Readings'!$29:$29</definedName>
    <definedName name="Countries">Setup!$L$26:$M$269</definedName>
    <definedName name="CountriesDetails">Setup!$L$26:$L$269</definedName>
    <definedName name="countryName">Setup!$L$25:$L$269</definedName>
    <definedName name="DataCopy">'CO2 Readings'!$A$49:$E$49</definedName>
    <definedName name="DataCopyVOC">'TVOC Readings'!$A$49:$E$49</definedName>
    <definedName name="Dates" localSheetId="13">'CO2 Readings'!$45:$45</definedName>
    <definedName name="Dates" localSheetId="12">'CO2 Readings'!$45:$45</definedName>
    <definedName name="Dates" localSheetId="14">'CO2 Readings'!$45:$45</definedName>
    <definedName name="Dates" localSheetId="10">'CO2 Readings'!$45:$45</definedName>
    <definedName name="Dates" localSheetId="18">'CO2 Readings'!$45:$45</definedName>
    <definedName name="Dates" localSheetId="20">'CO2 Readings'!$45:$45</definedName>
    <definedName name="Dates" localSheetId="17">'CO2 Readings'!$45:$45</definedName>
    <definedName name="Dates" localSheetId="11">'CO2 Readings'!$45:$45</definedName>
    <definedName name="Dates" localSheetId="15">'CO2 Readings'!$45:$45</definedName>
    <definedName name="Dates" localSheetId="16">'CO2 Readings'!$45:$45</definedName>
    <definedName name="Dates" localSheetId="19">'CO2 Readings'!$45:$45</definedName>
    <definedName name="Dates">'CO2 Readings'!$45:$45</definedName>
    <definedName name="DatesVOC" localSheetId="13">'TVOC Readings'!$45:$45</definedName>
    <definedName name="DatesVOC" localSheetId="12">'TVOC Readings'!$45:$45</definedName>
    <definedName name="DatesVOC" localSheetId="14">'TVOC Readings'!$45:$45</definedName>
    <definedName name="DatesVOC" localSheetId="10">'TVOC Readings'!$45:$45</definedName>
    <definedName name="DatesVOC" localSheetId="18">'TVOC Readings'!$45:$45</definedName>
    <definedName name="DatesVOC" localSheetId="20">'TVOC Readings'!$45:$45</definedName>
    <definedName name="DatesVOC" localSheetId="17">'TVOC Readings'!$45:$45</definedName>
    <definedName name="DatesVOC" localSheetId="11">'TVOC Readings'!$45:$45</definedName>
    <definedName name="DatesVOC" localSheetId="15">'TVOC Readings'!$45:$45</definedName>
    <definedName name="DatesVOC" localSheetId="16">'TVOC Readings'!$45:$45</definedName>
    <definedName name="DatesVOC" localSheetId="19">'TVOC Readings'!$45:$45</definedName>
    <definedName name="DatesVOC">'TVOC Readings'!$45:$45</definedName>
    <definedName name="DelRwNmEnd">'CO2 Reading for Upload'!$A$34:$E$34</definedName>
    <definedName name="DelRwNmEndVOC">'TVOC Reading for Upload'!$A$34:$E$34</definedName>
    <definedName name="DelRwNmStart">'CO2 Reading for Upload'!$A$6:$E$6</definedName>
    <definedName name="DelRwNmStartVOC">'TVOC Reading for Upload'!$A$6:$E$6</definedName>
    <definedName name="elecName" localSheetId="13">base_e!$G$15:$G$19</definedName>
    <definedName name="elecName" localSheetId="12">base_e!$G$15:$G$19</definedName>
    <definedName name="elecName" localSheetId="14">base_e!$G$15:$G$19</definedName>
    <definedName name="elecName" localSheetId="10">base_e!$G$15:$G$19</definedName>
    <definedName name="elecName" localSheetId="18">base_e!$G$15:$G$19</definedName>
    <definedName name="elecName" localSheetId="21">'Energy Meter via upload'!$G$39:$G$43</definedName>
    <definedName name="elecName" localSheetId="20">base_e!$G$15:$G$19</definedName>
    <definedName name="elecName" localSheetId="17">base_e!$G$15:$G$19</definedName>
    <definedName name="elecName" localSheetId="11">base_e!$G$15:$G$19</definedName>
    <definedName name="elecName" localSheetId="15">base_e!$G$15:$G$19</definedName>
    <definedName name="elecName" localSheetId="16">base_e!$G$15:$G$19</definedName>
    <definedName name="elecName" localSheetId="19">base_e!$G$15:$G$19</definedName>
    <definedName name="elecName">base_e!$G$15:$G$19</definedName>
    <definedName name="ElectricityDrp" localSheetId="13">base_e!$J$9:$J$10</definedName>
    <definedName name="ElectricityDrp" localSheetId="12">base_e!$J$9:$J$10</definedName>
    <definedName name="ElectricityDrp" localSheetId="14">base_e!$J$9:$J$10</definedName>
    <definedName name="ElectricityDrp" localSheetId="10">base_e!$J$9:$J$10</definedName>
    <definedName name="ElectricityDrp" localSheetId="18">base_e!$J$9:$J$10</definedName>
    <definedName name="ElectricityDrp" localSheetId="21">'Energy Meter via upload'!$J$33:$J$34</definedName>
    <definedName name="ElectricityDrp" localSheetId="20">base_e!$J$9:$J$10</definedName>
    <definedName name="ElectricityDrp" localSheetId="17">base_e!$J$9:$J$10</definedName>
    <definedName name="ElectricityDrp" localSheetId="11">base_e!$J$9:$J$10</definedName>
    <definedName name="ElectricityDrp" localSheetId="15">base_e!$J$9:$J$10</definedName>
    <definedName name="ElectricityDrp" localSheetId="16">base_e!$J$9:$J$10</definedName>
    <definedName name="ElectricityDrp" localSheetId="19">base_e!$J$9:$J$10</definedName>
    <definedName name="ElectricityDrp">base_e!$J$9:$J$10</definedName>
    <definedName name="fdet" localSheetId="13">Acetaldehyde!$H$1:$H$13</definedName>
    <definedName name="fdet" localSheetId="12">'Atmospheric Particulate Matter'!$H$1:$H$13</definedName>
    <definedName name="fdet" localSheetId="14">Benzene!$H$1:$H$13</definedName>
    <definedName name="fdet" localSheetId="10">'Carbon Monoxide'!$H$1:$H$13</definedName>
    <definedName name="fdet" localSheetId="18">Dichlorobenzene!$H$1:$H$13</definedName>
    <definedName name="fdet" localSheetId="20">Formaldehyde!$H$1:$H$13</definedName>
    <definedName name="fdet" localSheetId="17">'Naphthalene '!$H$1:$H$13</definedName>
    <definedName name="fdet" localSheetId="11">Ozone!$H$1:$H$13</definedName>
    <definedName name="fdet" localSheetId="15">Styrene!$H$1:$H$13</definedName>
    <definedName name="fdet" localSheetId="16">Toluene!$H$1:$H$13</definedName>
    <definedName name="fdet" localSheetId="19">'Xylenes-total'!$H$1:$H$13</definedName>
    <definedName name="fdet">base_f!$H$1:$H$13</definedName>
    <definedName name="fude" localSheetId="13">Acetaldehyde!$D$14:$D$31</definedName>
    <definedName name="fude" localSheetId="12">'Atmospheric Particulate Matter'!$D$14:$D$31</definedName>
    <definedName name="fude" localSheetId="14">Benzene!$D$14:$D$31</definedName>
    <definedName name="fude" localSheetId="10">'Carbon Monoxide'!$D$14:$D$31</definedName>
    <definedName name="fude" localSheetId="18">Dichlorobenzene!$D$14:$D$31</definedName>
    <definedName name="fude" localSheetId="20">Formaldehyde!$D$14:$D$31</definedName>
    <definedName name="fude" localSheetId="17">'Naphthalene '!$D$14:$D$31</definedName>
    <definedName name="fude" localSheetId="11">Ozone!$D$14:$D$31</definedName>
    <definedName name="fude" localSheetId="15">Styrene!$D$14:$D$31</definedName>
    <definedName name="fude" localSheetId="16">Toluene!$D$14:$D$31</definedName>
    <definedName name="fude" localSheetId="19">'Xylenes-total'!$D$14:$D$31</definedName>
    <definedName name="fude">base_f!$D$14:$D$31</definedName>
    <definedName name="fuel1" localSheetId="13">Acetaldehyde!$L$16:$L$23</definedName>
    <definedName name="fuel1" localSheetId="12">'Atmospheric Particulate Matter'!$L$16:$L$23</definedName>
    <definedName name="fuel1" localSheetId="14">Benzene!$L$16:$L$23</definedName>
    <definedName name="fuel1" localSheetId="10">'Carbon Monoxide'!$L$16:$L$23</definedName>
    <definedName name="fuel1" localSheetId="18">Dichlorobenzene!$L$16:$L$23</definedName>
    <definedName name="fuel1" localSheetId="20">Formaldehyde!$L$16:$L$23</definedName>
    <definedName name="fuel1" localSheetId="17">'Naphthalene '!$L$16:$L$23</definedName>
    <definedName name="fuel1" localSheetId="11">Ozone!$L$16:$L$23</definedName>
    <definedName name="fuel1" localSheetId="15">Styrene!$L$16:$L$23</definedName>
    <definedName name="fuel1" localSheetId="16">Toluene!$L$16:$L$23</definedName>
    <definedName name="fuel1" localSheetId="19">'Xylenes-total'!$L$16:$L$23</definedName>
    <definedName name="fuel1">base_f!$L$16:$L$23</definedName>
    <definedName name="fuel2" localSheetId="13">Acetaldehyde!$M$16:$M$23</definedName>
    <definedName name="fuel2" localSheetId="12">'Atmospheric Particulate Matter'!$M$16:$M$23</definedName>
    <definedName name="fuel2" localSheetId="14">Benzene!$M$16:$M$23</definedName>
    <definedName name="fuel2" localSheetId="10">'Carbon Monoxide'!$M$16:$M$23</definedName>
    <definedName name="fuel2" localSheetId="18">Dichlorobenzene!$M$16:$M$23</definedName>
    <definedName name="fuel2" localSheetId="20">Formaldehyde!$M$16:$M$23</definedName>
    <definedName name="fuel2" localSheetId="17">'Naphthalene '!$M$16:$M$23</definedName>
    <definedName name="fuel2" localSheetId="11">Ozone!$M$16:$M$23</definedName>
    <definedName name="fuel2" localSheetId="15">Styrene!$M$16:$M$23</definedName>
    <definedName name="fuel2" localSheetId="16">Toluene!$M$16:$M$23</definedName>
    <definedName name="fuel2" localSheetId="19">'Xylenes-total'!$M$16:$M$23</definedName>
    <definedName name="fuel2">base_f!$M$16:$M$23</definedName>
    <definedName name="fuelname" localSheetId="13">Acetaldehyde!#REF!</definedName>
    <definedName name="fuelname" localSheetId="12">'Atmospheric Particulate Matter'!#REF!</definedName>
    <definedName name="fuelname" localSheetId="14">Benzene!#REF!</definedName>
    <definedName name="fuelname" localSheetId="10">'Carbon Monoxide'!#REF!</definedName>
    <definedName name="fuelname" localSheetId="18">Dichlorobenzene!#REF!</definedName>
    <definedName name="fuelname" localSheetId="21">base_f!#REF!</definedName>
    <definedName name="fuelname" localSheetId="20">Formaldehyde!#REF!</definedName>
    <definedName name="fuelname" localSheetId="17">'Naphthalene '!#REF!</definedName>
    <definedName name="fuelname" localSheetId="11">Ozone!#REF!</definedName>
    <definedName name="fuelname" localSheetId="15">Styrene!#REF!</definedName>
    <definedName name="fuelname" localSheetId="16">Toluene!#REF!</definedName>
    <definedName name="fuelname" localSheetId="22">base_f!#REF!</definedName>
    <definedName name="fuelname" localSheetId="19">'Xylenes-total'!#REF!</definedName>
    <definedName name="fuelname">base_f!#REF!</definedName>
    <definedName name="kerosene" localSheetId="13">Acetaldehyde!$K$16:$K$23</definedName>
    <definedName name="kerosene" localSheetId="12">'Atmospheric Particulate Matter'!$K$16:$K$23</definedName>
    <definedName name="kerosene" localSheetId="14">Benzene!$K$16:$K$23</definedName>
    <definedName name="kerosene" localSheetId="10">'Carbon Monoxide'!$K$16:$K$23</definedName>
    <definedName name="kerosene" localSheetId="18">Dichlorobenzene!$K$16:$K$23</definedName>
    <definedName name="kerosene" localSheetId="20">Formaldehyde!$K$16:$K$23</definedName>
    <definedName name="kerosene" localSheetId="17">'Naphthalene '!$K$16:$K$23</definedName>
    <definedName name="kerosene" localSheetId="11">Ozone!$K$16:$K$23</definedName>
    <definedName name="kerosene" localSheetId="15">Styrene!$K$16:$K$23</definedName>
    <definedName name="kerosene" localSheetId="16">Toluene!$K$16:$K$23</definedName>
    <definedName name="kerosene" localSheetId="19">'Xylenes-total'!$K$16:$K$23</definedName>
    <definedName name="kerosene">base_f!$K$16:$K$23</definedName>
    <definedName name="liquid" localSheetId="13">Acetaldehyde!$J$16:$J$25</definedName>
    <definedName name="liquid" localSheetId="12">'Atmospheric Particulate Matter'!$J$16:$J$25</definedName>
    <definedName name="liquid" localSheetId="14">Benzene!$J$16:$J$25</definedName>
    <definedName name="liquid" localSheetId="10">'Carbon Monoxide'!$J$16:$J$25</definedName>
    <definedName name="liquid" localSheetId="18">Dichlorobenzene!$J$16:$J$25</definedName>
    <definedName name="liquid" localSheetId="20">Formaldehyde!$J$16:$J$25</definedName>
    <definedName name="liquid" localSheetId="17">'Naphthalene '!$J$16:$J$25</definedName>
    <definedName name="liquid" localSheetId="11">Ozone!$J$16:$J$25</definedName>
    <definedName name="liquid" localSheetId="15">Styrene!$J$16:$J$25</definedName>
    <definedName name="liquid" localSheetId="16">Toluene!$J$16:$J$25</definedName>
    <definedName name="liquid" localSheetId="19">'Xylenes-total'!$J$16:$J$25</definedName>
    <definedName name="liquid">base_f!$J$16:$J$25</definedName>
    <definedName name="Meter">Setup!$M$22:$M$23</definedName>
    <definedName name="meterName">Setup!$O$26:$O$31</definedName>
    <definedName name="MeterTypes">Setup!$L$272:$L$298</definedName>
    <definedName name="myCategoryH" localSheetId="13">Acetaldehyde!$G$19:$G$36</definedName>
    <definedName name="myCategoryH" localSheetId="12">'Atmospheric Particulate Matter'!$G$19:$G$36</definedName>
    <definedName name="myCategoryH" localSheetId="14">Benzene!$G$19:$G$36</definedName>
    <definedName name="myCategoryH" localSheetId="10">'Carbon Monoxide'!$G$19:$G$36</definedName>
    <definedName name="myCategoryH" localSheetId="18">Dichlorobenzene!$G$19:$G$36</definedName>
    <definedName name="myCategoryH" localSheetId="20">Formaldehyde!$G$19:$G$36</definedName>
    <definedName name="myCategoryH" localSheetId="17">'Naphthalene '!$G$19:$G$36</definedName>
    <definedName name="myCategoryH" localSheetId="11">Ozone!$G$19:$G$36</definedName>
    <definedName name="myCategoryH" localSheetId="15">Styrene!$G$19:$G$36</definedName>
    <definedName name="myCategoryH" localSheetId="16">Toluene!$G$19:$G$36</definedName>
    <definedName name="myCategoryH" localSheetId="19">'Xylenes-total'!$G$19:$G$36</definedName>
    <definedName name="myCategoryH">base_f!$G$19:$G$36</definedName>
    <definedName name="myitem" localSheetId="13">OFFSET(myItemList,0,0,1,COUNTA(myItemList))</definedName>
    <definedName name="myitem" localSheetId="12">OFFSET(myItemList,0,0,1,COUNTA(myItemList))</definedName>
    <definedName name="myitem" localSheetId="14">OFFSET(myItemList,0,0,1,COUNTA(myItemList))</definedName>
    <definedName name="myitem" localSheetId="10">OFFSET(myItemList,0,0,1,COUNTA(myItemList))</definedName>
    <definedName name="myitem" localSheetId="18">OFFSET(myItemList,0,0,1,COUNTA(myItemList))</definedName>
    <definedName name="myitem" localSheetId="21">OFFSET(myItemList,0,0,1,COUNTA(myItemList))</definedName>
    <definedName name="myitem" localSheetId="20">OFFSET(myItemList,0,0,1,COUNTA(myItemList))</definedName>
    <definedName name="myitem" localSheetId="17">OFFSET(myItemList,0,0,1,COUNTA(myItemList))</definedName>
    <definedName name="myitem" localSheetId="11">OFFSET(myItemList,0,0,1,COUNTA(myItemList))</definedName>
    <definedName name="myitem" localSheetId="15">OFFSET(myItemList,0,0,1,COUNTA(myItemList))</definedName>
    <definedName name="myitem" localSheetId="16">OFFSET(myItemList,0,0,1,COUNTA(myItemList))</definedName>
    <definedName name="myitem" localSheetId="22">OFFSET(myItemList,0,0,1,COUNTA(myItemList))</definedName>
    <definedName name="myitem" localSheetId="19">OFFSET(myItemList,0,0,1,COUNTA(myItemList))</definedName>
    <definedName name="myitem">OFFSET(myItemList,0,0,1,COUNTA(myItemList))</definedName>
    <definedName name="myItemListH" localSheetId="13">INDEX(Acetaldehyde!myTableH,MATCH(Acetaldehyde!A1048576,Acetaldehyde!myCategoryH,0),0)</definedName>
    <definedName name="myItemListH" localSheetId="12">INDEX('Atmospheric Particulate Matter'!myTableH,MATCH('Atmospheric Particulate Matter'!A1048576,'Atmospheric Particulate Matter'!myCategoryH,0),0)</definedName>
    <definedName name="myItemListH" localSheetId="14">INDEX(Benzene!myTableH,MATCH(Benzene!A1048576,Benzene!myCategoryH,0),0)</definedName>
    <definedName name="myItemListH" localSheetId="10">INDEX('Carbon Monoxide'!myTableH,MATCH('Carbon Monoxide'!A1048576,'Carbon Monoxide'!myCategoryH,0),0)</definedName>
    <definedName name="myItemListH" localSheetId="18">INDEX(Dichlorobenzene!myTableH,MATCH(Dichlorobenzene!A1048576,Dichlorobenzene!myCategoryH,0),0)</definedName>
    <definedName name="myItemListH" localSheetId="20">INDEX(Formaldehyde!myTableH,MATCH(Formaldehyde!A1048576,Formaldehyde!myCategoryH,0),0)</definedName>
    <definedName name="myItemListH" localSheetId="17">INDEX('Naphthalene '!myTableH,MATCH('Naphthalene '!A1048576,'Naphthalene '!myCategoryH,0),0)</definedName>
    <definedName name="myItemListH" localSheetId="11">INDEX(Ozone!myTableH,MATCH(Ozone!A1048576,Ozone!myCategoryH,0),0)</definedName>
    <definedName name="myItemListH" localSheetId="15">INDEX(Styrene!myTableH,MATCH(Styrene!A1048576,Styrene!myCategoryH,0),0)</definedName>
    <definedName name="myItemListH" localSheetId="16">INDEX(Toluene!myTableH,MATCH(Toluene!A1048576,Toluene!myCategoryH,0),0)</definedName>
    <definedName name="myItemListH" localSheetId="19">INDEX('Xylenes-total'!myTableH,MATCH('Xylenes-total'!A1048576,'Xylenes-total'!myCategoryH,0),0)</definedName>
    <definedName name="myItemListH">INDEX(myTableH,MATCH(base_f!A1048576,myCategoryH,0),0)</definedName>
    <definedName name="myTableH" localSheetId="13">Acetaldehyde!$H$19:$V$36</definedName>
    <definedName name="myTableH" localSheetId="12">'Atmospheric Particulate Matter'!$H$19:$V$36</definedName>
    <definedName name="myTableH" localSheetId="14">Benzene!$H$19:$V$36</definedName>
    <definedName name="myTableH" localSheetId="10">'Carbon Monoxide'!$H$19:$V$36</definedName>
    <definedName name="myTableH" localSheetId="18">Dichlorobenzene!$H$19:$V$36</definedName>
    <definedName name="myTableH" localSheetId="20">Formaldehyde!$H$19:$V$36</definedName>
    <definedName name="myTableH" localSheetId="17">'Naphthalene '!$H$19:$V$36</definedName>
    <definedName name="myTableH" localSheetId="11">Ozone!$H$19:$V$36</definedName>
    <definedName name="myTableH" localSheetId="15">Styrene!$H$19:$V$36</definedName>
    <definedName name="myTableH" localSheetId="16">Toluene!$H$19:$V$36</definedName>
    <definedName name="myTableH" localSheetId="19">'Xylenes-total'!$H$19:$V$36</definedName>
    <definedName name="myTableH">base_f!$H$19:$V$36</definedName>
    <definedName name="newMet" localSheetId="13">Setup!$Q$26:$Q$28</definedName>
    <definedName name="newMet" localSheetId="12">Setup!$Q$26:$Q$28</definedName>
    <definedName name="newMet" localSheetId="14">Setup!$Q$26:$Q$28</definedName>
    <definedName name="newMet" localSheetId="10">Setup!$Q$26:$Q$28</definedName>
    <definedName name="newMet" localSheetId="18">Setup!$Q$26:$Q$28</definedName>
    <definedName name="newMet" localSheetId="20">Setup!$Q$26:$Q$28</definedName>
    <definedName name="newMet" localSheetId="17">Setup!$Q$26:$Q$28</definedName>
    <definedName name="newMet" localSheetId="11">Setup!$Q$26:$Q$28</definedName>
    <definedName name="newMet" localSheetId="15">Setup!$Q$26:$Q$28</definedName>
    <definedName name="newMet" localSheetId="16">Setup!$Q$26:$Q$28</definedName>
    <definedName name="newMet" localSheetId="19">Setup!$Q$26:$Q$28</definedName>
    <definedName name="newMet">Setup!$Q$26:$Q$28</definedName>
    <definedName name="newWaUnit" localSheetId="13">'Waste Stream'!$I$36:$I$38</definedName>
    <definedName name="newWaUnit" localSheetId="12">'Waste Stream'!$I$36:$I$38</definedName>
    <definedName name="newWaUnit" localSheetId="14">'Waste Stream'!$I$36:$I$38</definedName>
    <definedName name="newWaUnit" localSheetId="10">'Waste Stream'!$I$36:$I$38</definedName>
    <definedName name="newWaUnit" localSheetId="18">'Waste Stream'!$I$36:$I$38</definedName>
    <definedName name="newWaUnit" localSheetId="20">'Waste Stream'!$I$36:$I$38</definedName>
    <definedName name="newWaUnit" localSheetId="17">'Waste Stream'!$I$36:$I$38</definedName>
    <definedName name="newWaUnit" localSheetId="11">'Waste Stream'!$I$36:$I$38</definedName>
    <definedName name="newWaUnit" localSheetId="15">'Waste Stream'!$I$36:$I$38</definedName>
    <definedName name="newWaUnit" localSheetId="16">'Waste Stream'!$I$36:$I$38</definedName>
    <definedName name="newWaUnit" localSheetId="19">'Waste Stream'!$I$36:$I$38</definedName>
    <definedName name="newWaUnit">'Waste Stream'!$I$36:$I$38</definedName>
    <definedName name="Other_Fuels_Drp" localSheetId="13">Acetaldehyde!$V$10</definedName>
    <definedName name="Other_Fuels_Drp" localSheetId="12">'Atmospheric Particulate Matter'!$V$10</definedName>
    <definedName name="Other_Fuels_Drp" localSheetId="14">Benzene!$V$10</definedName>
    <definedName name="Other_Fuels_Drp" localSheetId="10">'Carbon Monoxide'!$V$10</definedName>
    <definedName name="Other_Fuels_Drp" localSheetId="18">Dichlorobenzene!$V$10</definedName>
    <definedName name="Other_Fuels_Drp" localSheetId="20">Formaldehyde!$V$10</definedName>
    <definedName name="Other_Fuels_Drp" localSheetId="17">'Naphthalene '!$V$10</definedName>
    <definedName name="Other_Fuels_Drp" localSheetId="11">Ozone!$V$10</definedName>
    <definedName name="Other_Fuels_Drp" localSheetId="15">Styrene!$V$10</definedName>
    <definedName name="Other_Fuels_Drp" localSheetId="16">Toluene!$V$10</definedName>
    <definedName name="Other_Fuels_Drp" localSheetId="19">'Xylenes-total'!$V$10</definedName>
    <definedName name="Other_Fuels_Drp">base_f!$V$10</definedName>
    <definedName name="Period__Start_Date" localSheetId="13">COUNTIF(base_w!$B:$B,base_w!A1)=1</definedName>
    <definedName name="Period__Start_Date" localSheetId="12">COUNTIF(base_w!$B:$B,base_w!A1)=1</definedName>
    <definedName name="Period__Start_Date" localSheetId="14">COUNTIF(base_w!$B:$B,base_w!A1)=1</definedName>
    <definedName name="Period__Start_Date" localSheetId="10">COUNTIF(base_w!$B:$B,base_w!A1)=1</definedName>
    <definedName name="Period__Start_Date" localSheetId="18">COUNTIF(base_w!$B:$B,base_w!A1)=1</definedName>
    <definedName name="Period__Start_Date" localSheetId="20">COUNTIF(base_w!$B:$B,base_w!A1)=1</definedName>
    <definedName name="Period__Start_Date" localSheetId="17">COUNTIF(base_w!$B:$B,base_w!A1)=1</definedName>
    <definedName name="Period__Start_Date" localSheetId="11">COUNTIF(base_w!$B:$B,base_w!A1)=1</definedName>
    <definedName name="Period__Start_Date" localSheetId="15">COUNTIF(base_w!$B:$B,base_w!A1)=1</definedName>
    <definedName name="Period__Start_Date" localSheetId="16">COUNTIF(base_w!$B:$B,base_w!A1)=1</definedName>
    <definedName name="Period__Start_Date" localSheetId="22">COUNTIF('Water meter via upload'!$B:$B,'Water meter via upload'!A1)=1</definedName>
    <definedName name="Period__Start_Date" localSheetId="19">COUNTIF(base_w!$B:$B,base_w!A1)=1</definedName>
    <definedName name="Period__Start_Date">COUNTIF(base_w!$B:$B,base_w!A1)=1</definedName>
    <definedName name="Propane" localSheetId="13">Acetaldehyde!$I$16:$I$27</definedName>
    <definedName name="Propane" localSheetId="12">'Atmospheric Particulate Matter'!$I$16:$I$27</definedName>
    <definedName name="Propane" localSheetId="14">Benzene!$I$16:$I$27</definedName>
    <definedName name="Propane" localSheetId="10">'Carbon Monoxide'!$I$16:$I$27</definedName>
    <definedName name="Propane" localSheetId="18">Dichlorobenzene!$I$16:$I$27</definedName>
    <definedName name="Propane" localSheetId="20">Formaldehyde!$I$16:$I$27</definedName>
    <definedName name="Propane" localSheetId="17">'Naphthalene '!$I$16:$I$27</definedName>
    <definedName name="Propane" localSheetId="11">Ozone!$I$16:$I$27</definedName>
    <definedName name="Propane" localSheetId="15">Styrene!$I$16:$I$27</definedName>
    <definedName name="Propane" localSheetId="16">Toluene!$I$16:$I$27</definedName>
    <definedName name="Propane" localSheetId="19">'Xylenes-total'!$I$16:$I$27</definedName>
    <definedName name="Propane">base_f!$I$16:$I$27</definedName>
    <definedName name="propanes" localSheetId="13">Acetaldehyde!$I$16:$I$25</definedName>
    <definedName name="propanes" localSheetId="12">'Atmospheric Particulate Matter'!$I$16:$I$25</definedName>
    <definedName name="propanes" localSheetId="14">Benzene!$I$16:$I$25</definedName>
    <definedName name="propanes" localSheetId="10">'Carbon Monoxide'!$I$16:$I$25</definedName>
    <definedName name="propanes" localSheetId="18">Dichlorobenzene!$I$16:$I$25</definedName>
    <definedName name="propanes" localSheetId="20">Formaldehyde!$I$16:$I$25</definedName>
    <definedName name="propanes" localSheetId="17">'Naphthalene '!$I$16:$I$25</definedName>
    <definedName name="propanes" localSheetId="11">Ozone!$I$16:$I$25</definedName>
    <definedName name="propanes" localSheetId="15">Styrene!$I$16:$I$25</definedName>
    <definedName name="propanes" localSheetId="16">Toluene!$I$16:$I$25</definedName>
    <definedName name="propanes" localSheetId="19">'Xylenes-total'!$I$16:$I$25</definedName>
    <definedName name="propanes">base_f!$I$16:$I$25</definedName>
    <definedName name="prounit" localSheetId="13">Acetaldehyde!$I$16:$I$25</definedName>
    <definedName name="prounit" localSheetId="12">'Atmospheric Particulate Matter'!$I$16:$I$25</definedName>
    <definedName name="prounit" localSheetId="14">Benzene!$I$16:$I$25</definedName>
    <definedName name="prounit" localSheetId="10">'Carbon Monoxide'!$I$16:$I$25</definedName>
    <definedName name="prounit" localSheetId="18">Dichlorobenzene!$I$16:$I$25</definedName>
    <definedName name="prounit" localSheetId="20">Formaldehyde!$I$16:$I$25</definedName>
    <definedName name="prounit" localSheetId="17">'Naphthalene '!$I$16:$I$25</definedName>
    <definedName name="prounit" localSheetId="11">Ozone!$I$16:$I$25</definedName>
    <definedName name="prounit" localSheetId="15">Styrene!$I$16:$I$25</definedName>
    <definedName name="prounit" localSheetId="16">Toluene!$I$16:$I$25</definedName>
    <definedName name="prounit" localSheetId="19">'Xylenes-total'!$I$16:$I$25</definedName>
    <definedName name="prounit">base_f!$I$16:$I$25</definedName>
    <definedName name="RangeCount">'CO2 Reading for Upload'!$B$6:$B$34</definedName>
    <definedName name="RangeCountVOC">'TVOC Reading for Upload'!$B$6:$B$34</definedName>
    <definedName name="ReadingTable" localSheetId="13">'CO2 Readings'!$45:$46</definedName>
    <definedName name="ReadingTable" localSheetId="12">'CO2 Readings'!$45:$46</definedName>
    <definedName name="ReadingTable" localSheetId="14">'CO2 Readings'!$45:$46</definedName>
    <definedName name="ReadingTable" localSheetId="10">'CO2 Readings'!$45:$46</definedName>
    <definedName name="ReadingTable" localSheetId="18">'CO2 Readings'!$45:$46</definedName>
    <definedName name="ReadingTable" localSheetId="20">'CO2 Readings'!$45:$46</definedName>
    <definedName name="ReadingTable" localSheetId="17">'CO2 Readings'!$45:$46</definedName>
    <definedName name="ReadingTable" localSheetId="11">'CO2 Readings'!$45:$46</definedName>
    <definedName name="ReadingTable" localSheetId="15">'CO2 Readings'!$45:$46</definedName>
    <definedName name="ReadingTable" localSheetId="16">'CO2 Readings'!$45:$46</definedName>
    <definedName name="ReadingTable" localSheetId="19">'CO2 Readings'!$45:$46</definedName>
    <definedName name="ReadingTable">'CO2 Readings'!$45:$46</definedName>
    <definedName name="ReadingTableVOC" localSheetId="13">'TVOC Readings'!$45:$46</definedName>
    <definedName name="ReadingTableVOC" localSheetId="12">'TVOC Readings'!$45:$46</definedName>
    <definedName name="ReadingTableVOC" localSheetId="14">'TVOC Readings'!$45:$46</definedName>
    <definedName name="ReadingTableVOC" localSheetId="10">'TVOC Readings'!$45:$46</definedName>
    <definedName name="ReadingTableVOC" localSheetId="18">'TVOC Readings'!$45:$46</definedName>
    <definedName name="ReadingTableVOC" localSheetId="20">'TVOC Readings'!$45:$46</definedName>
    <definedName name="ReadingTableVOC" localSheetId="17">'TVOC Readings'!$45:$46</definedName>
    <definedName name="ReadingTableVOC" localSheetId="11">'TVOC Readings'!$45:$46</definedName>
    <definedName name="ReadingTableVOC" localSheetId="15">'TVOC Readings'!$45:$46</definedName>
    <definedName name="ReadingTableVOC" localSheetId="16">'TVOC Readings'!$45:$46</definedName>
    <definedName name="ReadingTableVOC" localSheetId="19">'TVOC Readings'!$45:$46</definedName>
    <definedName name="ReadingTableVOC">'TVOC Readings'!$45:$46</definedName>
    <definedName name="Sheets">TRANSPOSE(GET.WORKBOOK(1))&amp;T(NOW())</definedName>
    <definedName name="spacetype" localSheetId="13">Setup!$S$36:$S$98</definedName>
    <definedName name="spacetype" localSheetId="12">Setup!$S$36:$S$98</definedName>
    <definedName name="spacetype" localSheetId="14">Setup!$S$36:$S$98</definedName>
    <definedName name="spacetype" localSheetId="10">Setup!$S$36:$S$98</definedName>
    <definedName name="spacetype" localSheetId="18">Setup!$S$36:$S$98</definedName>
    <definedName name="spacetype" localSheetId="20">Setup!$S$36:$S$98</definedName>
    <definedName name="spacetype" localSheetId="17">Setup!$S$36:$S$98</definedName>
    <definedName name="spacetype" localSheetId="11">Setup!$S$36:$S$98</definedName>
    <definedName name="spacetype" localSheetId="15">Setup!$S$36:$S$98</definedName>
    <definedName name="spacetype" localSheetId="16">Setup!$S$36:$S$98</definedName>
    <definedName name="spacetype" localSheetId="19">Setup!$S$36:$S$98</definedName>
    <definedName name="spacetype">Setup!$S$27:$S$82</definedName>
    <definedName name="sumAnchor">'CO2 Readings'!$F$29:$F$46</definedName>
    <definedName name="sumAnchorVOC">'TVOC Readings'!$G$29:$G$46</definedName>
    <definedName name="sumDate">'CO2 Readings'!$G$29:$G$46</definedName>
    <definedName name="sumDateVOC">'TVOC Readings'!$H$29:$H$46</definedName>
    <definedName name="UniqueDate">'CO2 Readings'!$B$52</definedName>
    <definedName name="UniqueDateVOC">'TVOC Readings'!$B$52</definedName>
    <definedName name="UniqueLoc">'CO2 Readings'!$C$52</definedName>
    <definedName name="UniqueLocVOC">'TVOC Readings'!$C$52</definedName>
    <definedName name="Units">Setup!$M$5:$M$6</definedName>
    <definedName name="UserFormat">'CO2 Readings'!$A$55:$E$55</definedName>
    <definedName name="validUnits">Setup!$L$301:$L$319</definedName>
    <definedName name="water_meter_type" localSheetId="22">'Water meter via upload'!$H$51:$I$63</definedName>
    <definedName name="water_meter_type">base_w!$H$27:$I$39</definedName>
    <definedName name="water_type" localSheetId="22">'Water meter via upload'!$H$51:$I$63</definedName>
    <definedName name="water_type">base_w!$H$27:$I$39</definedName>
    <definedName name="water_units" localSheetId="22">'Water meter via upload'!$H$39:$H$47</definedName>
    <definedName name="water_units">base_w!$H$15:$H$23</definedName>
    <definedName name="WaterDrp" localSheetId="13">base_w!$I$9:$I$11</definedName>
    <definedName name="WaterDrp" localSheetId="12">base_w!$I$9:$I$11</definedName>
    <definedName name="WaterDrp" localSheetId="14">base_w!$I$9:$I$11</definedName>
    <definedName name="WaterDrp" localSheetId="10">base_w!$I$9:$I$11</definedName>
    <definedName name="WaterDrp" localSheetId="18">base_w!$I$9:$I$11</definedName>
    <definedName name="WaterDrp" localSheetId="20">base_w!$I$9:$I$11</definedName>
    <definedName name="WaterDrp" localSheetId="17">base_w!$I$9:$I$11</definedName>
    <definedName name="WaterDrp" localSheetId="11">base_w!$I$9:$I$11</definedName>
    <definedName name="WaterDrp" localSheetId="15">base_w!$I$9:$I$11</definedName>
    <definedName name="WaterDrp" localSheetId="16">base_w!$I$9:$I$11</definedName>
    <definedName name="WaterDrp" localSheetId="22">'Water meter via upload'!$I$33:$I$35</definedName>
    <definedName name="WaterDrp" localSheetId="19">base_w!$I$9:$I$11</definedName>
    <definedName name="WaterDrp">base_w!$I$9:$I$11</definedName>
    <definedName name="waterType" localSheetId="22">'Water meter via upload'!$H$51:$H$63</definedName>
    <definedName name="waterType">base_w!$H$27:$H$39</definedName>
    <definedName name="waterUnits" localSheetId="22">'Water meter via upload'!$J$34:$J$38</definedName>
    <definedName name="waterUnits">base_w!$J$10:$J$14</definedName>
    <definedName name="watUn" localSheetId="22">'Water meter via upload'!$H$39:$H$47</definedName>
    <definedName name="watUn">base_w!$H$15:$H$23</definedName>
    <definedName name="watUni" localSheetId="13">base_w!$H$15:$H$29</definedName>
    <definedName name="watUni" localSheetId="12">base_w!$H$15:$H$29</definedName>
    <definedName name="watUni" localSheetId="14">base_w!$H$15:$H$29</definedName>
    <definedName name="watUni" localSheetId="10">base_w!$H$15:$H$29</definedName>
    <definedName name="watUni" localSheetId="18">base_w!$H$15:$H$29</definedName>
    <definedName name="watUni" localSheetId="20">base_w!$H$15:$H$29</definedName>
    <definedName name="watUni" localSheetId="17">base_w!$H$15:$H$29</definedName>
    <definedName name="watUni" localSheetId="11">base_w!$H$15:$H$29</definedName>
    <definedName name="watUni" localSheetId="15">base_w!$H$15:$H$29</definedName>
    <definedName name="watUni" localSheetId="16">base_w!$H$15:$H$29</definedName>
    <definedName name="watUni" localSheetId="22">'Water meter via upload'!$H$39:$H$53</definedName>
    <definedName name="watUni" localSheetId="19">base_w!$H$15:$H$29</definedName>
    <definedName name="watUni">base_w!$H$15:$H$29</definedName>
    <definedName name="waUn">'Waste Stream'!$I$36:$I$42</definedName>
    <definedName name="waunit">'Waste Stream'!$J$33:$J$35</definedName>
    <definedName name="Wood" localSheetId="13">Acetaldehyde!$H$16:$H$27</definedName>
    <definedName name="Wood" localSheetId="12">'Atmospheric Particulate Matter'!$H$16:$H$27</definedName>
    <definedName name="Wood" localSheetId="14">Benzene!$H$16:$H$27</definedName>
    <definedName name="Wood" localSheetId="10">'Carbon Monoxide'!$H$16:$H$27</definedName>
    <definedName name="Wood" localSheetId="18">Dichlorobenzene!$H$16:$H$27</definedName>
    <definedName name="Wood" localSheetId="20">Formaldehyde!$H$16:$H$27</definedName>
    <definedName name="Wood" localSheetId="17">'Naphthalene '!$H$16:$H$27</definedName>
    <definedName name="Wood" localSheetId="11">Ozone!$H$16:$H$27</definedName>
    <definedName name="Wood" localSheetId="15">Styrene!$H$16:$H$27</definedName>
    <definedName name="Wood" localSheetId="16">Toluene!$H$16:$H$27</definedName>
    <definedName name="Wood" localSheetId="19">'Xylenes-total'!$H$16:$H$27</definedName>
    <definedName name="Wood">base_f!$H$16:$H$27</definedName>
    <definedName name="woods" localSheetId="13">Acetaldehyde!$H$16:$H$22</definedName>
    <definedName name="woods" localSheetId="12">'Atmospheric Particulate Matter'!$H$16:$H$22</definedName>
    <definedName name="woods" localSheetId="14">Benzene!$H$16:$H$22</definedName>
    <definedName name="woods" localSheetId="10">'Carbon Monoxide'!$H$16:$H$22</definedName>
    <definedName name="woods" localSheetId="18">Dichlorobenzene!$H$16:$H$22</definedName>
    <definedName name="woods" localSheetId="20">Formaldehyde!$H$16:$H$22</definedName>
    <definedName name="woods" localSheetId="17">'Naphthalene '!$H$16:$H$22</definedName>
    <definedName name="woods" localSheetId="11">Ozone!$H$16:$H$22</definedName>
    <definedName name="woods" localSheetId="15">Styrene!$H$16:$H$22</definedName>
    <definedName name="woods" localSheetId="16">Toluene!$H$16:$H$22</definedName>
    <definedName name="woods" localSheetId="19">'Xylenes-total'!$H$16:$H$22</definedName>
    <definedName name="woods">base_f!$H$16:$H$22</definedName>
    <definedName name="woodunit" localSheetId="13">Acetaldehyde!$H$16:$H$22</definedName>
    <definedName name="woodunit" localSheetId="12">'Atmospheric Particulate Matter'!$H$16:$H$22</definedName>
    <definedName name="woodunit" localSheetId="14">Benzene!$H$16:$H$22</definedName>
    <definedName name="woodunit" localSheetId="10">'Carbon Monoxide'!$H$16:$H$22</definedName>
    <definedName name="woodunit" localSheetId="18">Dichlorobenzene!$H$16:$H$22</definedName>
    <definedName name="woodunit" localSheetId="20">Formaldehyde!$H$16:$H$22</definedName>
    <definedName name="woodunit" localSheetId="17">'Naphthalene '!$H$16:$H$22</definedName>
    <definedName name="woodunit" localSheetId="11">Ozone!$H$16:$H$22</definedName>
    <definedName name="woodunit" localSheetId="15">Styrene!$H$16:$H$22</definedName>
    <definedName name="woodunit" localSheetId="16">Toluene!$H$16:$H$22</definedName>
    <definedName name="woodunit" localSheetId="19">'Xylenes-total'!$H$16:$H$22</definedName>
    <definedName name="woodunit">base_f!$H$16:$H$22</definedName>
    <definedName name="zep" localSheetId="22">'Water meter via upload'!$J$32</definedName>
    <definedName name="zep">base_w!$J$8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3" l="1"/>
  <c r="E8" i="13" s="1"/>
  <c r="B8" i="13" s="1"/>
  <c r="B7" i="13"/>
  <c r="C7" i="13" s="1"/>
  <c r="AF31" i="15" a="1"/>
  <c r="AF31" i="15" s="1"/>
  <c r="AE31" i="15" a="1"/>
  <c r="AE31" i="15" s="1"/>
  <c r="AD31" i="15" a="1"/>
  <c r="AD31" i="15" s="1"/>
  <c r="AC31" i="15" a="1"/>
  <c r="AC31" i="15" s="1"/>
  <c r="AB31" i="15" a="1"/>
  <c r="AB31" i="15" s="1"/>
  <c r="AA31" i="15" a="1"/>
  <c r="AA31" i="15" s="1"/>
  <c r="Z31" i="15" a="1"/>
  <c r="Z31" i="15" s="1"/>
  <c r="Y31" i="15" a="1"/>
  <c r="Y31" i="15" s="1"/>
  <c r="X31" i="15" a="1"/>
  <c r="X31" i="15" s="1"/>
  <c r="W31" i="15" a="1"/>
  <c r="W31" i="15" s="1"/>
  <c r="V31" i="15" a="1"/>
  <c r="V31" i="15" s="1"/>
  <c r="U31" i="15" a="1"/>
  <c r="U31" i="15" s="1"/>
  <c r="T31" i="15" a="1"/>
  <c r="T31" i="15" s="1"/>
  <c r="S31" i="15" a="1"/>
  <c r="S31" i="15" s="1"/>
  <c r="R31" i="15" a="1"/>
  <c r="R31" i="15" s="1"/>
  <c r="Q31" i="15" a="1"/>
  <c r="Q31" i="15" s="1"/>
  <c r="P31" i="15" a="1"/>
  <c r="P31" i="15" s="1"/>
  <c r="O31" i="15" a="1"/>
  <c r="O31" i="15" s="1"/>
  <c r="N31" i="15" a="1"/>
  <c r="N31" i="15" s="1"/>
  <c r="M31" i="15" a="1"/>
  <c r="M31" i="15" s="1"/>
  <c r="L31" i="15" a="1"/>
  <c r="L31" i="15" s="1"/>
  <c r="K31" i="15" a="1"/>
  <c r="K31" i="15" s="1"/>
  <c r="J31" i="15" a="1"/>
  <c r="J31" i="15" s="1"/>
  <c r="I31" i="15" a="1"/>
  <c r="I31" i="15" s="1"/>
  <c r="AE31" i="14" a="1"/>
  <c r="AE31" i="14" s="1"/>
  <c r="AD31" i="14" a="1"/>
  <c r="AD31" i="14" s="1"/>
  <c r="AC31" i="14" a="1"/>
  <c r="AC31" i="14" s="1"/>
  <c r="AB31" i="14" a="1"/>
  <c r="AB31" i="14" s="1"/>
  <c r="AA31" i="14" a="1"/>
  <c r="AA31" i="14" s="1"/>
  <c r="Z31" i="14" a="1"/>
  <c r="Z31" i="14" s="1"/>
  <c r="Y31" i="14" a="1"/>
  <c r="Y31" i="14" s="1"/>
  <c r="X31" i="14" a="1"/>
  <c r="X31" i="14" s="1"/>
  <c r="W31" i="14" a="1"/>
  <c r="W31" i="14" s="1"/>
  <c r="V31" i="14" a="1"/>
  <c r="V31" i="14" s="1"/>
  <c r="U31" i="14" a="1"/>
  <c r="U31" i="14" s="1"/>
  <c r="T31" i="14" a="1"/>
  <c r="T31" i="14" s="1"/>
  <c r="S31" i="14" a="1"/>
  <c r="S31" i="14" s="1"/>
  <c r="R31" i="14" a="1"/>
  <c r="R31" i="14" s="1"/>
  <c r="Q31" i="14" a="1"/>
  <c r="Q31" i="14" s="1"/>
  <c r="P31" i="14" a="1"/>
  <c r="P31" i="14" s="1"/>
  <c r="O31" i="14" a="1"/>
  <c r="O31" i="14" s="1"/>
  <c r="N31" i="14" a="1"/>
  <c r="N31" i="14" s="1"/>
  <c r="M31" i="14" a="1"/>
  <c r="M31" i="14" s="1"/>
  <c r="L31" i="14" a="1"/>
  <c r="L31" i="14" s="1"/>
  <c r="K31" i="14" a="1"/>
  <c r="K31" i="14" s="1"/>
  <c r="J31" i="14" a="1"/>
  <c r="J31" i="14" s="1"/>
  <c r="I31" i="14" a="1"/>
  <c r="I31" i="14" s="1"/>
  <c r="H31" i="14" a="1"/>
  <c r="H31" i="14" s="1"/>
  <c r="E7" i="12"/>
  <c r="C8" i="13" l="1"/>
  <c r="D8" i="13" a="1"/>
  <c r="D8" i="13" s="1"/>
  <c r="A8" i="13" s="1"/>
  <c r="E9" i="13"/>
  <c r="D7" i="13" a="1"/>
  <c r="D7" i="13" s="1"/>
  <c r="A7" i="13" s="1"/>
  <c r="AF29" i="15"/>
  <c r="AF37" i="15" a="1"/>
  <c r="AF37" i="15" s="1"/>
  <c r="AF33" i="15" a="1"/>
  <c r="AF33" i="15" s="1"/>
  <c r="AF45" i="15"/>
  <c r="AF41" i="15" a="1"/>
  <c r="AF41" i="15" s="1"/>
  <c r="AF39" i="15" a="1"/>
  <c r="AF39" i="15" s="1"/>
  <c r="AF35" i="15" a="1"/>
  <c r="AF35" i="15" s="1"/>
  <c r="AF36" i="15" a="1"/>
  <c r="AF36" i="15" s="1"/>
  <c r="AF42" i="15" a="1"/>
  <c r="AF42" i="15" s="1"/>
  <c r="AF40" i="15" a="1"/>
  <c r="AF40" i="15" s="1"/>
  <c r="AF38" i="15" a="1"/>
  <c r="AF38" i="15" s="1"/>
  <c r="AF34" i="15" a="1"/>
  <c r="AF34" i="15" s="1"/>
  <c r="AE29" i="15"/>
  <c r="AE37" i="15" a="1"/>
  <c r="AE37" i="15" s="1"/>
  <c r="AE45" i="15"/>
  <c r="AE41" i="15" a="1"/>
  <c r="AE41" i="15" s="1"/>
  <c r="AE39" i="15" a="1"/>
  <c r="AE39" i="15" s="1"/>
  <c r="AE35" i="15" a="1"/>
  <c r="AE35" i="15" s="1"/>
  <c r="AE33" i="15" a="1"/>
  <c r="AE33" i="15" s="1"/>
  <c r="AE38" i="15" a="1"/>
  <c r="AE38" i="15" s="1"/>
  <c r="AE42" i="15" a="1"/>
  <c r="AE42" i="15" s="1"/>
  <c r="AE40" i="15" a="1"/>
  <c r="AE40" i="15" s="1"/>
  <c r="AE36" i="15" a="1"/>
  <c r="AE36" i="15" s="1"/>
  <c r="AE34" i="15" a="1"/>
  <c r="AE34" i="15" s="1"/>
  <c r="AD29" i="15"/>
  <c r="AD37" i="15" a="1"/>
  <c r="AD37" i="15" s="1"/>
  <c r="AD45" i="15"/>
  <c r="AD41" i="15" a="1"/>
  <c r="AD41" i="15" s="1"/>
  <c r="AD39" i="15" a="1"/>
  <c r="AD39" i="15" s="1"/>
  <c r="AD35" i="15" a="1"/>
  <c r="AD35" i="15" s="1"/>
  <c r="AD33" i="15" a="1"/>
  <c r="AD33" i="15" s="1"/>
  <c r="AD38" i="15" a="1"/>
  <c r="AD38" i="15" s="1"/>
  <c r="AD42" i="15" a="1"/>
  <c r="AD42" i="15" s="1"/>
  <c r="AD40" i="15" a="1"/>
  <c r="AD40" i="15" s="1"/>
  <c r="AD36" i="15" a="1"/>
  <c r="AD36" i="15" s="1"/>
  <c r="AD34" i="15" a="1"/>
  <c r="AD34" i="15" s="1"/>
  <c r="AC29" i="15"/>
  <c r="AC37" i="15" a="1"/>
  <c r="AC37" i="15" s="1"/>
  <c r="AC45" i="15"/>
  <c r="AC41" i="15" a="1"/>
  <c r="AC41" i="15" s="1"/>
  <c r="AC39" i="15" a="1"/>
  <c r="AC39" i="15" s="1"/>
  <c r="AC35" i="15" a="1"/>
  <c r="AC35" i="15" s="1"/>
  <c r="AC33" i="15" a="1"/>
  <c r="AC33" i="15" s="1"/>
  <c r="AC38" i="15" a="1"/>
  <c r="AC38" i="15" s="1"/>
  <c r="AC42" i="15" a="1"/>
  <c r="AC42" i="15" s="1"/>
  <c r="AC40" i="15" a="1"/>
  <c r="AC40" i="15" s="1"/>
  <c r="AC36" i="15" a="1"/>
  <c r="AC36" i="15" s="1"/>
  <c r="AC34" i="15" a="1"/>
  <c r="AC34" i="15" s="1"/>
  <c r="AB29" i="15"/>
  <c r="AB37" i="15" a="1"/>
  <c r="AB37" i="15" s="1"/>
  <c r="AB45" i="15"/>
  <c r="AB41" i="15" a="1"/>
  <c r="AB41" i="15" s="1"/>
  <c r="AB39" i="15" a="1"/>
  <c r="AB39" i="15" s="1"/>
  <c r="AB35" i="15" a="1"/>
  <c r="AB35" i="15" s="1"/>
  <c r="AB33" i="15" a="1"/>
  <c r="AB33" i="15" s="1"/>
  <c r="AB38" i="15" a="1"/>
  <c r="AB38" i="15" s="1"/>
  <c r="AB42" i="15" a="1"/>
  <c r="AB42" i="15" s="1"/>
  <c r="AB40" i="15" a="1"/>
  <c r="AB40" i="15" s="1"/>
  <c r="AB36" i="15" a="1"/>
  <c r="AB36" i="15" s="1"/>
  <c r="AB34" i="15" a="1"/>
  <c r="AB34" i="15" s="1"/>
  <c r="AA29" i="15"/>
  <c r="AA39" i="15" a="1"/>
  <c r="AA39" i="15" s="1"/>
  <c r="AA35" i="15" a="1"/>
  <c r="AA35" i="15" s="1"/>
  <c r="AA36" i="15" a="1"/>
  <c r="AA36" i="15" s="1"/>
  <c r="AA45" i="15"/>
  <c r="AA41" i="15" a="1"/>
  <c r="AA41" i="15" s="1"/>
  <c r="AA37" i="15" a="1"/>
  <c r="AA37" i="15" s="1"/>
  <c r="AA33" i="15" a="1"/>
  <c r="AA33" i="15" s="1"/>
  <c r="AA42" i="15" a="1"/>
  <c r="AA42" i="15" s="1"/>
  <c r="AA40" i="15" a="1"/>
  <c r="AA40" i="15" s="1"/>
  <c r="AA38" i="15" a="1"/>
  <c r="AA38" i="15" s="1"/>
  <c r="AA34" i="15" a="1"/>
  <c r="AA34" i="15" s="1"/>
  <c r="Z29" i="15"/>
  <c r="Z35" i="15" a="1"/>
  <c r="Z35" i="15" s="1"/>
  <c r="Z45" i="15"/>
  <c r="Z41" i="15" a="1"/>
  <c r="Z41" i="15" s="1"/>
  <c r="Z39" i="15" a="1"/>
  <c r="Z39" i="15" s="1"/>
  <c r="Z37" i="15" a="1"/>
  <c r="Z37" i="15" s="1"/>
  <c r="Z33" i="15" a="1"/>
  <c r="Z33" i="15" s="1"/>
  <c r="Z36" i="15" a="1"/>
  <c r="Z36" i="15" s="1"/>
  <c r="Z42" i="15" a="1"/>
  <c r="Z42" i="15" s="1"/>
  <c r="Z40" i="15" a="1"/>
  <c r="Z40" i="15" s="1"/>
  <c r="Z38" i="15" a="1"/>
  <c r="Z38" i="15" s="1"/>
  <c r="Z34" i="15" a="1"/>
  <c r="Z34" i="15" s="1"/>
  <c r="Y29" i="15"/>
  <c r="Y35" i="15" a="1"/>
  <c r="Y35" i="15" s="1"/>
  <c r="Y45" i="15"/>
  <c r="Y41" i="15" a="1"/>
  <c r="Y41" i="15" s="1"/>
  <c r="Y39" i="15" a="1"/>
  <c r="Y39" i="15" s="1"/>
  <c r="Y37" i="15" a="1"/>
  <c r="Y37" i="15" s="1"/>
  <c r="Y33" i="15" a="1"/>
  <c r="Y33" i="15" s="1"/>
  <c r="Y36" i="15" a="1"/>
  <c r="Y36" i="15" s="1"/>
  <c r="Y42" i="15" a="1"/>
  <c r="Y42" i="15" s="1"/>
  <c r="Y40" i="15" a="1"/>
  <c r="Y40" i="15" s="1"/>
  <c r="Y38" i="15" a="1"/>
  <c r="Y38" i="15" s="1"/>
  <c r="Y34" i="15" a="1"/>
  <c r="Y34" i="15" s="1"/>
  <c r="X29" i="15"/>
  <c r="X39" i="15" a="1"/>
  <c r="X39" i="15" s="1"/>
  <c r="X33" i="15" a="1"/>
  <c r="X33" i="15" s="1"/>
  <c r="X45" i="15"/>
  <c r="X41" i="15" a="1"/>
  <c r="X41" i="15" s="1"/>
  <c r="X37" i="15" a="1"/>
  <c r="X37" i="15" s="1"/>
  <c r="X35" i="15" a="1"/>
  <c r="X35" i="15" s="1"/>
  <c r="X40" i="15" a="1"/>
  <c r="X40" i="15" s="1"/>
  <c r="X34" i="15" a="1"/>
  <c r="X34" i="15" s="1"/>
  <c r="X42" i="15" a="1"/>
  <c r="X42" i="15" s="1"/>
  <c r="X38" i="15" a="1"/>
  <c r="X38" i="15" s="1"/>
  <c r="X36" i="15" a="1"/>
  <c r="X36" i="15" s="1"/>
  <c r="W45" i="15"/>
  <c r="W41" i="15" a="1"/>
  <c r="W41" i="15" s="1"/>
  <c r="W39" i="15" a="1"/>
  <c r="W39" i="15" s="1"/>
  <c r="W37" i="15" a="1"/>
  <c r="W37" i="15" s="1"/>
  <c r="W35" i="15" a="1"/>
  <c r="W35" i="15" s="1"/>
  <c r="W33" i="15" a="1"/>
  <c r="W33" i="15" s="1"/>
  <c r="W29" i="15"/>
  <c r="W42" i="15" a="1"/>
  <c r="W42" i="15" s="1"/>
  <c r="W40" i="15" a="1"/>
  <c r="W40" i="15" s="1"/>
  <c r="W38" i="15" a="1"/>
  <c r="W38" i="15" s="1"/>
  <c r="W36" i="15" a="1"/>
  <c r="W36" i="15" s="1"/>
  <c r="W34" i="15" a="1"/>
  <c r="W34" i="15" s="1"/>
  <c r="V29" i="15"/>
  <c r="V37" i="15" a="1"/>
  <c r="V37" i="15" s="1"/>
  <c r="V45" i="15"/>
  <c r="V41" i="15" a="1"/>
  <c r="V41" i="15" s="1"/>
  <c r="V39" i="15" a="1"/>
  <c r="V39" i="15" s="1"/>
  <c r="V35" i="15" a="1"/>
  <c r="V35" i="15" s="1"/>
  <c r="V33" i="15" a="1"/>
  <c r="V33" i="15" s="1"/>
  <c r="V38" i="15" a="1"/>
  <c r="V38" i="15" s="1"/>
  <c r="V42" i="15" a="1"/>
  <c r="V42" i="15" s="1"/>
  <c r="V40" i="15" a="1"/>
  <c r="V40" i="15" s="1"/>
  <c r="V36" i="15" a="1"/>
  <c r="V36" i="15" s="1"/>
  <c r="V34" i="15" a="1"/>
  <c r="V34" i="15" s="1"/>
  <c r="U29" i="15"/>
  <c r="U37" i="15" a="1"/>
  <c r="U37" i="15" s="1"/>
  <c r="U45" i="15"/>
  <c r="U41" i="15" a="1"/>
  <c r="U41" i="15" s="1"/>
  <c r="U39" i="15" a="1"/>
  <c r="U39" i="15" s="1"/>
  <c r="U35" i="15" a="1"/>
  <c r="U35" i="15" s="1"/>
  <c r="U33" i="15" a="1"/>
  <c r="U33" i="15" s="1"/>
  <c r="U36" i="15" a="1"/>
  <c r="U36" i="15" s="1"/>
  <c r="U42" i="15" a="1"/>
  <c r="U42" i="15" s="1"/>
  <c r="U40" i="15" a="1"/>
  <c r="U40" i="15" s="1"/>
  <c r="U38" i="15" a="1"/>
  <c r="U38" i="15" s="1"/>
  <c r="U34" i="15" a="1"/>
  <c r="U34" i="15" s="1"/>
  <c r="T29" i="15"/>
  <c r="T37" i="15" a="1"/>
  <c r="T37" i="15" s="1"/>
  <c r="T45" i="15"/>
  <c r="T41" i="15" a="1"/>
  <c r="T41" i="15" s="1"/>
  <c r="T39" i="15" a="1"/>
  <c r="T39" i="15" s="1"/>
  <c r="T35" i="15" a="1"/>
  <c r="T35" i="15" s="1"/>
  <c r="T33" i="15" a="1"/>
  <c r="T33" i="15" s="1"/>
  <c r="T38" i="15" a="1"/>
  <c r="T38" i="15" s="1"/>
  <c r="T42" i="15" a="1"/>
  <c r="T42" i="15" s="1"/>
  <c r="T40" i="15" a="1"/>
  <c r="T40" i="15" s="1"/>
  <c r="T36" i="15" a="1"/>
  <c r="T36" i="15" s="1"/>
  <c r="T34" i="15" a="1"/>
  <c r="T34" i="15" s="1"/>
  <c r="S29" i="15"/>
  <c r="S37" i="15" a="1"/>
  <c r="S37" i="15" s="1"/>
  <c r="S33" i="15" a="1"/>
  <c r="S33" i="15" s="1"/>
  <c r="S45" i="15"/>
  <c r="S41" i="15" a="1"/>
  <c r="S41" i="15" s="1"/>
  <c r="S39" i="15" a="1"/>
  <c r="S39" i="15" s="1"/>
  <c r="S35" i="15" a="1"/>
  <c r="S35" i="15" s="1"/>
  <c r="S38" i="15" a="1"/>
  <c r="S38" i="15" s="1"/>
  <c r="S42" i="15" a="1"/>
  <c r="S42" i="15" s="1"/>
  <c r="S40" i="15" a="1"/>
  <c r="S40" i="15" s="1"/>
  <c r="S36" i="15" a="1"/>
  <c r="S36" i="15" s="1"/>
  <c r="S34" i="15" a="1"/>
  <c r="S34" i="15" s="1"/>
  <c r="R29" i="15"/>
  <c r="R37" i="15" a="1"/>
  <c r="R37" i="15" s="1"/>
  <c r="R45" i="15"/>
  <c r="R41" i="15" a="1"/>
  <c r="R41" i="15" s="1"/>
  <c r="R39" i="15" a="1"/>
  <c r="R39" i="15" s="1"/>
  <c r="R35" i="15" a="1"/>
  <c r="R35" i="15" s="1"/>
  <c r="R33" i="15" a="1"/>
  <c r="R33" i="15" s="1"/>
  <c r="R38" i="15" a="1"/>
  <c r="R38" i="15" s="1"/>
  <c r="R42" i="15" a="1"/>
  <c r="R42" i="15" s="1"/>
  <c r="R40" i="15" a="1"/>
  <c r="R40" i="15" s="1"/>
  <c r="R36" i="15" a="1"/>
  <c r="R36" i="15" s="1"/>
  <c r="R34" i="15" a="1"/>
  <c r="R34" i="15" s="1"/>
  <c r="Q29" i="15"/>
  <c r="Q35" i="15" a="1"/>
  <c r="Q35" i="15" s="1"/>
  <c r="Q45" i="15"/>
  <c r="Q41" i="15" a="1"/>
  <c r="Q41" i="15" s="1"/>
  <c r="Q39" i="15" a="1"/>
  <c r="Q39" i="15" s="1"/>
  <c r="Q37" i="15" a="1"/>
  <c r="Q37" i="15" s="1"/>
  <c r="Q33" i="15" a="1"/>
  <c r="Q33" i="15" s="1"/>
  <c r="Q36" i="15" a="1"/>
  <c r="Q36" i="15" s="1"/>
  <c r="Q42" i="15" a="1"/>
  <c r="Q42" i="15" s="1"/>
  <c r="Q40" i="15" a="1"/>
  <c r="Q40" i="15" s="1"/>
  <c r="Q38" i="15" a="1"/>
  <c r="Q38" i="15" s="1"/>
  <c r="Q34" i="15" a="1"/>
  <c r="Q34" i="15" s="1"/>
  <c r="P29" i="15"/>
  <c r="P39" i="15" a="1"/>
  <c r="P39" i="15" s="1"/>
  <c r="P33" i="15" a="1"/>
  <c r="P33" i="15" s="1"/>
  <c r="P45" i="15"/>
  <c r="P41" i="15" a="1"/>
  <c r="P41" i="15" s="1"/>
  <c r="P37" i="15" a="1"/>
  <c r="P37" i="15" s="1"/>
  <c r="P35" i="15" a="1"/>
  <c r="P35" i="15" s="1"/>
  <c r="P38" i="15" a="1"/>
  <c r="P38" i="15" s="1"/>
  <c r="P34" i="15" a="1"/>
  <c r="P34" i="15" s="1"/>
  <c r="P42" i="15" a="1"/>
  <c r="P42" i="15" s="1"/>
  <c r="P40" i="15" a="1"/>
  <c r="P40" i="15" s="1"/>
  <c r="P36" i="15" a="1"/>
  <c r="P36" i="15" s="1"/>
  <c r="O29" i="15"/>
  <c r="O37" i="15" a="1"/>
  <c r="O37" i="15" s="1"/>
  <c r="O45" i="15"/>
  <c r="O41" i="15" a="1"/>
  <c r="O41" i="15" s="1"/>
  <c r="O39" i="15" a="1"/>
  <c r="O39" i="15" s="1"/>
  <c r="O35" i="15" a="1"/>
  <c r="O35" i="15" s="1"/>
  <c r="O33" i="15" a="1"/>
  <c r="O33" i="15" s="1"/>
  <c r="O36" i="15" a="1"/>
  <c r="O36" i="15" s="1"/>
  <c r="O42" i="15" a="1"/>
  <c r="O42" i="15" s="1"/>
  <c r="O40" i="15" a="1"/>
  <c r="O40" i="15" s="1"/>
  <c r="O38" i="15" a="1"/>
  <c r="O38" i="15" s="1"/>
  <c r="O34" i="15" a="1"/>
  <c r="O34" i="15" s="1"/>
  <c r="N29" i="15"/>
  <c r="N37" i="15" a="1"/>
  <c r="N37" i="15" s="1"/>
  <c r="N33" i="15" a="1"/>
  <c r="N33" i="15" s="1"/>
  <c r="N45" i="15"/>
  <c r="N41" i="15" a="1"/>
  <c r="N41" i="15" s="1"/>
  <c r="N39" i="15" a="1"/>
  <c r="N39" i="15" s="1"/>
  <c r="N35" i="15" a="1"/>
  <c r="N35" i="15" s="1"/>
  <c r="N38" i="15" a="1"/>
  <c r="N38" i="15" s="1"/>
  <c r="N34" i="15" a="1"/>
  <c r="N34" i="15" s="1"/>
  <c r="N42" i="15" a="1"/>
  <c r="N42" i="15" s="1"/>
  <c r="N40" i="15" a="1"/>
  <c r="N40" i="15" s="1"/>
  <c r="N36" i="15" a="1"/>
  <c r="N36" i="15" s="1"/>
  <c r="M29" i="15"/>
  <c r="M39" i="15" a="1"/>
  <c r="M39" i="15" s="1"/>
  <c r="M33" i="15" a="1"/>
  <c r="M33" i="15" s="1"/>
  <c r="M45" i="15"/>
  <c r="M41" i="15" a="1"/>
  <c r="M41" i="15" s="1"/>
  <c r="M37" i="15" a="1"/>
  <c r="M37" i="15" s="1"/>
  <c r="M35" i="15" a="1"/>
  <c r="M35" i="15" s="1"/>
  <c r="M40" i="15" a="1"/>
  <c r="M40" i="15" s="1"/>
  <c r="M34" i="15" a="1"/>
  <c r="M34" i="15" s="1"/>
  <c r="M42" i="15" a="1"/>
  <c r="M42" i="15" s="1"/>
  <c r="M38" i="15" a="1"/>
  <c r="M38" i="15" s="1"/>
  <c r="M36" i="15" a="1"/>
  <c r="M36" i="15" s="1"/>
  <c r="L29" i="15"/>
  <c r="L39" i="15" a="1"/>
  <c r="L39" i="15" s="1"/>
  <c r="L33" i="15" a="1"/>
  <c r="L33" i="15" s="1"/>
  <c r="L45" i="15"/>
  <c r="L41" i="15" a="1"/>
  <c r="L41" i="15" s="1"/>
  <c r="L37" i="15" a="1"/>
  <c r="L37" i="15" s="1"/>
  <c r="L35" i="15" a="1"/>
  <c r="L35" i="15" s="1"/>
  <c r="L38" i="15" a="1"/>
  <c r="L38" i="15" s="1"/>
  <c r="L34" i="15" a="1"/>
  <c r="L34" i="15" s="1"/>
  <c r="L42" i="15" a="1"/>
  <c r="L42" i="15" s="1"/>
  <c r="L40" i="15" a="1"/>
  <c r="L40" i="15" s="1"/>
  <c r="L36" i="15" a="1"/>
  <c r="L36" i="15" s="1"/>
  <c r="K29" i="15"/>
  <c r="K39" i="15" a="1"/>
  <c r="K39" i="15" s="1"/>
  <c r="K33" i="15" a="1"/>
  <c r="K33" i="15" s="1"/>
  <c r="K45" i="15"/>
  <c r="K41" i="15" a="1"/>
  <c r="K41" i="15" s="1"/>
  <c r="K37" i="15" a="1"/>
  <c r="K37" i="15" s="1"/>
  <c r="K35" i="15" a="1"/>
  <c r="K35" i="15" s="1"/>
  <c r="K38" i="15" a="1"/>
  <c r="K38" i="15" s="1"/>
  <c r="K42" i="15" a="1"/>
  <c r="K42" i="15" s="1"/>
  <c r="K40" i="15" a="1"/>
  <c r="K40" i="15" s="1"/>
  <c r="K36" i="15" a="1"/>
  <c r="K36" i="15" s="1"/>
  <c r="K34" i="15" a="1"/>
  <c r="K34" i="15" s="1"/>
  <c r="J29" i="15"/>
  <c r="J37" i="15" a="1"/>
  <c r="J37" i="15" s="1"/>
  <c r="J45" i="15"/>
  <c r="J41" i="15" a="1"/>
  <c r="J41" i="15" s="1"/>
  <c r="J39" i="15" a="1"/>
  <c r="J39" i="15" s="1"/>
  <c r="J35" i="15" a="1"/>
  <c r="J35" i="15" s="1"/>
  <c r="J33" i="15" a="1"/>
  <c r="J33" i="15" s="1"/>
  <c r="J38" i="15" a="1"/>
  <c r="J38" i="15" s="1"/>
  <c r="J42" i="15" a="1"/>
  <c r="J42" i="15" s="1"/>
  <c r="J40" i="15" a="1"/>
  <c r="J40" i="15" s="1"/>
  <c r="J36" i="15" a="1"/>
  <c r="J36" i="15" s="1"/>
  <c r="J34" i="15" a="1"/>
  <c r="J34" i="15" s="1"/>
  <c r="I29" i="15"/>
  <c r="I37" i="15" a="1"/>
  <c r="I37" i="15" s="1"/>
  <c r="I33" i="15" a="1"/>
  <c r="I33" i="15" s="1"/>
  <c r="I45" i="15"/>
  <c r="I41" i="15" a="1"/>
  <c r="I41" i="15" s="1"/>
  <c r="I39" i="15" a="1"/>
  <c r="I39" i="15" s="1"/>
  <c r="I35" i="15" a="1"/>
  <c r="I35" i="15" s="1"/>
  <c r="I38" i="15" a="1"/>
  <c r="I38" i="15" s="1"/>
  <c r="I34" i="15" a="1"/>
  <c r="I34" i="15" s="1"/>
  <c r="I42" i="15" a="1"/>
  <c r="I42" i="15" s="1"/>
  <c r="I40" i="15" a="1"/>
  <c r="I40" i="15" s="1"/>
  <c r="I36" i="15" a="1"/>
  <c r="I36" i="15" s="1"/>
  <c r="AE29" i="14"/>
  <c r="AE35" i="14" a="1"/>
  <c r="AE35" i="14" s="1"/>
  <c r="AE45" i="14"/>
  <c r="AE41" i="14" a="1"/>
  <c r="AE41" i="14" s="1"/>
  <c r="AE39" i="14" a="1"/>
  <c r="AE39" i="14" s="1"/>
  <c r="AE37" i="14" a="1"/>
  <c r="AE37" i="14" s="1"/>
  <c r="AE33" i="14" a="1"/>
  <c r="AE33" i="14" s="1"/>
  <c r="AE36" i="14" a="1"/>
  <c r="AE36" i="14" s="1"/>
  <c r="AE42" i="14" a="1"/>
  <c r="AE42" i="14" s="1"/>
  <c r="AE40" i="14" a="1"/>
  <c r="AE40" i="14" s="1"/>
  <c r="AE38" i="14" a="1"/>
  <c r="AE38" i="14" s="1"/>
  <c r="AE34" i="14" a="1"/>
  <c r="AE34" i="14" s="1"/>
  <c r="AD29" i="14"/>
  <c r="AD37" i="14" a="1"/>
  <c r="AD37" i="14" s="1"/>
  <c r="AD33" i="14" a="1"/>
  <c r="AD33" i="14" s="1"/>
  <c r="AD45" i="14"/>
  <c r="AD41" i="14" a="1"/>
  <c r="AD41" i="14" s="1"/>
  <c r="AD39" i="14" a="1"/>
  <c r="AD39" i="14" s="1"/>
  <c r="AD35" i="14" a="1"/>
  <c r="AD35" i="14" s="1"/>
  <c r="AD38" i="14" a="1"/>
  <c r="AD38" i="14" s="1"/>
  <c r="AD34" i="14" a="1"/>
  <c r="AD34" i="14" s="1"/>
  <c r="AD42" i="14" a="1"/>
  <c r="AD42" i="14" s="1"/>
  <c r="AD40" i="14" a="1"/>
  <c r="AD40" i="14" s="1"/>
  <c r="AD36" i="14" a="1"/>
  <c r="AD36" i="14" s="1"/>
  <c r="AC29" i="14"/>
  <c r="AC37" i="14" a="1"/>
  <c r="AC37" i="14" s="1"/>
  <c r="AC45" i="14"/>
  <c r="AC41" i="14" a="1"/>
  <c r="AC41" i="14" s="1"/>
  <c r="AC39" i="14" a="1"/>
  <c r="AC39" i="14" s="1"/>
  <c r="AC35" i="14" a="1"/>
  <c r="AC35" i="14" s="1"/>
  <c r="AC33" i="14" a="1"/>
  <c r="AC33" i="14" s="1"/>
  <c r="AC38" i="14" a="1"/>
  <c r="AC38" i="14" s="1"/>
  <c r="AC42" i="14" a="1"/>
  <c r="AC42" i="14" s="1"/>
  <c r="AC40" i="14" a="1"/>
  <c r="AC40" i="14" s="1"/>
  <c r="AC36" i="14" a="1"/>
  <c r="AC36" i="14" s="1"/>
  <c r="AC34" i="14" a="1"/>
  <c r="AC34" i="14" s="1"/>
  <c r="AB29" i="14"/>
  <c r="AB37" i="14" a="1"/>
  <c r="AB37" i="14" s="1"/>
  <c r="AB45" i="14"/>
  <c r="AB41" i="14" a="1"/>
  <c r="AB41" i="14" s="1"/>
  <c r="AB39" i="14" a="1"/>
  <c r="AB39" i="14" s="1"/>
  <c r="AB35" i="14" a="1"/>
  <c r="AB35" i="14" s="1"/>
  <c r="AB33" i="14" a="1"/>
  <c r="AB33" i="14" s="1"/>
  <c r="AB38" i="14" a="1"/>
  <c r="AB38" i="14" s="1"/>
  <c r="AB42" i="14" a="1"/>
  <c r="AB42" i="14" s="1"/>
  <c r="AB40" i="14" a="1"/>
  <c r="AB40" i="14" s="1"/>
  <c r="AB36" i="14" a="1"/>
  <c r="AB36" i="14" s="1"/>
  <c r="AB34" i="14" a="1"/>
  <c r="AB34" i="14" s="1"/>
  <c r="AA29" i="14"/>
  <c r="AA37" i="14" a="1"/>
  <c r="AA37" i="14" s="1"/>
  <c r="AA45" i="14"/>
  <c r="AA41" i="14" a="1"/>
  <c r="AA41" i="14" s="1"/>
  <c r="AA39" i="14" a="1"/>
  <c r="AA39" i="14" s="1"/>
  <c r="AA35" i="14" a="1"/>
  <c r="AA35" i="14" s="1"/>
  <c r="AA33" i="14" a="1"/>
  <c r="AA33" i="14" s="1"/>
  <c r="AA38" i="14" a="1"/>
  <c r="AA38" i="14" s="1"/>
  <c r="AA42" i="14" a="1"/>
  <c r="AA42" i="14" s="1"/>
  <c r="AA40" i="14" a="1"/>
  <c r="AA40" i="14" s="1"/>
  <c r="AA36" i="14" a="1"/>
  <c r="AA36" i="14" s="1"/>
  <c r="AA34" i="14" a="1"/>
  <c r="AA34" i="14" s="1"/>
  <c r="Z29" i="14"/>
  <c r="Z35" i="14" a="1"/>
  <c r="Z35" i="14" s="1"/>
  <c r="Z45" i="14"/>
  <c r="Z41" i="14" a="1"/>
  <c r="Z41" i="14" s="1"/>
  <c r="Z39" i="14" a="1"/>
  <c r="Z39" i="14" s="1"/>
  <c r="Z37" i="14" a="1"/>
  <c r="Z37" i="14" s="1"/>
  <c r="Z33" i="14" a="1"/>
  <c r="Z33" i="14" s="1"/>
  <c r="Z34" i="14" a="1"/>
  <c r="Z34" i="14" s="1"/>
  <c r="Z42" i="14" a="1"/>
  <c r="Z42" i="14" s="1"/>
  <c r="Z40" i="14" a="1"/>
  <c r="Z40" i="14" s="1"/>
  <c r="Z38" i="14" a="1"/>
  <c r="Z38" i="14" s="1"/>
  <c r="Z36" i="14" a="1"/>
  <c r="Z36" i="14" s="1"/>
  <c r="Y29" i="14"/>
  <c r="Y35" i="14" a="1"/>
  <c r="Y35" i="14" s="1"/>
  <c r="Y45" i="14"/>
  <c r="Y41" i="14" a="1"/>
  <c r="Y41" i="14" s="1"/>
  <c r="Y39" i="14" a="1"/>
  <c r="Y39" i="14" s="1"/>
  <c r="Y37" i="14" a="1"/>
  <c r="Y37" i="14" s="1"/>
  <c r="Y33" i="14" a="1"/>
  <c r="Y33" i="14" s="1"/>
  <c r="Y36" i="14" a="1"/>
  <c r="Y36" i="14" s="1"/>
  <c r="Y42" i="14" a="1"/>
  <c r="Y42" i="14" s="1"/>
  <c r="Y40" i="14" a="1"/>
  <c r="Y40" i="14" s="1"/>
  <c r="Y38" i="14" a="1"/>
  <c r="Y38" i="14" s="1"/>
  <c r="Y34" i="14" a="1"/>
  <c r="Y34" i="14" s="1"/>
  <c r="X29" i="14"/>
  <c r="X37" i="14" a="1"/>
  <c r="X37" i="14" s="1"/>
  <c r="X45" i="14"/>
  <c r="X41" i="14" a="1"/>
  <c r="X41" i="14" s="1"/>
  <c r="X39" i="14" a="1"/>
  <c r="X39" i="14" s="1"/>
  <c r="X35" i="14" a="1"/>
  <c r="X35" i="14" s="1"/>
  <c r="X33" i="14" a="1"/>
  <c r="X33" i="14" s="1"/>
  <c r="X38" i="14" a="1"/>
  <c r="X38" i="14" s="1"/>
  <c r="X42" i="14" a="1"/>
  <c r="X42" i="14" s="1"/>
  <c r="X40" i="14" a="1"/>
  <c r="X40" i="14" s="1"/>
  <c r="X36" i="14" a="1"/>
  <c r="X36" i="14" s="1"/>
  <c r="X34" i="14" a="1"/>
  <c r="X34" i="14" s="1"/>
  <c r="W29" i="14"/>
  <c r="W37" i="14" a="1"/>
  <c r="W37" i="14" s="1"/>
  <c r="W45" i="14"/>
  <c r="W41" i="14" a="1"/>
  <c r="W41" i="14" s="1"/>
  <c r="W39" i="14" a="1"/>
  <c r="W39" i="14" s="1"/>
  <c r="W35" i="14" a="1"/>
  <c r="W35" i="14" s="1"/>
  <c r="W33" i="14" a="1"/>
  <c r="W33" i="14" s="1"/>
  <c r="W36" i="14" a="1"/>
  <c r="W36" i="14" s="1"/>
  <c r="W42" i="14" a="1"/>
  <c r="W42" i="14" s="1"/>
  <c r="W40" i="14" a="1"/>
  <c r="W40" i="14" s="1"/>
  <c r="W38" i="14" a="1"/>
  <c r="W38" i="14" s="1"/>
  <c r="W34" i="14" a="1"/>
  <c r="W34" i="14" s="1"/>
  <c r="V29" i="14"/>
  <c r="V39" i="14" a="1"/>
  <c r="V39" i="14" s="1"/>
  <c r="V33" i="14" a="1"/>
  <c r="V33" i="14" s="1"/>
  <c r="V36" i="14" a="1"/>
  <c r="V36" i="14" s="1"/>
  <c r="V45" i="14"/>
  <c r="V41" i="14" a="1"/>
  <c r="V41" i="14" s="1"/>
  <c r="V37" i="14" a="1"/>
  <c r="V37" i="14" s="1"/>
  <c r="V35" i="14" a="1"/>
  <c r="V35" i="14" s="1"/>
  <c r="V34" i="14" a="1"/>
  <c r="V34" i="14" s="1"/>
  <c r="V42" i="14" a="1"/>
  <c r="V42" i="14" s="1"/>
  <c r="V40" i="14" a="1"/>
  <c r="V40" i="14" s="1"/>
  <c r="V38" i="14" a="1"/>
  <c r="V38" i="14" s="1"/>
  <c r="U29" i="14"/>
  <c r="U35" i="14" a="1"/>
  <c r="U35" i="14" s="1"/>
  <c r="U45" i="14"/>
  <c r="U41" i="14" a="1"/>
  <c r="U41" i="14" s="1"/>
  <c r="U39" i="14" a="1"/>
  <c r="U39" i="14" s="1"/>
  <c r="U37" i="14" a="1"/>
  <c r="U37" i="14" s="1"/>
  <c r="U33" i="14" a="1"/>
  <c r="U33" i="14" s="1"/>
  <c r="U36" i="14" a="1"/>
  <c r="U36" i="14" s="1"/>
  <c r="U42" i="14" a="1"/>
  <c r="U42" i="14" s="1"/>
  <c r="U40" i="14" a="1"/>
  <c r="U40" i="14" s="1"/>
  <c r="U38" i="14" a="1"/>
  <c r="U38" i="14" s="1"/>
  <c r="U34" i="14" a="1"/>
  <c r="U34" i="14" s="1"/>
  <c r="T29" i="14"/>
  <c r="T37" i="14" a="1"/>
  <c r="T37" i="14" s="1"/>
  <c r="T33" i="14" a="1"/>
  <c r="T33" i="14" s="1"/>
  <c r="T45" i="14"/>
  <c r="T41" i="14" a="1"/>
  <c r="T41" i="14" s="1"/>
  <c r="T39" i="14" a="1"/>
  <c r="T39" i="14" s="1"/>
  <c r="T35" i="14" a="1"/>
  <c r="T35" i="14" s="1"/>
  <c r="T38" i="14" a="1"/>
  <c r="T38" i="14" s="1"/>
  <c r="T42" i="14" a="1"/>
  <c r="T42" i="14" s="1"/>
  <c r="T40" i="14" a="1"/>
  <c r="T40" i="14" s="1"/>
  <c r="T36" i="14" a="1"/>
  <c r="T36" i="14" s="1"/>
  <c r="T34" i="14" a="1"/>
  <c r="T34" i="14" s="1"/>
  <c r="S29" i="14"/>
  <c r="S39" i="14" a="1"/>
  <c r="S39" i="14" s="1"/>
  <c r="S33" i="14" a="1"/>
  <c r="S33" i="14" s="1"/>
  <c r="S45" i="14"/>
  <c r="S41" i="14" a="1"/>
  <c r="S41" i="14" s="1"/>
  <c r="S37" i="14" a="1"/>
  <c r="S37" i="14" s="1"/>
  <c r="S35" i="14" a="1"/>
  <c r="S35" i="14" s="1"/>
  <c r="S40" i="14" a="1"/>
  <c r="S40" i="14" s="1"/>
  <c r="S34" i="14" a="1"/>
  <c r="S34" i="14" s="1"/>
  <c r="S42" i="14" a="1"/>
  <c r="S42" i="14" s="1"/>
  <c r="S38" i="14" a="1"/>
  <c r="S38" i="14" s="1"/>
  <c r="S36" i="14" a="1"/>
  <c r="S36" i="14" s="1"/>
  <c r="R29" i="14"/>
  <c r="R37" i="14" a="1"/>
  <c r="R37" i="14" s="1"/>
  <c r="R33" i="14" a="1"/>
  <c r="R33" i="14" s="1"/>
  <c r="R45" i="14"/>
  <c r="R41" i="14" a="1"/>
  <c r="R41" i="14" s="1"/>
  <c r="R39" i="14" a="1"/>
  <c r="R39" i="14" s="1"/>
  <c r="R35" i="14" a="1"/>
  <c r="R35" i="14" s="1"/>
  <c r="R36" i="14" a="1"/>
  <c r="R36" i="14" s="1"/>
  <c r="R42" i="14" a="1"/>
  <c r="R42" i="14" s="1"/>
  <c r="R40" i="14" a="1"/>
  <c r="R40" i="14" s="1"/>
  <c r="R38" i="14" a="1"/>
  <c r="R38" i="14" s="1"/>
  <c r="R34" i="14" a="1"/>
  <c r="R34" i="14" s="1"/>
  <c r="Q29" i="14"/>
  <c r="Q39" i="14" a="1"/>
  <c r="Q39" i="14" s="1"/>
  <c r="Q35" i="14" a="1"/>
  <c r="Q35" i="14" s="1"/>
  <c r="Q36" i="14" a="1"/>
  <c r="Q36" i="14" s="1"/>
  <c r="Q45" i="14"/>
  <c r="Q41" i="14" a="1"/>
  <c r="Q41" i="14" s="1"/>
  <c r="Q37" i="14" a="1"/>
  <c r="Q37" i="14" s="1"/>
  <c r="Q33" i="14" a="1"/>
  <c r="Q33" i="14" s="1"/>
  <c r="Q46" i="14" s="1"/>
  <c r="Q42" i="14" a="1"/>
  <c r="Q42" i="14" s="1"/>
  <c r="Q40" i="14" a="1"/>
  <c r="Q40" i="14" s="1"/>
  <c r="Q38" i="14" a="1"/>
  <c r="Q38" i="14" s="1"/>
  <c r="Q34" i="14" a="1"/>
  <c r="Q34" i="14" s="1"/>
  <c r="P29" i="14"/>
  <c r="P39" i="14" a="1"/>
  <c r="P39" i="14" s="1"/>
  <c r="P35" i="14" a="1"/>
  <c r="P35" i="14" s="1"/>
  <c r="P34" i="14" a="1"/>
  <c r="P34" i="14" s="1"/>
  <c r="P45" i="14"/>
  <c r="P41" i="14" a="1"/>
  <c r="P41" i="14" s="1"/>
  <c r="P37" i="14" a="1"/>
  <c r="P37" i="14" s="1"/>
  <c r="P33" i="14" a="1"/>
  <c r="P33" i="14" s="1"/>
  <c r="P42" i="14" a="1"/>
  <c r="P42" i="14" s="1"/>
  <c r="P40" i="14" a="1"/>
  <c r="P40" i="14" s="1"/>
  <c r="P38" i="14" a="1"/>
  <c r="P38" i="14" s="1"/>
  <c r="P36" i="14" a="1"/>
  <c r="P36" i="14" s="1"/>
  <c r="O29" i="14"/>
  <c r="O39" i="14" a="1"/>
  <c r="O39" i="14" s="1"/>
  <c r="O35" i="14" a="1"/>
  <c r="O35" i="14" s="1"/>
  <c r="O34" i="14" a="1"/>
  <c r="O34" i="14" s="1"/>
  <c r="O45" i="14"/>
  <c r="O41" i="14" a="1"/>
  <c r="O41" i="14" s="1"/>
  <c r="O37" i="14" a="1"/>
  <c r="O37" i="14" s="1"/>
  <c r="O33" i="14" a="1"/>
  <c r="O33" i="14" s="1"/>
  <c r="O42" i="14" a="1"/>
  <c r="O42" i="14" s="1"/>
  <c r="O40" i="14" a="1"/>
  <c r="O40" i="14" s="1"/>
  <c r="O38" i="14" a="1"/>
  <c r="O38" i="14" s="1"/>
  <c r="O36" i="14" a="1"/>
  <c r="O36" i="14" s="1"/>
  <c r="N29" i="14"/>
  <c r="N39" i="14" a="1"/>
  <c r="N39" i="14" s="1"/>
  <c r="N35" i="14" a="1"/>
  <c r="N35" i="14" s="1"/>
  <c r="N34" i="14" a="1"/>
  <c r="N34" i="14" s="1"/>
  <c r="N45" i="14"/>
  <c r="N41" i="14" a="1"/>
  <c r="N41" i="14" s="1"/>
  <c r="N37" i="14" a="1"/>
  <c r="N37" i="14" s="1"/>
  <c r="N33" i="14" a="1"/>
  <c r="N33" i="14" s="1"/>
  <c r="N42" i="14" a="1"/>
  <c r="N42" i="14" s="1"/>
  <c r="N40" i="14" a="1"/>
  <c r="N40" i="14" s="1"/>
  <c r="N38" i="14" a="1"/>
  <c r="N38" i="14" s="1"/>
  <c r="N36" i="14" a="1"/>
  <c r="N36" i="14" s="1"/>
  <c r="M29" i="14"/>
  <c r="M39" i="14" a="1"/>
  <c r="M39" i="14" s="1"/>
  <c r="M35" i="14" a="1"/>
  <c r="M35" i="14" s="1"/>
  <c r="M34" i="14" a="1"/>
  <c r="M34" i="14" s="1"/>
  <c r="M45" i="14"/>
  <c r="M41" i="14" a="1"/>
  <c r="M41" i="14" s="1"/>
  <c r="M37" i="14" a="1"/>
  <c r="M37" i="14" s="1"/>
  <c r="M33" i="14" a="1"/>
  <c r="M33" i="14" s="1"/>
  <c r="M42" i="14" a="1"/>
  <c r="M42" i="14" s="1"/>
  <c r="M40" i="14" a="1"/>
  <c r="M40" i="14" s="1"/>
  <c r="M38" i="14" a="1"/>
  <c r="M38" i="14" s="1"/>
  <c r="M36" i="14" a="1"/>
  <c r="M36" i="14" s="1"/>
  <c r="L29" i="14"/>
  <c r="L39" i="14" a="1"/>
  <c r="L39" i="14" s="1"/>
  <c r="L35" i="14" a="1"/>
  <c r="L35" i="14" s="1"/>
  <c r="L36" i="14" a="1"/>
  <c r="L36" i="14" s="1"/>
  <c r="L45" i="14"/>
  <c r="L41" i="14" a="1"/>
  <c r="L41" i="14" s="1"/>
  <c r="L37" i="14" a="1"/>
  <c r="L37" i="14" s="1"/>
  <c r="L33" i="14" a="1"/>
  <c r="L33" i="14" s="1"/>
  <c r="L34" i="14" a="1"/>
  <c r="L34" i="14" s="1"/>
  <c r="L42" i="14" a="1"/>
  <c r="L42" i="14" s="1"/>
  <c r="L40" i="14" a="1"/>
  <c r="L40" i="14" s="1"/>
  <c r="L38" i="14" a="1"/>
  <c r="L38" i="14" s="1"/>
  <c r="K29" i="14"/>
  <c r="K39" i="14" a="1"/>
  <c r="K39" i="14" s="1"/>
  <c r="K37" i="14" a="1"/>
  <c r="K37" i="14" s="1"/>
  <c r="K33" i="14" a="1"/>
  <c r="K33" i="14" s="1"/>
  <c r="K45" i="14"/>
  <c r="K41" i="14" a="1"/>
  <c r="K41" i="14" s="1"/>
  <c r="K35" i="14" a="1"/>
  <c r="K35" i="14" s="1"/>
  <c r="K34" i="14" a="1"/>
  <c r="K34" i="14" s="1"/>
  <c r="K42" i="14" a="1"/>
  <c r="K42" i="14" s="1"/>
  <c r="K40" i="14" a="1"/>
  <c r="K40" i="14" s="1"/>
  <c r="K38" i="14" a="1"/>
  <c r="K38" i="14" s="1"/>
  <c r="K36" i="14" a="1"/>
  <c r="K36" i="14" s="1"/>
  <c r="J29" i="14"/>
  <c r="J39" i="14" a="1"/>
  <c r="J39" i="14" s="1"/>
  <c r="J35" i="14" a="1"/>
  <c r="J35" i="14" s="1"/>
  <c r="J36" i="14" a="1"/>
  <c r="J36" i="14" s="1"/>
  <c r="J45" i="14"/>
  <c r="J41" i="14" a="1"/>
  <c r="J41" i="14" s="1"/>
  <c r="J37" i="14" a="1"/>
  <c r="J37" i="14" s="1"/>
  <c r="J33" i="14" a="1"/>
  <c r="J33" i="14" s="1"/>
  <c r="J42" i="14" a="1"/>
  <c r="J42" i="14" s="1"/>
  <c r="J40" i="14" a="1"/>
  <c r="J40" i="14" s="1"/>
  <c r="J38" i="14" a="1"/>
  <c r="J38" i="14" s="1"/>
  <c r="J34" i="14" a="1"/>
  <c r="J34" i="14" s="1"/>
  <c r="I29" i="14"/>
  <c r="I41" i="14" a="1"/>
  <c r="I41" i="14" s="1"/>
  <c r="I37" i="14" a="1"/>
  <c r="I37" i="14" s="1"/>
  <c r="I33" i="14" a="1"/>
  <c r="I33" i="14" s="1"/>
  <c r="I34" i="14" a="1"/>
  <c r="I34" i="14" s="1"/>
  <c r="I45" i="14"/>
  <c r="I39" i="14" a="1"/>
  <c r="I39" i="14" s="1"/>
  <c r="I35" i="14" a="1"/>
  <c r="I35" i="14" s="1"/>
  <c r="I42" i="14" a="1"/>
  <c r="I42" i="14" s="1"/>
  <c r="I40" i="14" a="1"/>
  <c r="I40" i="14" s="1"/>
  <c r="I38" i="14" a="1"/>
  <c r="I38" i="14" s="1"/>
  <c r="I36" i="14" a="1"/>
  <c r="I36" i="14" s="1"/>
  <c r="H29" i="14"/>
  <c r="H39" i="14" a="1"/>
  <c r="H39" i="14" s="1"/>
  <c r="H35" i="14" a="1"/>
  <c r="H35" i="14" s="1"/>
  <c r="H33" i="14" a="1"/>
  <c r="H33" i="14" s="1"/>
  <c r="H45" i="14"/>
  <c r="H41" i="14" a="1"/>
  <c r="H41" i="14" s="1"/>
  <c r="H37" i="14" a="1"/>
  <c r="H37" i="14" s="1"/>
  <c r="H36" i="14" a="1"/>
  <c r="H36" i="14" s="1"/>
  <c r="H42" i="14" a="1"/>
  <c r="H42" i="14" s="1"/>
  <c r="H40" i="14" a="1"/>
  <c r="H40" i="14" s="1"/>
  <c r="H38" i="14" a="1"/>
  <c r="H38" i="14" s="1"/>
  <c r="H34" i="14" a="1"/>
  <c r="H34" i="14" s="1"/>
  <c r="E8" i="12"/>
  <c r="E10" i="13" l="1"/>
  <c r="B9" i="13"/>
  <c r="AF46" i="15"/>
  <c r="AE46" i="15"/>
  <c r="AD46" i="15"/>
  <c r="AC46" i="15"/>
  <c r="AB46" i="15"/>
  <c r="AA46" i="15"/>
  <c r="Z46" i="15"/>
  <c r="Y46" i="15"/>
  <c r="X46" i="15"/>
  <c r="W46" i="15"/>
  <c r="V46" i="15"/>
  <c r="U46" i="15"/>
  <c r="T46" i="15"/>
  <c r="S46" i="15"/>
  <c r="R46" i="15"/>
  <c r="Q46" i="15"/>
  <c r="P46" i="15"/>
  <c r="O46" i="15"/>
  <c r="N46" i="15"/>
  <c r="M46" i="15"/>
  <c r="L46" i="15"/>
  <c r="K46" i="15"/>
  <c r="J46" i="15"/>
  <c r="I46" i="15"/>
  <c r="AE46" i="14"/>
  <c r="AD46" i="14"/>
  <c r="AC46" i="14"/>
  <c r="AB46" i="14"/>
  <c r="AA46" i="14"/>
  <c r="Z46" i="14"/>
  <c r="Y46" i="14"/>
  <c r="X46" i="14"/>
  <c r="W46" i="14"/>
  <c r="V46" i="14"/>
  <c r="U46" i="14"/>
  <c r="T46" i="14"/>
  <c r="S46" i="14"/>
  <c r="R46" i="14"/>
  <c r="P46" i="14"/>
  <c r="O46" i="14"/>
  <c r="N46" i="14"/>
  <c r="M46" i="14"/>
  <c r="L46" i="14"/>
  <c r="K46" i="14"/>
  <c r="J46" i="14"/>
  <c r="I46" i="14"/>
  <c r="H46" i="14"/>
  <c r="E9" i="12"/>
  <c r="B10" i="13" l="1"/>
  <c r="E11" i="13"/>
  <c r="C9" i="13"/>
  <c r="D9" i="13" a="1"/>
  <c r="D9" i="13" s="1"/>
  <c r="A9" i="13" s="1"/>
  <c r="E10" i="12"/>
  <c r="E12" i="13" l="1"/>
  <c r="B11" i="13"/>
  <c r="C10" i="13"/>
  <c r="D10" i="13" a="1"/>
  <c r="D10" i="13" s="1"/>
  <c r="A10" i="13" s="1"/>
  <c r="E11" i="12"/>
  <c r="C11" i="13" l="1"/>
  <c r="D11" i="13" a="1"/>
  <c r="D11" i="13" s="1"/>
  <c r="A11" i="13" s="1"/>
  <c r="B12" i="13"/>
  <c r="E13" i="13"/>
  <c r="E12" i="12"/>
  <c r="E14" i="13" l="1"/>
  <c r="B13" i="13"/>
  <c r="C12" i="13"/>
  <c r="D12" i="13" a="1"/>
  <c r="D12" i="13" s="1"/>
  <c r="A12" i="13" s="1"/>
  <c r="E13" i="12"/>
  <c r="C13" i="13" l="1"/>
  <c r="D13" i="13" a="1"/>
  <c r="D13" i="13" s="1"/>
  <c r="A13" i="13" s="1"/>
  <c r="B14" i="13"/>
  <c r="E15" i="13"/>
  <c r="E14" i="12"/>
  <c r="E16" i="13" l="1"/>
  <c r="B15" i="13"/>
  <c r="C14" i="13"/>
  <c r="D14" i="13" a="1"/>
  <c r="D14" i="13" s="1"/>
  <c r="A14" i="13" s="1"/>
  <c r="E15" i="12"/>
  <c r="C15" i="13" l="1"/>
  <c r="D15" i="13" a="1"/>
  <c r="D15" i="13" s="1"/>
  <c r="A15" i="13" s="1"/>
  <c r="B16" i="13"/>
  <c r="E17" i="13"/>
  <c r="E16" i="12"/>
  <c r="E18" i="13" l="1"/>
  <c r="B17" i="13"/>
  <c r="C16" i="13"/>
  <c r="D16" i="13" a="1"/>
  <c r="D16" i="13" s="1"/>
  <c r="A16" i="13" s="1"/>
  <c r="E17" i="12"/>
  <c r="C17" i="13" l="1"/>
  <c r="D17" i="13" a="1"/>
  <c r="D17" i="13" s="1"/>
  <c r="A17" i="13" s="1"/>
  <c r="B18" i="13"/>
  <c r="E19" i="13"/>
  <c r="E18" i="12"/>
  <c r="E20" i="13" l="1"/>
  <c r="B19" i="13"/>
  <c r="C18" i="13"/>
  <c r="D18" i="13" a="1"/>
  <c r="D18" i="13" s="1"/>
  <c r="A18" i="13" s="1"/>
  <c r="E19" i="12"/>
  <c r="C19" i="13" l="1"/>
  <c r="D19" i="13" a="1"/>
  <c r="D19" i="13" s="1"/>
  <c r="A19" i="13" s="1"/>
  <c r="B20" i="13"/>
  <c r="E21" i="13"/>
  <c r="E20" i="12"/>
  <c r="E22" i="13" l="1"/>
  <c r="B21" i="13"/>
  <c r="C20" i="13"/>
  <c r="D20" i="13" a="1"/>
  <c r="D20" i="13" s="1"/>
  <c r="A20" i="13" s="1"/>
  <c r="E21" i="12"/>
  <c r="C21" i="13" l="1"/>
  <c r="D21" i="13" a="1"/>
  <c r="D21" i="13" s="1"/>
  <c r="A21" i="13" s="1"/>
  <c r="B22" i="13"/>
  <c r="E23" i="13"/>
  <c r="E22" i="12"/>
  <c r="E24" i="13" l="1"/>
  <c r="B23" i="13"/>
  <c r="C22" i="13"/>
  <c r="D22" i="13" a="1"/>
  <c r="D22" i="13" s="1"/>
  <c r="A22" i="13" s="1"/>
  <c r="E23" i="12"/>
  <c r="C23" i="13" l="1"/>
  <c r="D23" i="13" a="1"/>
  <c r="D23" i="13" s="1"/>
  <c r="A23" i="13" s="1"/>
  <c r="B24" i="13"/>
  <c r="E25" i="13"/>
  <c r="E24" i="12"/>
  <c r="D6" i="29"/>
  <c r="B1" i="29"/>
  <c r="D1" i="29" s="1"/>
  <c r="D6" i="28"/>
  <c r="B1" i="28"/>
  <c r="D1" i="28" s="1"/>
  <c r="E26" i="13" l="1"/>
  <c r="B25" i="13"/>
  <c r="C24" i="13"/>
  <c r="D24" i="13" a="1"/>
  <c r="D24" i="13" s="1"/>
  <c r="A24" i="13" s="1"/>
  <c r="E25" i="12"/>
  <c r="D6" i="27" a="1"/>
  <c r="D6" i="27" s="1"/>
  <c r="B1" i="27"/>
  <c r="D1" i="27" s="1"/>
  <c r="D6" i="26" a="1"/>
  <c r="D6" i="26" s="1"/>
  <c r="B1" i="26"/>
  <c r="D1" i="26" s="1"/>
  <c r="D6" i="25" a="1"/>
  <c r="D6" i="25" s="1"/>
  <c r="B1" i="25"/>
  <c r="D1" i="25" s="1"/>
  <c r="D6" i="24" a="1"/>
  <c r="D6" i="24" s="1"/>
  <c r="B1" i="24"/>
  <c r="D1" i="24" s="1"/>
  <c r="D6" i="23" a="1"/>
  <c r="D6" i="23" s="1"/>
  <c r="B1" i="23"/>
  <c r="D1" i="23" s="1"/>
  <c r="D6" i="22" a="1"/>
  <c r="D6" i="22" s="1"/>
  <c r="B1" i="22"/>
  <c r="D1" i="22" s="1"/>
  <c r="D6" i="21"/>
  <c r="D6" i="21" a="1"/>
  <c r="B1" i="21"/>
  <c r="D1" i="21" s="1"/>
  <c r="D6" i="20" a="1"/>
  <c r="D6" i="20" s="1"/>
  <c r="B1" i="20"/>
  <c r="D1" i="20" s="1"/>
  <c r="D6" i="19" a="1"/>
  <c r="D6" i="19" s="1"/>
  <c r="B1" i="19"/>
  <c r="D1" i="19" s="1"/>
  <c r="D6" i="18" a="1"/>
  <c r="D6" i="18" s="1"/>
  <c r="B1" i="18"/>
  <c r="D1" i="18" s="1"/>
  <c r="D6" i="17" a="1"/>
  <c r="D6" i="17" s="1"/>
  <c r="B1" i="17"/>
  <c r="D1" i="17" s="1"/>
  <c r="C25" i="13" l="1"/>
  <c r="D25" i="13" a="1"/>
  <c r="D25" i="13" s="1"/>
  <c r="A25" i="13" s="1"/>
  <c r="B26" i="13"/>
  <c r="E27" i="13"/>
  <c r="E26" i="12"/>
  <c r="D19" i="16"/>
  <c r="C26" i="13" l="1"/>
  <c r="D26" i="13" a="1"/>
  <c r="D26" i="13" s="1"/>
  <c r="A26" i="13" s="1"/>
  <c r="E28" i="13"/>
  <c r="B27" i="13"/>
  <c r="E27" i="12"/>
  <c r="J8" i="16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I14" i="16" s="1"/>
  <c r="J15" i="16"/>
  <c r="K15" i="16"/>
  <c r="I15" i="16" s="1"/>
  <c r="J16" i="16"/>
  <c r="K16" i="16"/>
  <c r="I16" i="16" s="1"/>
  <c r="C27" i="13" l="1"/>
  <c r="D27" i="13" a="1"/>
  <c r="D27" i="13" s="1"/>
  <c r="A27" i="13" s="1"/>
  <c r="B28" i="13"/>
  <c r="E29" i="13"/>
  <c r="E28" i="12"/>
  <c r="J7" i="16"/>
  <c r="K7" i="16"/>
  <c r="C28" i="13" l="1"/>
  <c r="D28" i="13" a="1"/>
  <c r="D28" i="13" s="1"/>
  <c r="A28" i="13" s="1"/>
  <c r="E30" i="13"/>
  <c r="B29" i="13"/>
  <c r="E29" i="12"/>
  <c r="H19" i="16"/>
  <c r="G19" i="16"/>
  <c r="C29" i="13" l="1"/>
  <c r="D29" i="13" a="1"/>
  <c r="D29" i="13" s="1"/>
  <c r="A29" i="13" s="1"/>
  <c r="B30" i="13"/>
  <c r="E31" i="13"/>
  <c r="E30" i="12"/>
  <c r="H31" i="15" a="1"/>
  <c r="H31" i="15" s="1"/>
  <c r="G31" i="14" a="1"/>
  <c r="G31" i="14" s="1"/>
  <c r="B31" i="13" l="1"/>
  <c r="C30" i="13"/>
  <c r="D30" i="13" a="1"/>
  <c r="D30" i="13" s="1"/>
  <c r="A30" i="13" s="1"/>
  <c r="E31" i="12"/>
  <c r="E19" i="16"/>
  <c r="C31" i="13" l="1"/>
  <c r="D31" i="13" a="1"/>
  <c r="D31" i="13" s="1"/>
  <c r="A31" i="13" s="1"/>
  <c r="B8" i="12"/>
  <c r="B9" i="12"/>
  <c r="J17" i="16"/>
  <c r="K17" i="16"/>
  <c r="I17" i="16" s="1"/>
  <c r="J18" i="16"/>
  <c r="K18" i="16"/>
  <c r="I18" i="16" s="1"/>
  <c r="B10" i="12" l="1"/>
  <c r="C8" i="12"/>
  <c r="C9" i="12"/>
  <c r="J22" i="16"/>
  <c r="F19" i="16" s="1"/>
  <c r="B33" i="15" a="1"/>
  <c r="B33" i="15" s="1"/>
  <c r="B33" i="14" a="1"/>
  <c r="B33" i="14" s="1"/>
  <c r="D22" i="16"/>
  <c r="B22" i="16"/>
  <c r="D6" i="16"/>
  <c r="C16" i="1"/>
  <c r="D6" i="13"/>
  <c r="D6" i="12"/>
  <c r="E49" i="15"/>
  <c r="C52" i="15" a="1"/>
  <c r="C52" i="15" s="1"/>
  <c r="B52" i="15" a="1"/>
  <c r="B52" i="15" s="1"/>
  <c r="C52" i="14" a="1"/>
  <c r="C52" i="14" s="1"/>
  <c r="B52" i="14" a="1"/>
  <c r="B52" i="14" s="1"/>
  <c r="E49" i="14"/>
  <c r="B1" i="6"/>
  <c r="B1" i="8"/>
  <c r="B1" i="4"/>
  <c r="D6" i="8"/>
  <c r="D6" i="6"/>
  <c r="D6" i="4"/>
  <c r="E6" i="11"/>
  <c r="D6" i="11"/>
  <c r="B11" i="12" l="1"/>
  <c r="C10" i="12"/>
  <c r="B12" i="12"/>
  <c r="B34" i="14" a="1"/>
  <c r="B34" i="14" s="1"/>
  <c r="A33" i="15"/>
  <c r="B34" i="15" a="1"/>
  <c r="B34" i="15" s="1"/>
  <c r="H33" i="15" a="1"/>
  <c r="H33" i="15" s="1"/>
  <c r="H29" i="15"/>
  <c r="H45" i="15"/>
  <c r="D23" i="16"/>
  <c r="D1" i="8"/>
  <c r="D1" i="6"/>
  <c r="D1" i="4"/>
  <c r="I19" i="16"/>
  <c r="D24" i="16" s="1"/>
  <c r="G29" i="14"/>
  <c r="G45" i="14"/>
  <c r="A33" i="14"/>
  <c r="G33" i="14" a="1"/>
  <c r="G33" i="14" s="1"/>
  <c r="C11" i="12" l="1"/>
  <c r="B7" i="12"/>
  <c r="B13" i="12"/>
  <c r="C12" i="12"/>
  <c r="B35" i="15" a="1"/>
  <c r="B35" i="15" s="1"/>
  <c r="B35" i="14" a="1"/>
  <c r="B35" i="14" s="1"/>
  <c r="B49" i="15"/>
  <c r="C49" i="15" s="1"/>
  <c r="G34" i="14" a="1"/>
  <c r="G34" i="14" s="1"/>
  <c r="A34" i="14"/>
  <c r="A34" i="15"/>
  <c r="H34" i="15" a="1"/>
  <c r="H34" i="15" s="1"/>
  <c r="B49" i="14"/>
  <c r="C49" i="14" s="1"/>
  <c r="B14" i="12" l="1"/>
  <c r="C14" i="12" s="1"/>
  <c r="C13" i="12"/>
  <c r="C7" i="12"/>
  <c r="A35" i="15"/>
  <c r="H35" i="15" a="1"/>
  <c r="H35" i="15" s="1"/>
  <c r="B36" i="15" a="1"/>
  <c r="B36" i="15" s="1"/>
  <c r="A35" i="14"/>
  <c r="G35" i="14" a="1"/>
  <c r="G35" i="14" s="1"/>
  <c r="B36" i="14" a="1"/>
  <c r="B36" i="14" s="1"/>
  <c r="B15" i="12" l="1"/>
  <c r="C15" i="12" s="1"/>
  <c r="B37" i="15" a="1"/>
  <c r="B37" i="15" s="1"/>
  <c r="H36" i="15" a="1"/>
  <c r="H36" i="15" s="1"/>
  <c r="A36" i="15"/>
  <c r="A36" i="14"/>
  <c r="G36" i="14" a="1"/>
  <c r="G36" i="14" s="1"/>
  <c r="B37" i="14" a="1"/>
  <c r="B37" i="14" s="1"/>
  <c r="B38" i="15" l="1" a="1"/>
  <c r="B38" i="15" s="1"/>
  <c r="H38" i="15" s="1" a="1"/>
  <c r="H38" i="15" s="1"/>
  <c r="B16" i="12"/>
  <c r="C16" i="12" s="1"/>
  <c r="H37" i="15" a="1"/>
  <c r="H37" i="15" s="1"/>
  <c r="A37" i="15"/>
  <c r="B38" i="14" a="1"/>
  <c r="B38" i="14" s="1"/>
  <c r="G37" i="14" a="1"/>
  <c r="G37" i="14" s="1"/>
  <c r="A37" i="14"/>
  <c r="B39" i="15" l="1" a="1"/>
  <c r="B39" i="15" s="1"/>
  <c r="B40" i="15" s="1" a="1"/>
  <c r="B40" i="15" s="1"/>
  <c r="A38" i="15"/>
  <c r="H39" i="15" a="1"/>
  <c r="H39" i="15" s="1"/>
  <c r="B17" i="12"/>
  <c r="C17" i="12" s="1"/>
  <c r="B39" i="14" a="1"/>
  <c r="B39" i="14" s="1"/>
  <c r="G38" i="14" a="1"/>
  <c r="G38" i="14" s="1"/>
  <c r="A38" i="14"/>
  <c r="A39" i="15" l="1"/>
  <c r="H40" i="15" a="1"/>
  <c r="H40" i="15" s="1"/>
  <c r="A40" i="15"/>
  <c r="B41" i="15" a="1"/>
  <c r="B41" i="15" s="1"/>
  <c r="B19" i="12"/>
  <c r="C19" i="12" s="1"/>
  <c r="B18" i="12"/>
  <c r="C18" i="12" s="1"/>
  <c r="A39" i="14"/>
  <c r="B40" i="14" a="1"/>
  <c r="B40" i="14" s="1"/>
  <c r="G39" i="14" a="1"/>
  <c r="G39" i="14" s="1"/>
  <c r="B42" i="15" l="1" a="1"/>
  <c r="B42" i="15" s="1"/>
  <c r="A41" i="15"/>
  <c r="H41" i="15" a="1"/>
  <c r="H41" i="15" s="1"/>
  <c r="A42" i="15"/>
  <c r="H42" i="15" a="1"/>
  <c r="H42" i="15" s="1"/>
  <c r="B20" i="12"/>
  <c r="C20" i="12" s="1"/>
  <c r="A40" i="14"/>
  <c r="B41" i="14" a="1"/>
  <c r="B41" i="14" s="1"/>
  <c r="G40" i="14" a="1"/>
  <c r="G40" i="14" s="1"/>
  <c r="B21" i="12" l="1"/>
  <c r="C21" i="12" s="1"/>
  <c r="B42" i="14" a="1"/>
  <c r="B42" i="14" s="1"/>
  <c r="G41" i="14" a="1"/>
  <c r="G41" i="14" s="1"/>
  <c r="A41" i="14"/>
  <c r="B22" i="12" l="1"/>
  <c r="C22" i="12" s="1"/>
  <c r="A42" i="14"/>
  <c r="G42" i="14" a="1"/>
  <c r="G42" i="14" s="1"/>
  <c r="B23" i="12" l="1"/>
  <c r="C23" i="12" s="1"/>
  <c r="B24" i="12" l="1"/>
  <c r="C24" i="12" s="1"/>
  <c r="B25" i="12" l="1"/>
  <c r="C25" i="12" l="1"/>
  <c r="B26" i="12"/>
  <c r="B27" i="12" l="1"/>
  <c r="C26" i="12"/>
  <c r="H46" i="15" l="1"/>
  <c r="B28" i="12"/>
  <c r="C27" i="12"/>
  <c r="D49" i="15" l="1" a="1"/>
  <c r="D49" i="15" s="1"/>
  <c r="A49" i="15" s="1"/>
  <c r="C28" i="12"/>
  <c r="B29" i="12"/>
  <c r="B30" i="12" l="1"/>
  <c r="C29" i="12"/>
  <c r="G46" i="14"/>
  <c r="D15" i="12"/>
  <c r="A15" i="12" s="1"/>
  <c r="D23" i="12"/>
  <c r="A23" i="12" s="1"/>
  <c r="D22" i="12"/>
  <c r="A22" i="12" s="1"/>
  <c r="D9" i="12"/>
  <c r="A9" i="12" s="1"/>
  <c r="D17" i="12"/>
  <c r="A17" i="12" s="1"/>
  <c r="D25" i="12"/>
  <c r="A25" i="12" s="1"/>
  <c r="D8" i="12"/>
  <c r="A8" i="12" s="1"/>
  <c r="D16" i="12"/>
  <c r="A16" i="12" s="1"/>
  <c r="D24" i="12"/>
  <c r="A24" i="12" s="1"/>
  <c r="D11" i="12"/>
  <c r="A11" i="12" s="1"/>
  <c r="D19" i="12"/>
  <c r="A19" i="12" s="1"/>
  <c r="D27" i="12"/>
  <c r="A27" i="12" s="1"/>
  <c r="D10" i="12"/>
  <c r="A10" i="12" s="1"/>
  <c r="D18" i="12"/>
  <c r="A18" i="12" s="1"/>
  <c r="D26" i="12"/>
  <c r="A26" i="12" s="1"/>
  <c r="D13" i="12"/>
  <c r="A13" i="12" s="1"/>
  <c r="D21" i="12"/>
  <c r="A21" i="12" s="1"/>
  <c r="D29" i="12"/>
  <c r="A29" i="12" s="1"/>
  <c r="D12" i="12"/>
  <c r="A12" i="12" s="1"/>
  <c r="D20" i="12"/>
  <c r="A20" i="12" s="1"/>
  <c r="D28" i="12"/>
  <c r="A28" i="12" s="1"/>
  <c r="D14" i="12"/>
  <c r="A14" i="12" s="1"/>
  <c r="D7" i="12" l="1"/>
  <c r="A7" i="12" s="1"/>
  <c r="D49" i="14"/>
  <c r="A49" i="14" s="1"/>
  <c r="B31" i="12"/>
  <c r="C31" i="12" s="1"/>
  <c r="C30" i="12"/>
  <c r="D30" i="12"/>
  <c r="A30" i="12" s="1"/>
  <c r="D31" i="12" l="1"/>
  <c r="A31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Batya Metalitz</author>
  </authors>
  <commentList>
    <comment ref="E5" authorId="0" shapeId="0" xr:uid="{00000000-0006-0000-0400-000001000000}">
      <text>
        <r>
          <rPr>
            <sz val="9"/>
            <color indexed="81"/>
            <rFont val="Tahoma"/>
            <family val="2"/>
          </rPr>
          <t>24/7 operation = 168 hours</t>
        </r>
      </text>
    </comment>
    <comment ref="F5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See user manual section "Setup" for more information on who is considered a Regular Building Occupant
</t>
        </r>
      </text>
    </comment>
    <comment ref="H5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Visitors includes:
</t>
        </r>
        <r>
          <rPr>
            <sz val="9"/>
            <color indexed="81"/>
            <rFont val="Tahoma"/>
            <family val="2"/>
          </rPr>
          <t xml:space="preserve">Visitors, Volunteers, Retail Customers, Outpatients, Higher Education Students, etc. 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<sst xmlns="http://schemas.openxmlformats.org/spreadsheetml/2006/main" count="3945" uniqueCount="743">
  <si>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</si>
  <si>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</si>
  <si>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</si>
  <si>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</si>
  <si>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</si>
  <si>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</si>
  <si>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</si>
  <si>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</si>
  <si>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</si>
  <si>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</si>
  <si>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</si>
  <si>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</si>
  <si>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</si>
  <si>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</si>
  <si>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</si>
  <si>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</si>
  <si>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</si>
  <si>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</si>
  <si>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</si>
  <si>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</si>
  <si>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</si>
  <si>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</si>
  <si>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</si>
  <si>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</si>
  <si>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</si>
  <si>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</si>
  <si>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</si>
  <si>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</si>
  <si>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</si>
  <si>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</si>
  <si>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</si>
  <si>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</si>
  <si>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</si>
  <si>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</si>
  <si>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</si>
  <si>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</si>
  <si>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</si>
  <si>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</si>
  <si>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</si>
  <si>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</si>
  <si>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</si>
  <si>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</si>
  <si>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</si>
  <si>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</si>
  <si>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</si>
  <si>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</si>
  <si>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</si>
  <si>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</si>
  <si>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</si>
  <si>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</si>
  <si>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</si>
  <si>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</si>
  <si>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</si>
  <si>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</si>
  <si>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</si>
  <si>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</si>
  <si>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</si>
  <si>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</si>
  <si>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</si>
  <si>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</si>
  <si>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</si>
  <si>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</si>
  <si>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</si>
  <si>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</si>
  <si>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</si>
  <si>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</si>
  <si>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</si>
  <si>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</si>
  <si>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</si>
  <si>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</si>
  <si>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</si>
  <si>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</si>
  <si>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</si>
  <si>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</si>
  <si>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</si>
  <si>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</si>
  <si>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</si>
  <si>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</si>
  <si>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</si>
  <si>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</si>
  <si>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</si>
  <si>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</si>
  <si>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</si>
  <si>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</si>
  <si>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</si>
  <si>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</si>
  <si>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</si>
  <si>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</si>
  <si>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</si>
  <si>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</si>
  <si>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</si>
  <si>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</si>
  <si>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</si>
  <si>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</si>
  <si>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</si>
  <si>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</si>
  <si>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</si>
  <si>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</si>
  <si>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</si>
  <si>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</si>
  <si>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</si>
  <si>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</si>
  <si>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</si>
  <si>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</si>
  <si>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</si>
  <si>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</si>
  <si>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</si>
  <si>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</si>
  <si>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</si>
  <si>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</si>
  <si>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</si>
  <si>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</si>
  <si>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</si>
  <si>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</si>
  <si>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</si>
  <si>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</si>
  <si>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</si>
  <si>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</si>
  <si>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</si>
  <si>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</si>
  <si>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</si>
  <si>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</si>
  <si>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</si>
  <si>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</si>
  <si>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</si>
  <si>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</si>
  <si>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</si>
  <si>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</si>
  <si>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</si>
  <si>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</si>
  <si>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</si>
  <si>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</si>
  <si>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</si>
  <si>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</si>
  <si>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</si>
  <si>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</si>
  <si>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</si>
  <si>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</si>
  <si>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</si>
  <si>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</si>
  <si>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</si>
  <si>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</si>
  <si>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</si>
  <si>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</si>
  <si>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</si>
  <si>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</si>
  <si>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</si>
  <si>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</si>
  <si>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</si>
  <si>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</si>
  <si>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</si>
  <si>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</si>
  <si>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</si>
  <si>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</si>
  <si>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</si>
  <si>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</si>
  <si>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</si>
  <si>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</si>
  <si>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</si>
  <si>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</si>
  <si>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</si>
  <si>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</si>
  <si>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</si>
  <si>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</si>
  <si>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</si>
  <si>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</si>
  <si>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</si>
  <si>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</si>
  <si>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</si>
  <si>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</si>
  <si>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</si>
  <si>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</si>
  <si>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</si>
  <si>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</si>
  <si>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</si>
  <si>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</si>
  <si>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</si>
  <si>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</si>
  <si>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</si>
  <si>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</si>
  <si>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</si>
  <si>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</si>
  <si>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</si>
  <si>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</si>
  <si>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</si>
  <si>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</si>
  <si>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</si>
  <si>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</si>
  <si>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</si>
  <si>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</si>
  <si>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</si>
  <si>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</si>
  <si>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</si>
  <si>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</si>
  <si>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</si>
  <si>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</si>
  <si>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</si>
  <si>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</si>
  <si>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</si>
  <si>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</si>
  <si>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</si>
  <si>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</si>
  <si>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</si>
  <si>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</si>
  <si>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</si>
  <si>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</si>
  <si>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</si>
  <si>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</si>
  <si>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</si>
  <si>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</si>
  <si>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</si>
  <si>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</si>
  <si>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</si>
  <si>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</si>
  <si>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</si>
  <si>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</si>
  <si>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</si>
  <si>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</si>
  <si>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</si>
  <si>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</si>
  <si>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</si>
  <si>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</si>
  <si>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</si>
  <si>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</si>
  <si>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</si>
  <si>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</si>
  <si>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</si>
  <si>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</si>
  <si>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</si>
  <si>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</si>
  <si>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</si>
  <si>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</si>
  <si>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</si>
  <si>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</si>
  <si>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</si>
  <si>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</si>
  <si>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</si>
  <si>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</si>
  <si>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</si>
  <si>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</si>
  <si>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</si>
  <si>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</si>
  <si>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</si>
  <si>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</si>
  <si>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</si>
  <si>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</si>
  <si>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</si>
  <si>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</si>
  <si>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</si>
  <si>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</si>
  <si>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</si>
  <si>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</si>
  <si>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</si>
  <si>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</si>
  <si>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</si>
  <si>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</si>
  <si>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</si>
  <si>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</si>
  <si>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</si>
  <si>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</si>
  <si>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</si>
  <si>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</si>
  <si>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</si>
  <si>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</si>
  <si>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</si>
  <si>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</si>
  <si>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</si>
  <si>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</si>
  <si>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</si>
  <si>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</si>
  <si>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</si>
  <si>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</si>
  <si>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</si>
  <si>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</si>
  <si>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</si>
  <si>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</si>
  <si>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</si>
  <si>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</si>
  <si>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</si>
  <si>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</si>
  <si>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</si>
  <si>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</si>
  <si>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</si>
  <si>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</si>
  <si>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</si>
  <si>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</si>
  <si>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</si>
  <si>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</si>
  <si>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</si>
  <si>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</si>
  <si>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</si>
  <si>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</si>
  <si>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</si>
  <si>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</si>
  <si>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</si>
  <si>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</si>
  <si>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</si>
  <si>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</si>
  <si>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</si>
  <si>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</si>
  <si>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</si>
  <si>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</si>
  <si>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</si>
  <si>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</si>
  <si>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</si>
  <si>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</si>
  <si>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</si>
  <si>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</si>
  <si>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</si>
  <si>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</si>
  <si>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</si>
  <si>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</si>
  <si>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</si>
  <si>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</si>
  <si>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</si>
  <si>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</si>
  <si>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</si>
  <si>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</si>
  <si>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</si>
  <si>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</si>
  <si>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</si>
  <si>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</si>
  <si>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</si>
  <si>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</si>
  <si>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</si>
  <si>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</si>
  <si>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</si>
  <si>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</si>
  <si>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</si>
  <si>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</si>
  <si>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</si>
  <si>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</si>
  <si>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</si>
  <si>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</si>
  <si>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</si>
  <si>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</si>
  <si>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</si>
  <si>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</si>
  <si>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</si>
  <si>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</si>
  <si>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</si>
  <si>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</si>
  <si>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</si>
  <si>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</si>
  <si>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</si>
  <si>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</si>
  <si>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</si>
  <si>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</si>
  <si>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</si>
  <si>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</si>
  <si>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</si>
  <si>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</si>
  <si>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</si>
  <si>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</si>
  <si>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</si>
  <si>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</si>
  <si>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</si>
  <si>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</si>
  <si>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</si>
  <si>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</si>
  <si>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</si>
  <si>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</si>
  <si>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</si>
  <si>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</si>
  <si>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</si>
  <si>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</si>
  <si>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</si>
  <si>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</si>
  <si>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</si>
  <si>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</si>
  <si>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</si>
  <si>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</si>
  <si>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</si>
  <si>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</si>
  <si>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</si>
  <si>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</si>
  <si>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</si>
  <si>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</si>
  <si>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</si>
  <si>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</si>
  <si>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</si>
  <si>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</si>
  <si>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</si>
  <si>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</si>
  <si>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</si>
  <si>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</si>
  <si>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</si>
  <si>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</si>
  <si>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</si>
  <si>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</si>
  <si>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</si>
  <si>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</si>
  <si>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</si>
  <si>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</si>
  <si>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</si>
  <si>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</si>
  <si>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</si>
  <si>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</si>
  <si>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</si>
  <si>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</si>
  <si>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</si>
  <si>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</si>
  <si>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</si>
  <si>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</si>
  <si>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</si>
  <si>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</si>
  <si>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</si>
  <si>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</si>
  <si>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</si>
  <si>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</si>
  <si>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</si>
  <si>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</si>
  <si>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</si>
  <si>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</si>
  <si>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</si>
  <si>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</si>
  <si>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</si>
  <si>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</si>
  <si>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</si>
  <si>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</si>
  <si>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</si>
  <si>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</si>
  <si>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</si>
  <si>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</si>
  <si>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</si>
  <si>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</si>
  <si>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</si>
  <si>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</si>
  <si>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</si>
  <si>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</si>
  <si>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</si>
  <si>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</si>
  <si>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</si>
  <si>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</si>
  <si>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</si>
  <si>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</si>
  <si>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</si>
  <si>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</si>
  <si>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</si>
  <si>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</si>
  <si>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</si>
  <si>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</si>
  <si>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</si>
  <si>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</si>
  <si>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</si>
  <si>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</si>
  <si>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</si>
  <si>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</si>
  <si>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</si>
  <si>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</si>
  <si>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</si>
  <si>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</si>
  <si>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</si>
  <si>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</si>
  <si>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</si>
  <si>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</si>
  <si>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</si>
  <si>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</si>
  <si>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</si>
  <si>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</si>
  <si>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</si>
  <si>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</si>
  <si>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</si>
  <si>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</si>
  <si>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</si>
  <si>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</si>
  <si>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</si>
  <si>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</si>
  <si>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</si>
  <si>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</si>
  <si>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</si>
  <si>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</si>
  <si>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</si>
  <si>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</si>
  <si>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</si>
  <si>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</si>
  <si>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</si>
  <si>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</si>
  <si>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</si>
  <si>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</si>
  <si>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</si>
  <si>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</si>
  <si>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</si>
  <si>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</si>
  <si>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</si>
  <si>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</si>
  <si>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</si>
  <si>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</si>
  <si>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</si>
  <si>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</si>
  <si>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</si>
  <si>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</si>
  <si>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</si>
  <si>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</si>
  <si>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</si>
  <si>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Operating hours</t>
  </si>
  <si>
    <t>Building occupancy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</si>
  <si>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</si>
  <si>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</si>
  <si>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</si>
  <si>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</si>
  <si>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</si>
  <si>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</si>
  <si>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</si>
  <si>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</si>
  <si>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</si>
  <si>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</si>
  <si>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</si>
  <si>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</si>
  <si>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</si>
  <si>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</si>
  <si>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</si>
  <si>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</si>
  <si>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</si>
  <si>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</si>
  <si>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</si>
  <si>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</si>
  <si>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</si>
  <si>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</si>
  <si>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</si>
  <si>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</si>
  <si>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</si>
  <si>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</si>
  <si>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</si>
  <si>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</si>
  <si>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</si>
  <si>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</si>
  <si>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</si>
  <si>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</si>
  <si>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</si>
  <si>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</si>
  <si>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</si>
  <si>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</si>
  <si>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</si>
  <si>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</si>
  <si>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</si>
  <si>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</si>
  <si>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</si>
  <si>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</si>
  <si>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</si>
  <si>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</si>
  <si>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</si>
  <si>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</si>
  <si>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</si>
  <si>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</si>
  <si>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</si>
  <si>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</si>
  <si>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</si>
  <si>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</si>
  <si>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</si>
  <si>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</si>
  <si>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</si>
  <si>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</si>
  <si>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</si>
  <si>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</si>
  <si>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</si>
  <si>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</si>
  <si>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</si>
  <si>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</si>
  <si>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</si>
  <si>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</si>
  <si>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</si>
  <si>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</si>
  <si>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</si>
  <si>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</si>
  <si>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</si>
  <si>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</si>
  <si>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</si>
  <si>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</si>
  <si>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</si>
  <si>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</si>
  <si>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</si>
  <si>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</si>
  <si>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</si>
  <si>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</si>
  <si>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</si>
  <si>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</si>
  <si>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</si>
  <si>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</si>
  <si>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</si>
  <si>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</si>
  <si>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</si>
  <si>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ppm</t>
  </si>
  <si>
    <t>Location</t>
  </si>
  <si>
    <t>Date</t>
  </si>
  <si>
    <t>Time</t>
  </si>
  <si>
    <t># of unique dates</t>
  </si>
  <si>
    <t>Summary</t>
  </si>
  <si>
    <t>Average for each date</t>
  </si>
  <si>
    <t>Period Start Date</t>
  </si>
  <si>
    <t>Period End Date</t>
  </si>
  <si>
    <t>CO2 Reading</t>
  </si>
  <si>
    <t># unique locations</t>
  </si>
  <si>
    <t>B</t>
  </si>
  <si>
    <t>95th Percentile</t>
  </si>
  <si>
    <t>CO2 Reading
(ppm)</t>
  </si>
  <si>
    <t>VOC Reading</t>
  </si>
  <si>
    <t>User-entered table formatting</t>
  </si>
  <si>
    <t>Start Time</t>
  </si>
  <si>
    <t>End Time</t>
  </si>
  <si>
    <t>Average for each location</t>
  </si>
  <si>
    <t>Maximum level for each date</t>
  </si>
  <si>
    <t>TVOC Reading
(µg/m3 )</t>
  </si>
  <si>
    <t>$</t>
  </si>
  <si>
    <t>ug/m3</t>
  </si>
  <si>
    <t>Default CO2 Meter</t>
  </si>
  <si>
    <t>Complete the table for all general usage types.  Spaces with similar characteristics may be grouped.</t>
  </si>
  <si>
    <t>Visitors</t>
  </si>
  <si>
    <t>Space Name or Description</t>
  </si>
  <si>
    <t>Space Usage Type</t>
  </si>
  <si>
    <t>Operating Hours per Week</t>
  </si>
  <si>
    <t>Regular Building Occupants</t>
  </si>
  <si>
    <t>Visitors per Day</t>
  </si>
  <si>
    <t>Duration of Visit (in hours/day)</t>
  </si>
  <si>
    <t>Daily Average Visitors</t>
  </si>
  <si>
    <t>Weighted Average Hours of Operation</t>
  </si>
  <si>
    <t>Operating Hours per day</t>
  </si>
  <si>
    <t>Totals</t>
  </si>
  <si>
    <t>Part-Time Employees</t>
  </si>
  <si>
    <t>Weighted Operating Hours</t>
  </si>
  <si>
    <t>Number of Part Time Employees</t>
  </si>
  <si>
    <t>Hours Worked Per Employee</t>
  </si>
  <si>
    <t>Weighted Total Building Occupants</t>
  </si>
  <si>
    <t>Occupancy &amp; Operating Hours</t>
  </si>
  <si>
    <t>Step 2.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</si>
  <si>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</si>
  <si>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</si>
  <si>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Step 5.</t>
  </si>
  <si>
    <t>Complete Year built below and the Occupancy tab</t>
  </si>
  <si>
    <t>Default TVOC Meter</t>
  </si>
  <si>
    <t>TVOCs</t>
  </si>
  <si>
    <t>Copyright © 2016</t>
  </si>
  <si>
    <t>CO2 Readings</t>
  </si>
  <si>
    <t>TVOC Readings</t>
  </si>
  <si>
    <t>Complete values on readings tab.</t>
  </si>
  <si>
    <t>Complete readings on readings tab.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</si>
  <si>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</si>
  <si>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</si>
  <si>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</si>
  <si>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</si>
  <si>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</si>
  <si>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</si>
  <si>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</si>
  <si>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</si>
  <si>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</si>
  <si>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</si>
  <si>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</si>
  <si>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</si>
  <si>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</si>
  <si>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</si>
  <si>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</si>
  <si>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</si>
  <si>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</si>
  <si>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</si>
  <si>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</si>
  <si>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</si>
  <si>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</si>
  <si>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</si>
  <si>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</si>
  <si>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</si>
  <si>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</si>
  <si>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</si>
  <si>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</si>
  <si>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</si>
  <si>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</si>
  <si>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</si>
  <si>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</si>
  <si>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</si>
  <si>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</si>
  <si>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</si>
  <si>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</si>
  <si>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</si>
  <si>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</si>
  <si>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</si>
  <si>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</si>
  <si>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</si>
  <si>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</si>
  <si>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</si>
  <si>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</si>
  <si>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</si>
  <si>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</si>
  <si>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</si>
  <si>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</si>
  <si>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</si>
  <si>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</si>
  <si>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</si>
  <si>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</si>
  <si>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</si>
  <si>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</si>
  <si>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</si>
  <si>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</si>
  <si>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</si>
  <si>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</si>
  <si>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</si>
  <si>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</si>
  <si>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</si>
  <si>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</si>
  <si>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</si>
  <si>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</si>
  <si>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</si>
  <si>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t>Meter Source</t>
  </si>
  <si>
    <t>Data Source</t>
  </si>
  <si>
    <t>Generated onsite - solar</t>
  </si>
  <si>
    <t>Gj</t>
  </si>
  <si>
    <t>Tonnes(metric)</t>
  </si>
  <si>
    <t>Tonnes (metric)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</si>
  <si>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</si>
  <si>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IP units</t>
  </si>
  <si>
    <t>Audit Number</t>
  </si>
  <si>
    <t>Carbon Monoxide</t>
  </si>
  <si>
    <t>mg/m3</t>
  </si>
  <si>
    <t>Ozone</t>
  </si>
  <si>
    <t>µg/m3</t>
  </si>
  <si>
    <t>Atmospheric Particulate Matter (PM2.5)</t>
  </si>
  <si>
    <t>Acetaldehyde</t>
  </si>
  <si>
    <t>Benzene</t>
  </si>
  <si>
    <t>Styrene</t>
  </si>
  <si>
    <t xml:space="preserve"> µg/m3</t>
  </si>
  <si>
    <t>Toluene</t>
  </si>
  <si>
    <t xml:space="preserve">Naphthalene </t>
  </si>
  <si>
    <t>Dichlorobenzene</t>
  </si>
  <si>
    <t>Xylenes-total</t>
  </si>
  <si>
    <t>Formaldehyde</t>
  </si>
  <si>
    <t xml:space="preserve">µg/m3 </t>
  </si>
  <si>
    <t>ppb</t>
  </si>
  <si>
    <t>v4.1</t>
  </si>
  <si>
    <t>Room1</t>
  </si>
  <si>
    <t>Room2</t>
  </si>
  <si>
    <t>Room3</t>
  </si>
  <si>
    <t>Room4</t>
  </si>
  <si>
    <t>Room5</t>
  </si>
  <si>
    <t>Goa</t>
  </si>
  <si>
    <t>Hyd</t>
  </si>
  <si>
    <t>Energy Meter via upload</t>
  </si>
  <si>
    <t>Water meter via upload</t>
  </si>
  <si>
    <t>Delhi</t>
  </si>
  <si>
    <t>Banglore</t>
  </si>
  <si>
    <t>Chennai</t>
  </si>
  <si>
    <t>Madhya Pradesh</t>
  </si>
  <si>
    <t>Gujrat</t>
  </si>
  <si>
    <t>Ludhiyana</t>
  </si>
  <si>
    <t>Uttar Pradesh</t>
  </si>
  <si>
    <t>Sikkim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</si>
</sst>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3" formatCode="_(* #,##0.00_);_(* \(#,##0.00\);_(* &quot;-&quot;??_);_(@_)"/>
    <numFmt numFmtId="164" formatCode="#,##0.00_ ;\-#,##0.00\ "/>
    <numFmt numFmtId="165" formatCode="mm/dd/yyyy"/>
    <numFmt numFmtId="166" formatCode="[$-F400]h:mm:ss\ AM/PM"/>
    <numFmt numFmtId="167" formatCode="0.0"/>
    <numFmt numFmtId="168" formatCode="0.00_ ;\-0.00\ "/>
    <numFmt numFmtId="169" formatCode="0.00;[Red]0.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9"/>
      <color rgb="FF00000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theme="0"/>
      <name val="Arial"/>
      <family val="2"/>
    </font>
    <font>
      <sz val="9"/>
      <color theme="0"/>
      <name val="Arial"/>
      <family val="2"/>
    </font>
    <font>
      <sz val="8"/>
      <color theme="0" tint="-0.499984740745262"/>
      <name val="Arial"/>
      <family val="2"/>
    </font>
    <font>
      <sz val="16"/>
      <color theme="0"/>
      <name val="Arial Black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333333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2499465926084170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9847407452621"/>
      </left>
      <right style="thin">
        <color theme="0" tint="-0.499984740745262"/>
      </right>
      <top/>
      <bottom style="thin">
        <color theme="0" tint="-0.149998474074526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1" tint="0.499984740745262"/>
      </top>
      <bottom style="thin">
        <color theme="0" tint="-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1" tint="0.499984740745262"/>
      </right>
      <top style="thin">
        <color theme="0" tint="-0.34998626667073579"/>
      </top>
      <bottom/>
      <diagonal/>
    </border>
    <border>
      <left style="thin">
        <color theme="1" tint="0.499984740745262"/>
      </left>
      <right style="thin">
        <color theme="0" tint="-0.24994659260841701"/>
      </right>
      <top style="thin">
        <color theme="0" tint="-0.24994659260841701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0" tint="-0.24994659260841701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8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0" fontId="8" fillId="2" borderId="11" xfId="0" applyFont="1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0" fillId="2" borderId="0" xfId="0" applyFont="1" applyFill="1"/>
    <xf numFmtId="0" fontId="0" fillId="5" borderId="0" xfId="0" applyFont="1" applyFill="1"/>
    <xf numFmtId="2" fontId="0" fillId="2" borderId="0" xfId="0" applyNumberFormat="1" applyFont="1" applyFill="1"/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18" fillId="5" borderId="0" xfId="0" applyFont="1" applyFill="1"/>
    <xf numFmtId="0" fontId="17" fillId="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14" fontId="3" fillId="6" borderId="24" xfId="0" applyNumberFormat="1" applyFont="1" applyFill="1" applyBorder="1" applyAlignment="1">
      <alignment horizontal="center" vertical="center"/>
    </xf>
    <xf numFmtId="166" fontId="3" fillId="6" borderId="24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horizontal="left" vertical="center"/>
    </xf>
    <xf numFmtId="0" fontId="3" fillId="6" borderId="19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 indent="1"/>
    </xf>
    <xf numFmtId="0" fontId="3" fillId="0" borderId="27" xfId="0" applyFont="1" applyBorder="1" applyAlignment="1">
      <alignment horizontal="left" vertical="center"/>
    </xf>
    <xf numFmtId="0" fontId="3" fillId="6" borderId="2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0" fontId="4" fillId="0" borderId="12" xfId="0" applyFont="1" applyBorder="1" applyAlignment="1">
      <alignment horizontal="center" vertical="center"/>
    </xf>
    <xf numFmtId="0" fontId="3" fillId="7" borderId="13" xfId="0" applyFont="1" applyFill="1" applyBorder="1" applyAlignment="1">
      <alignment horizontal="left" vertical="center" indent="1"/>
    </xf>
    <xf numFmtId="0" fontId="3" fillId="7" borderId="31" xfId="0" applyFont="1" applyFill="1" applyBorder="1" applyAlignment="1">
      <alignment horizontal="left" vertical="center"/>
    </xf>
    <xf numFmtId="0" fontId="3" fillId="7" borderId="32" xfId="0" applyFont="1" applyFill="1" applyBorder="1" applyAlignment="1">
      <alignment horizontal="left" vertical="center" indent="1"/>
    </xf>
    <xf numFmtId="0" fontId="3" fillId="0" borderId="33" xfId="0" applyFont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center"/>
    </xf>
    <xf numFmtId="0" fontId="3" fillId="6" borderId="34" xfId="0" applyFont="1" applyFill="1" applyBorder="1" applyAlignment="1">
      <alignment vertical="center"/>
    </xf>
    <xf numFmtId="0" fontId="3" fillId="6" borderId="22" xfId="0" applyFont="1" applyFill="1" applyBorder="1" applyAlignment="1">
      <alignment vertical="center"/>
    </xf>
    <xf numFmtId="0" fontId="3" fillId="6" borderId="0" xfId="0" applyFont="1" applyFill="1" applyBorder="1" applyAlignment="1">
      <alignment vertical="center"/>
    </xf>
    <xf numFmtId="0" fontId="3" fillId="6" borderId="18" xfId="0" applyFont="1" applyFill="1" applyBorder="1" applyAlignment="1">
      <alignment vertical="center"/>
    </xf>
    <xf numFmtId="0" fontId="3" fillId="6" borderId="35" xfId="0" applyFont="1" applyFill="1" applyBorder="1" applyAlignment="1">
      <alignment vertical="center"/>
    </xf>
    <xf numFmtId="0" fontId="3" fillId="6" borderId="29" xfId="0" applyFont="1" applyFill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0" borderId="0" xfId="0" applyFont="1" applyAlignment="1">
      <alignment horizontal="center"/>
    </xf>
    <xf numFmtId="168" fontId="8" fillId="3" borderId="1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Alignment="1" applyProtection="1">
      <alignment horizontal="left" vertical="center"/>
    </xf>
    <xf numFmtId="0" fontId="19" fillId="0" borderId="0" xfId="0" applyFont="1" applyAlignment="1" applyProtection="1">
      <alignment horizontal="left" vertical="center"/>
    </xf>
    <xf numFmtId="0" fontId="3" fillId="0" borderId="0" xfId="0" applyFont="1" applyAlignment="1" applyProtection="1">
      <alignment horizontal="left" vertical="center"/>
    </xf>
    <xf numFmtId="0" fontId="3" fillId="6" borderId="14" xfId="0" applyFont="1" applyFill="1" applyBorder="1" applyAlignment="1" applyProtection="1">
      <alignment horizontal="center" vertical="center"/>
    </xf>
    <xf numFmtId="0" fontId="3" fillId="6" borderId="24" xfId="0" applyFont="1" applyFill="1" applyBorder="1" applyAlignment="1" applyProtection="1">
      <alignment horizontal="center" vertical="center"/>
    </xf>
    <xf numFmtId="14" fontId="3" fillId="6" borderId="24" xfId="0" applyNumberFormat="1" applyFont="1" applyFill="1" applyBorder="1" applyAlignment="1" applyProtection="1">
      <alignment horizontal="center" vertical="center"/>
    </xf>
    <xf numFmtId="166" fontId="3" fillId="6" borderId="24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horizontal="left" vertical="center"/>
    </xf>
    <xf numFmtId="0" fontId="21" fillId="0" borderId="0" xfId="0" applyFont="1" applyAlignment="1" applyProtection="1">
      <alignment horizontal="center"/>
    </xf>
    <xf numFmtId="0" fontId="24" fillId="0" borderId="0" xfId="0" applyFont="1" applyAlignment="1" applyProtection="1">
      <alignment horizontal="center"/>
    </xf>
    <xf numFmtId="0" fontId="3" fillId="6" borderId="34" xfId="0" applyFont="1" applyFill="1" applyBorder="1" applyAlignment="1" applyProtection="1">
      <alignment vertical="center"/>
    </xf>
    <xf numFmtId="0" fontId="3" fillId="6" borderId="22" xfId="0" applyFont="1" applyFill="1" applyBorder="1" applyAlignment="1" applyProtection="1">
      <alignment vertical="center"/>
    </xf>
    <xf numFmtId="0" fontId="3" fillId="6" borderId="19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vertical="center"/>
    </xf>
    <xf numFmtId="0" fontId="3" fillId="6" borderId="18" xfId="0" applyFont="1" applyFill="1" applyBorder="1" applyAlignment="1" applyProtection="1">
      <alignment vertical="center"/>
    </xf>
    <xf numFmtId="0" fontId="3" fillId="6" borderId="35" xfId="0" applyFont="1" applyFill="1" applyBorder="1" applyAlignment="1" applyProtection="1">
      <alignment vertical="center"/>
    </xf>
    <xf numFmtId="0" fontId="3" fillId="6" borderId="29" xfId="0" applyFont="1" applyFill="1" applyBorder="1" applyAlignment="1" applyProtection="1">
      <alignment vertical="center"/>
    </xf>
    <xf numFmtId="0" fontId="3" fillId="6" borderId="30" xfId="0" applyFont="1" applyFill="1" applyBorder="1" applyAlignment="1" applyProtection="1">
      <alignment horizontal="center" vertical="center"/>
    </xf>
    <xf numFmtId="0" fontId="4" fillId="0" borderId="26" xfId="0" applyFont="1" applyBorder="1" applyAlignment="1" applyProtection="1">
      <alignment horizontal="left" vertical="center" indent="1"/>
    </xf>
    <xf numFmtId="0" fontId="3" fillId="0" borderId="27" xfId="0" applyFont="1" applyBorder="1" applyAlignment="1" applyProtection="1">
      <alignment horizontal="left" vertical="center"/>
    </xf>
    <xf numFmtId="0" fontId="3" fillId="0" borderId="33" xfId="0" applyFont="1" applyBorder="1" applyAlignment="1" applyProtection="1">
      <alignment horizontal="left" vertical="center"/>
    </xf>
    <xf numFmtId="14" fontId="4" fillId="0" borderId="0" xfId="0" applyNumberFormat="1" applyFont="1" applyAlignment="1" applyProtection="1">
      <alignment horizontal="center" vertical="center"/>
    </xf>
    <xf numFmtId="0" fontId="3" fillId="7" borderId="13" xfId="0" applyFont="1" applyFill="1" applyBorder="1" applyAlignment="1" applyProtection="1">
      <alignment horizontal="left" vertical="center" indent="1"/>
    </xf>
    <xf numFmtId="0" fontId="3" fillId="7" borderId="31" xfId="0" applyFont="1" applyFill="1" applyBorder="1" applyAlignment="1" applyProtection="1">
      <alignment horizontal="left" vertical="center"/>
    </xf>
    <xf numFmtId="0" fontId="3" fillId="7" borderId="32" xfId="0" applyFont="1" applyFill="1" applyBorder="1" applyAlignment="1" applyProtection="1">
      <alignment horizontal="left" vertical="center" indent="1"/>
    </xf>
    <xf numFmtId="0" fontId="3" fillId="6" borderId="25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center" vertical="center"/>
    </xf>
    <xf numFmtId="0" fontId="17" fillId="2" borderId="0" xfId="0" applyFont="1" applyFill="1" applyAlignment="1" applyProtection="1">
      <alignment horizontal="center" vertical="center"/>
    </xf>
    <xf numFmtId="14" fontId="4" fillId="0" borderId="1" xfId="0" applyNumberFormat="1" applyFont="1" applyBorder="1" applyAlignment="1" applyProtection="1">
      <alignment horizontal="left" vertical="center"/>
    </xf>
    <xf numFmtId="167" fontId="4" fillId="0" borderId="1" xfId="0" applyNumberFormat="1" applyFont="1" applyBorder="1" applyAlignment="1" applyProtection="1">
      <alignment horizontal="right" vertical="center"/>
    </xf>
    <xf numFmtId="0" fontId="23" fillId="2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 wrapText="1"/>
    </xf>
    <xf numFmtId="0" fontId="4" fillId="0" borderId="12" xfId="0" applyFont="1" applyBorder="1" applyAlignment="1" applyProtection="1">
      <alignment horizontal="center" vertical="center"/>
    </xf>
    <xf numFmtId="0" fontId="0" fillId="2" borderId="0" xfId="0" applyFont="1" applyFill="1" applyProtection="1"/>
    <xf numFmtId="166" fontId="3" fillId="6" borderId="36" xfId="0" applyNumberFormat="1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3" borderId="16" xfId="0" applyFont="1" applyFill="1" applyBorder="1" applyAlignment="1" applyProtection="1">
      <alignment horizontal="left" vertical="center"/>
      <protection locked="0"/>
    </xf>
    <xf numFmtId="0" fontId="8" fillId="3" borderId="38" xfId="0" applyFont="1" applyFill="1" applyBorder="1" applyAlignment="1" applyProtection="1">
      <alignment horizontal="left" vertical="center"/>
      <protection locked="0"/>
    </xf>
    <xf numFmtId="0" fontId="3" fillId="2" borderId="31" xfId="5" applyNumberFormat="1" applyFont="1" applyFill="1" applyBorder="1" applyAlignment="1" applyProtection="1">
      <alignment horizontal="left" vertical="top" wrapText="1"/>
    </xf>
    <xf numFmtId="0" fontId="3" fillId="2" borderId="39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40" xfId="5" applyNumberFormat="1" applyFont="1" applyFill="1" applyBorder="1" applyAlignment="1" applyProtection="1">
      <alignment vertical="center"/>
    </xf>
    <xf numFmtId="0" fontId="0" fillId="2" borderId="20" xfId="0" applyFill="1" applyBorder="1" applyProtection="1"/>
    <xf numFmtId="0" fontId="10" fillId="2" borderId="34" xfId="0" applyFont="1" applyFill="1" applyBorder="1" applyProtection="1"/>
    <xf numFmtId="0" fontId="0" fillId="2" borderId="34" xfId="0" applyFill="1" applyBorder="1" applyProtection="1"/>
    <xf numFmtId="0" fontId="0" fillId="2" borderId="41" xfId="0" applyFill="1" applyBorder="1" applyProtection="1"/>
    <xf numFmtId="0" fontId="0" fillId="2" borderId="22" xfId="0" applyFill="1" applyBorder="1" applyProtection="1"/>
    <xf numFmtId="0" fontId="0" fillId="2" borderId="21" xfId="0" applyFill="1" applyBorder="1" applyProtection="1"/>
    <xf numFmtId="0" fontId="0" fillId="2" borderId="18" xfId="0" applyFill="1" applyBorder="1" applyProtection="1"/>
    <xf numFmtId="0" fontId="25" fillId="3" borderId="0" xfId="0" applyFont="1" applyFill="1" applyAlignment="1">
      <alignment horizontal="right"/>
    </xf>
    <xf numFmtId="165" fontId="8" fillId="3" borderId="10" xfId="0" applyNumberFormat="1" applyFont="1" applyFill="1" applyBorder="1" applyAlignment="1" applyProtection="1">
      <alignment horizontal="left" vertical="center"/>
      <protection locked="0"/>
    </xf>
    <xf numFmtId="169" fontId="8" fillId="3" borderId="17" xfId="0" applyNumberFormat="1" applyFont="1" applyFill="1" applyBorder="1" applyAlignment="1" applyProtection="1">
      <alignment horizontal="right" vertical="center"/>
      <protection locked="0"/>
    </xf>
    <xf numFmtId="169" fontId="4" fillId="0" borderId="23" xfId="0" applyNumberFormat="1" applyFont="1" applyBorder="1" applyAlignment="1" applyProtection="1">
      <alignment horizontal="right" vertical="center"/>
    </xf>
    <xf numFmtId="169" fontId="3" fillId="0" borderId="0" xfId="0" applyNumberFormat="1" applyFont="1" applyAlignment="1" applyProtection="1">
      <alignment horizontal="left" vertical="center"/>
    </xf>
    <xf numFmtId="169" fontId="4" fillId="0" borderId="12" xfId="0" applyNumberFormat="1" applyFont="1" applyBorder="1" applyAlignment="1" applyProtection="1">
      <alignment horizontal="right" vertical="center"/>
    </xf>
    <xf numFmtId="169" fontId="4" fillId="0" borderId="23" xfId="0" applyNumberFormat="1" applyFont="1" applyBorder="1" applyAlignment="1">
      <alignment horizontal="right" vertical="center"/>
    </xf>
    <xf numFmtId="169" fontId="3" fillId="0" borderId="0" xfId="0" applyNumberFormat="1" applyFont="1" applyAlignment="1">
      <alignment horizontal="left" vertical="center"/>
    </xf>
    <xf numFmtId="169" fontId="4" fillId="0" borderId="0" xfId="0" applyNumberFormat="1" applyFont="1" applyAlignment="1">
      <alignment horizontal="center" vertical="center"/>
    </xf>
    <xf numFmtId="169" fontId="4" fillId="0" borderId="12" xfId="0" applyNumberFormat="1" applyFont="1" applyBorder="1" applyAlignment="1">
      <alignment horizontal="right" vertical="center"/>
    </xf>
    <xf numFmtId="20" fontId="8" fillId="3" borderId="10" xfId="0" applyNumberFormat="1" applyFont="1" applyFill="1" applyBorder="1" applyAlignment="1" applyProtection="1">
      <alignment horizontal="left" vertical="center"/>
      <protection locked="0"/>
    </xf>
    <xf numFmtId="20" fontId="8" fillId="3" borderId="37" xfId="0" applyNumberFormat="1" applyFont="1" applyFill="1" applyBorder="1" applyAlignment="1" applyProtection="1">
      <alignment horizontal="left" vertical="center"/>
      <protection locked="0"/>
    </xf>
    <xf numFmtId="0" fontId="2" fillId="2" borderId="0" xfId="0" applyFont="1" applyFill="1" applyBorder="1" applyAlignment="1" applyProtection="1">
      <alignment horizontal="left" vertical="center" indent="1"/>
    </xf>
    <xf numFmtId="0" fontId="2" fillId="8" borderId="0" xfId="1" applyFont="1" applyFill="1" applyProtection="1"/>
    <xf numFmtId="0" fontId="2" fillId="8" borderId="0" xfId="1" applyNumberFormat="1" applyFont="1" applyFill="1" applyProtection="1"/>
    <xf numFmtId="0" fontId="2" fillId="0" borderId="0" xfId="1" applyFont="1" applyFill="1" applyProtection="1"/>
    <xf numFmtId="0" fontId="2" fillId="0" borderId="0" xfId="1" applyFont="1" applyProtection="1"/>
    <xf numFmtId="0" fontId="26" fillId="8" borderId="0" xfId="1" applyFont="1" applyFill="1" applyBorder="1" applyAlignment="1" applyProtection="1">
      <alignment vertical="center"/>
    </xf>
    <xf numFmtId="0" fontId="17" fillId="8" borderId="0" xfId="1" applyNumberFormat="1" applyFont="1" applyFill="1" applyAlignment="1" applyProtection="1">
      <alignment vertical="center" wrapText="1"/>
    </xf>
    <xf numFmtId="0" fontId="2" fillId="0" borderId="0" xfId="0" applyFont="1" applyFill="1" applyBorder="1" applyProtection="1"/>
    <xf numFmtId="0" fontId="2" fillId="0" borderId="0" xfId="0" applyFont="1" applyFill="1" applyProtection="1"/>
    <xf numFmtId="0" fontId="2" fillId="6" borderId="0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left" vertical="center" wrapText="1"/>
    </xf>
    <xf numFmtId="0" fontId="2" fillId="6" borderId="45" xfId="0" applyFont="1" applyFill="1" applyBorder="1" applyAlignment="1" applyProtection="1">
      <alignment horizontal="center" vertical="center" wrapText="1"/>
    </xf>
    <xf numFmtId="0" fontId="2" fillId="4" borderId="45" xfId="0" applyFont="1" applyFill="1" applyBorder="1" applyAlignment="1" applyProtection="1">
      <alignment horizontal="centerContinuous" vertical="center" wrapText="1"/>
    </xf>
    <xf numFmtId="0" fontId="2" fillId="4" borderId="0" xfId="0" applyFont="1" applyFill="1" applyBorder="1" applyAlignment="1" applyProtection="1">
      <alignment horizontal="centerContinuous" vertical="center" wrapText="1"/>
    </xf>
    <xf numFmtId="0" fontId="2" fillId="6" borderId="46" xfId="0" applyFont="1" applyFill="1" applyBorder="1" applyAlignment="1" applyProtection="1">
      <alignment horizontal="left" vertical="center" wrapText="1"/>
    </xf>
    <xf numFmtId="0" fontId="2" fillId="6" borderId="0" xfId="0" applyFont="1" applyFill="1" applyProtection="1"/>
    <xf numFmtId="0" fontId="2" fillId="6" borderId="47" xfId="1" applyFont="1" applyFill="1" applyBorder="1" applyAlignment="1" applyProtection="1">
      <alignment horizontal="center" vertical="top"/>
    </xf>
    <xf numFmtId="0" fontId="3" fillId="6" borderId="47" xfId="2" applyNumberFormat="1" applyFont="1" applyFill="1" applyBorder="1" applyAlignment="1" applyProtection="1">
      <alignment horizontal="center" vertical="top" wrapText="1"/>
    </xf>
    <xf numFmtId="0" fontId="3" fillId="6" borderId="48" xfId="2" applyNumberFormat="1" applyFont="1" applyFill="1" applyBorder="1" applyAlignment="1" applyProtection="1">
      <alignment horizontal="center" vertical="top" wrapText="1"/>
    </xf>
    <xf numFmtId="0" fontId="3" fillId="6" borderId="49" xfId="2" applyNumberFormat="1" applyFont="1" applyFill="1" applyBorder="1" applyAlignment="1" applyProtection="1">
      <alignment horizontal="center" vertical="top" wrapText="1"/>
    </xf>
    <xf numFmtId="0" fontId="3" fillId="6" borderId="50" xfId="2" applyNumberFormat="1" applyFont="1" applyFill="1" applyBorder="1" applyAlignment="1" applyProtection="1">
      <alignment horizontal="center" vertical="top" wrapText="1"/>
    </xf>
    <xf numFmtId="0" fontId="3" fillId="6" borderId="32" xfId="2" applyNumberFormat="1" applyFont="1" applyFill="1" applyBorder="1" applyAlignment="1" applyProtection="1">
      <alignment horizontal="center" vertical="center" wrapText="1"/>
    </xf>
    <xf numFmtId="0" fontId="17" fillId="0" borderId="0" xfId="0" applyFont="1" applyFill="1" applyProtection="1">
      <protection hidden="1"/>
    </xf>
    <xf numFmtId="0" fontId="8" fillId="3" borderId="51" xfId="0" applyFont="1" applyFill="1" applyBorder="1" applyAlignment="1" applyProtection="1">
      <alignment horizontal="left" vertical="center"/>
      <protection locked="0"/>
    </xf>
    <xf numFmtId="3" fontId="4" fillId="3" borderId="52" xfId="8" applyNumberFormat="1" applyFont="1" applyFill="1" applyBorder="1" applyAlignment="1" applyProtection="1">
      <alignment horizontal="right" vertical="center" indent="1"/>
      <protection locked="0"/>
    </xf>
    <xf numFmtId="4" fontId="4" fillId="3" borderId="52" xfId="8" applyNumberFormat="1" applyFont="1" applyFill="1" applyBorder="1" applyAlignment="1" applyProtection="1">
      <alignment horizontal="right" vertical="center" indent="1"/>
      <protection locked="0"/>
    </xf>
    <xf numFmtId="3" fontId="4" fillId="2" borderId="53" xfId="8" applyNumberFormat="1" applyFont="1" applyFill="1" applyBorder="1" applyAlignment="1" applyProtection="1">
      <alignment horizontal="right" vertical="center" indent="1"/>
    </xf>
    <xf numFmtId="0" fontId="4" fillId="3" borderId="10" xfId="8" applyNumberFormat="1" applyFont="1" applyFill="1" applyBorder="1" applyAlignment="1" applyProtection="1">
      <alignment horizontal="left" vertical="center"/>
      <protection locked="0"/>
    </xf>
    <xf numFmtId="4" fontId="4" fillId="3" borderId="10" xfId="8" applyNumberFormat="1" applyFont="1" applyFill="1" applyBorder="1" applyAlignment="1" applyProtection="1">
      <alignment horizontal="right" vertical="center" indent="1"/>
      <protection locked="0"/>
    </xf>
    <xf numFmtId="3" fontId="4" fillId="0" borderId="54" xfId="8" applyNumberFormat="1" applyFont="1" applyFill="1" applyBorder="1" applyAlignment="1" applyProtection="1">
      <alignment horizontal="right" vertical="center" indent="1"/>
    </xf>
    <xf numFmtId="3" fontId="4" fillId="0" borderId="38" xfId="8" applyNumberFormat="1" applyFont="1" applyFill="1" applyBorder="1" applyAlignment="1" applyProtection="1">
      <alignment horizontal="right" vertical="center" indent="1"/>
    </xf>
    <xf numFmtId="0" fontId="2" fillId="0" borderId="0" xfId="0" applyNumberFormat="1" applyFont="1" applyFill="1" applyProtection="1"/>
    <xf numFmtId="0" fontId="2" fillId="0" borderId="0" xfId="1" applyFont="1" applyFill="1" applyBorder="1" applyAlignment="1" applyProtection="1">
      <alignment vertical="center"/>
    </xf>
    <xf numFmtId="0" fontId="2" fillId="0" borderId="0" xfId="0" applyNumberFormat="1" applyFont="1" applyFill="1" applyBorder="1" applyProtection="1"/>
    <xf numFmtId="0" fontId="2" fillId="6" borderId="64" xfId="1" applyFont="1" applyFill="1" applyBorder="1" applyAlignment="1" applyProtection="1">
      <alignment horizontal="center" vertical="center" wrapText="1"/>
    </xf>
    <xf numFmtId="3" fontId="4" fillId="0" borderId="66" xfId="8" applyNumberFormat="1" applyFont="1" applyFill="1" applyBorder="1" applyAlignment="1" applyProtection="1">
      <alignment horizontal="right" vertical="center" indent="1"/>
    </xf>
    <xf numFmtId="3" fontId="4" fillId="3" borderId="67" xfId="8" applyNumberFormat="1" applyFont="1" applyFill="1" applyBorder="1" applyAlignment="1" applyProtection="1">
      <alignment horizontal="center" vertical="center"/>
      <protection locked="0"/>
    </xf>
    <xf numFmtId="3" fontId="4" fillId="3" borderId="68" xfId="8" applyNumberFormat="1" applyFont="1" applyFill="1" applyBorder="1" applyAlignment="1" applyProtection="1">
      <alignment horizontal="center" vertical="center"/>
      <protection locked="0"/>
    </xf>
    <xf numFmtId="0" fontId="2" fillId="0" borderId="69" xfId="0" applyNumberFormat="1" applyFont="1" applyFill="1" applyBorder="1" applyProtection="1"/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35" xfId="0" applyFill="1" applyBorder="1" applyProtection="1">
      <protection locked="0"/>
    </xf>
    <xf numFmtId="0" fontId="0" fillId="0" borderId="42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35" xfId="0" applyFill="1" applyBorder="1" applyProtection="1"/>
    <xf numFmtId="0" fontId="0" fillId="0" borderId="70" xfId="0" applyFill="1" applyBorder="1"/>
    <xf numFmtId="0" fontId="8" fillId="3" borderId="72" xfId="1" applyFont="1" applyFill="1" applyBorder="1" applyAlignment="1" applyProtection="1">
      <alignment horizontal="left" vertical="center"/>
    </xf>
    <xf numFmtId="0" fontId="0" fillId="0" borderId="71" xfId="0" applyFill="1" applyBorder="1" applyProtection="1"/>
    <xf numFmtId="1" fontId="8" fillId="3" borderId="64" xfId="0" applyNumberFormat="1" applyFont="1" applyFill="1" applyBorder="1" applyAlignment="1" applyProtection="1">
      <alignment horizontal="left" vertical="center"/>
      <protection locked="0"/>
    </xf>
    <xf numFmtId="3" fontId="4" fillId="0" borderId="64" xfId="8" applyNumberFormat="1" applyFont="1" applyFill="1" applyBorder="1" applyAlignment="1" applyProtection="1">
      <alignment horizontal="right" vertical="center" indent="1"/>
    </xf>
    <xf numFmtId="4" fontId="4" fillId="0" borderId="64" xfId="8" applyNumberFormat="1" applyFont="1" applyFill="1" applyBorder="1" applyAlignment="1" applyProtection="1">
      <alignment horizontal="right" vertical="center" indent="1"/>
    </xf>
    <xf numFmtId="0" fontId="0" fillId="2" borderId="73" xfId="0" applyFill="1" applyBorder="1" applyProtection="1"/>
    <xf numFmtId="0" fontId="0" fillId="2" borderId="74" xfId="0" applyFill="1" applyBorder="1" applyProtection="1"/>
    <xf numFmtId="0" fontId="0" fillId="2" borderId="69" xfId="0" applyFill="1" applyBorder="1" applyProtection="1"/>
    <xf numFmtId="0" fontId="8" fillId="2" borderId="0" xfId="0" applyFont="1" applyFill="1" applyBorder="1"/>
    <xf numFmtId="0" fontId="29" fillId="2" borderId="0" xfId="0" applyFont="1" applyFill="1" applyBorder="1" applyAlignment="1" applyProtection="1">
      <alignment horizontal="left" vertical="center" indent="1"/>
    </xf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3" fillId="6" borderId="75" xfId="2" applyNumberFormat="1" applyFont="1" applyFill="1" applyBorder="1" applyAlignment="1" applyProtection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 wrapText="1"/>
    </xf>
    <xf numFmtId="0" fontId="17" fillId="8" borderId="0" xfId="1" applyFont="1" applyFill="1" applyProtection="1"/>
    <xf numFmtId="0" fontId="17" fillId="8" borderId="0" xfId="1" applyFont="1" applyFill="1" applyBorder="1" applyProtection="1"/>
    <xf numFmtId="0" fontId="17" fillId="0" borderId="0" xfId="0" applyFont="1" applyFill="1" applyBorder="1" applyProtection="1"/>
    <xf numFmtId="0" fontId="17" fillId="0" borderId="44" xfId="0" applyFont="1" applyFill="1" applyBorder="1" applyProtection="1"/>
    <xf numFmtId="0" fontId="17" fillId="0" borderId="44" xfId="1" applyFont="1" applyFill="1" applyBorder="1" applyProtection="1"/>
    <xf numFmtId="0" fontId="17" fillId="0" borderId="0" xfId="0" applyFont="1" applyFill="1" applyProtection="1"/>
    <xf numFmtId="0" fontId="17" fillId="0" borderId="55" xfId="0" applyFont="1" applyFill="1" applyBorder="1" applyProtection="1"/>
    <xf numFmtId="2" fontId="2" fillId="0" borderId="0" xfId="0" applyNumberFormat="1" applyFont="1" applyFill="1" applyProtection="1"/>
    <xf numFmtId="165" fontId="4" fillId="0" borderId="23" xfId="0" applyNumberFormat="1" applyFont="1" applyBorder="1" applyAlignment="1" applyProtection="1">
      <alignment horizontal="center" vertical="center"/>
    </xf>
    <xf numFmtId="165" fontId="4" fillId="0" borderId="23" xfId="0" applyNumberFormat="1" applyFont="1" applyBorder="1" applyAlignment="1">
      <alignment horizontal="center" vertical="center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8" fillId="3" borderId="11" xfId="0" applyFont="1" applyFill="1" applyBorder="1" applyAlignment="1" applyProtection="1">
      <alignment horizontal="left"/>
      <protection locked="0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0" fontId="2" fillId="4" borderId="76" xfId="0" applyFont="1" applyFill="1" applyBorder="1" applyAlignment="1" applyProtection="1">
      <alignment horizontal="center" vertical="center" wrapText="1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0" fillId="2" borderId="9" xfId="0" applyFill="1" applyBorder="1" applyProtection="1"/>
    <xf numFmtId="0" fontId="0" fillId="2" borderId="4" xfId="0" applyFill="1" applyBorder="1"/>
    <xf numFmtId="0" fontId="0" fillId="2" borderId="6" xfId="0" applyFill="1" applyBorder="1"/>
    <xf numFmtId="0" fontId="24" fillId="0" borderId="1" xfId="0" applyFont="1" applyFill="1" applyBorder="1" applyAlignment="1" applyProtection="1">
      <alignment horizontal="left"/>
    </xf>
    <xf numFmtId="4" fontId="4" fillId="0" borderId="58" xfId="8" applyNumberFormat="1" applyFont="1" applyFill="1" applyBorder="1" applyAlignment="1" applyProtection="1">
      <alignment horizontal="right" vertical="center" indent="1"/>
    </xf>
    <xf numFmtId="3" fontId="4" fillId="0" borderId="63" xfId="8" applyNumberFormat="1" applyFont="1" applyFill="1" applyBorder="1" applyAlignment="1" applyProtection="1">
      <alignment horizontal="right" vertical="center" indent="1"/>
    </xf>
    <xf numFmtId="4" fontId="4" fillId="0" borderId="54" xfId="8" applyNumberFormat="1" applyFont="1" applyFill="1" applyBorder="1" applyAlignment="1" applyProtection="1">
      <alignment horizontal="right" vertical="center" indent="1"/>
    </xf>
    <xf numFmtId="0" fontId="2" fillId="2" borderId="2" xfId="0" applyFont="1" applyFill="1" applyBorder="1" applyAlignment="1">
      <alignment horizontal="left" vertical="center" indent="1"/>
    </xf>
    <xf numFmtId="0" fontId="8" fillId="3" borderId="1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 vertical="center" indent="1"/>
    </xf>
    <xf numFmtId="0" fontId="2" fillId="2" borderId="7" xfId="0" applyFont="1" applyFill="1" applyBorder="1" applyAlignment="1">
      <alignment horizontal="left" vertical="center" indent="1"/>
    </xf>
    <xf numFmtId="0" fontId="0" fillId="2" borderId="9" xfId="0" applyFill="1" applyBorder="1"/>
    <xf numFmtId="0" fontId="2" fillId="4" borderId="7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2" fontId="3" fillId="2" borderId="0" xfId="0" applyNumberFormat="1" applyFont="1" applyFill="1" applyAlignment="1">
      <alignment horizontal="left" vertical="center"/>
    </xf>
    <xf numFmtId="2" fontId="3" fillId="2" borderId="0" xfId="0" applyNumberFormat="1" applyFont="1" applyFill="1" applyAlignment="1">
      <alignment horizontal="right" vertical="center"/>
    </xf>
    <xf numFmtId="4" fontId="8" fillId="3" borderId="11" xfId="0" applyNumberFormat="1" applyFont="1" applyFill="1" applyBorder="1" applyAlignment="1">
      <alignment horizontal="left" vertical="center"/>
    </xf>
    <xf numFmtId="165" fontId="8" fillId="2" borderId="0" xfId="0" applyNumberFormat="1" applyFont="1" applyFill="1" applyAlignment="1" applyProtection="1">
      <alignment horizontal="left" vertical="center"/>
      <protection locked="0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14" fontId="8" fillId="3" borderId="10" xfId="0" applyNumberFormat="1" applyFont="1" applyFill="1" applyBorder="1" applyAlignment="1" applyProtection="1">
      <alignment horizontal="left" vertical="center"/>
      <protection locked="0"/>
    </xf>
    <xf numFmtId="0" fontId="2" fillId="2" borderId="64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6" borderId="61" xfId="0" applyFont="1" applyFill="1" applyBorder="1" applyAlignment="1" applyProtection="1">
      <alignment horizontal="left" vertical="center" indent="1"/>
    </xf>
    <xf numFmtId="0" fontId="2" fillId="6" borderId="65" xfId="0" applyFont="1" applyFill="1" applyBorder="1" applyAlignment="1" applyProtection="1">
      <alignment horizontal="left" vertical="center" indent="1"/>
    </xf>
    <xf numFmtId="0" fontId="2" fillId="0" borderId="43" xfId="0" applyFont="1" applyFill="1" applyBorder="1" applyAlignment="1" applyProtection="1">
      <alignment horizontal="left" vertical="center" wrapText="1"/>
    </xf>
    <xf numFmtId="0" fontId="2" fillId="6" borderId="40" xfId="0" applyFont="1" applyFill="1" applyBorder="1" applyAlignment="1" applyProtection="1">
      <alignment horizontal="left" vertical="center" indent="1"/>
    </xf>
    <xf numFmtId="0" fontId="2" fillId="6" borderId="39" xfId="0" applyFont="1" applyFill="1" applyBorder="1" applyAlignment="1" applyProtection="1">
      <alignment horizontal="left" vertical="center" indent="1"/>
    </xf>
    <xf numFmtId="0" fontId="2" fillId="6" borderId="56" xfId="0" applyFont="1" applyFill="1" applyBorder="1" applyAlignment="1" applyProtection="1">
      <alignment horizontal="left" vertical="center" indent="1"/>
    </xf>
    <xf numFmtId="0" fontId="2" fillId="6" borderId="57" xfId="0" applyFont="1" applyFill="1" applyBorder="1" applyAlignment="1" applyProtection="1">
      <alignment horizontal="left" vertical="center" indent="1"/>
    </xf>
    <xf numFmtId="0" fontId="2" fillId="6" borderId="59" xfId="1" applyFont="1" applyFill="1" applyBorder="1" applyAlignment="1" applyProtection="1">
      <alignment horizontal="center" vertical="center"/>
    </xf>
    <xf numFmtId="0" fontId="2" fillId="6" borderId="60" xfId="1" applyFont="1" applyFill="1" applyBorder="1" applyAlignment="1" applyProtection="1">
      <alignment horizontal="center" vertical="center"/>
    </xf>
    <xf numFmtId="0" fontId="2" fillId="6" borderId="6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 applyProtection="1">
      <alignment horizontal="left" vertical="center" indent="1"/>
    </xf>
    <xf numFmtId="0" fontId="3" fillId="6" borderId="21" xfId="0" applyFont="1" applyFill="1" applyBorder="1" applyAlignment="1" applyProtection="1">
      <alignment horizontal="left" vertical="center" indent="1"/>
    </xf>
    <xf numFmtId="0" fontId="3" fillId="6" borderId="28" xfId="0" applyFont="1" applyFill="1" applyBorder="1" applyAlignment="1" applyProtection="1">
      <alignment horizontal="left" vertical="center" indent="1"/>
    </xf>
    <xf numFmtId="0" fontId="3" fillId="6" borderId="20" xfId="0" applyFont="1" applyFill="1" applyBorder="1" applyAlignment="1">
      <alignment horizontal="left" vertical="center" indent="1"/>
    </xf>
    <xf numFmtId="0" fontId="3" fillId="6" borderId="21" xfId="0" applyFont="1" applyFill="1" applyBorder="1" applyAlignment="1">
      <alignment horizontal="left" vertical="center" indent="1"/>
    </xf>
    <xf numFmtId="0" fontId="3" fillId="6" borderId="28" xfId="0" applyFont="1" applyFill="1" applyBorder="1" applyAlignment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76200</xdr:rowOff>
        </xdr:from>
        <xdr:to>
          <xdr:col>3</xdr:col>
          <xdr:colOff>561975</xdr:colOff>
          <xdr:row>22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22</xdr:row>
          <xdr:rowOff>76200</xdr:rowOff>
        </xdr:from>
        <xdr:to>
          <xdr:col>3</xdr:col>
          <xdr:colOff>1895475</xdr:colOff>
          <xdr:row>22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19</xdr:row>
          <xdr:rowOff>133350</xdr:rowOff>
        </xdr:from>
        <xdr:to>
          <xdr:col>1</xdr:col>
          <xdr:colOff>1400175</xdr:colOff>
          <xdr:row>19</xdr:row>
          <xdr:rowOff>400050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19</xdr:row>
          <xdr:rowOff>133350</xdr:rowOff>
        </xdr:from>
        <xdr:to>
          <xdr:col>2</xdr:col>
          <xdr:colOff>295275</xdr:colOff>
          <xdr:row>19</xdr:row>
          <xdr:rowOff>400050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9525</xdr:rowOff>
        </xdr:from>
        <xdr:to>
          <xdr:col>2</xdr:col>
          <xdr:colOff>447675</xdr:colOff>
          <xdr:row>33</xdr:row>
          <xdr:rowOff>285750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CO2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33</xdr:row>
          <xdr:rowOff>400050</xdr:rowOff>
        </xdr:from>
        <xdr:to>
          <xdr:col>3</xdr:col>
          <xdr:colOff>981075</xdr:colOff>
          <xdr:row>35</xdr:row>
          <xdr:rowOff>28575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33</xdr:row>
          <xdr:rowOff>28575</xdr:rowOff>
        </xdr:from>
        <xdr:to>
          <xdr:col>2</xdr:col>
          <xdr:colOff>466725</xdr:colOff>
          <xdr:row>33</xdr:row>
          <xdr:rowOff>304800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from TVOC Readings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33</xdr:row>
          <xdr:rowOff>352425</xdr:rowOff>
        </xdr:from>
        <xdr:to>
          <xdr:col>3</xdr:col>
          <xdr:colOff>990600</xdr:colOff>
          <xdr:row>35</xdr:row>
          <xdr:rowOff>19050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Revert to user-entered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28</xdr:row>
          <xdr:rowOff>190500</xdr:rowOff>
        </xdr:from>
        <xdr:to>
          <xdr:col>2</xdr:col>
          <xdr:colOff>885825</xdr:colOff>
          <xdr:row>28</xdr:row>
          <xdr:rowOff>504825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27</xdr:row>
          <xdr:rowOff>114300</xdr:rowOff>
        </xdr:from>
        <xdr:to>
          <xdr:col>2</xdr:col>
          <xdr:colOff>114300</xdr:colOff>
          <xdr:row>27</xdr:row>
          <xdr:rowOff>381000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209550</xdr:colOff>
          <xdr:row>27</xdr:row>
          <xdr:rowOff>133350</xdr:rowOff>
        </xdr:from>
        <xdr:to>
          <xdr:col>3</xdr:col>
          <xdr:colOff>600075</xdr:colOff>
          <xdr:row>27</xdr:row>
          <xdr:rowOff>400050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32</xdr:row>
          <xdr:rowOff>0</xdr:rowOff>
        </xdr:from>
        <xdr:to>
          <xdr:col>2</xdr:col>
          <xdr:colOff>9525</xdr:colOff>
          <xdr:row>33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32</xdr:row>
          <xdr:rowOff>0</xdr:rowOff>
        </xdr:from>
        <xdr:to>
          <xdr:col>3</xdr:col>
          <xdr:colOff>9525</xdr:colOff>
          <xdr:row>33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A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B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C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C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9525</xdr:rowOff>
        </xdr:from>
        <xdr:to>
          <xdr:col>2</xdr:col>
          <xdr:colOff>0</xdr:colOff>
          <xdr:row>33</xdr:row>
          <xdr:rowOff>276225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33</xdr:row>
          <xdr:rowOff>9525</xdr:rowOff>
        </xdr:from>
        <xdr:to>
          <xdr:col>2</xdr:col>
          <xdr:colOff>1304925</xdr:colOff>
          <xdr:row>33</xdr:row>
          <xdr:rowOff>276225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1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0</xdr:rowOff>
        </xdr:from>
        <xdr:to>
          <xdr:col>2</xdr:col>
          <xdr:colOff>0</xdr:colOff>
          <xdr:row>33</xdr:row>
          <xdr:rowOff>190500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0</xdr:rowOff>
        </xdr:from>
        <xdr:to>
          <xdr:col>2</xdr:col>
          <xdr:colOff>1295400</xdr:colOff>
          <xdr:row>33</xdr:row>
          <xdr:rowOff>190500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6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2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3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3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3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4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4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4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19"/>
  <sheetViews>
    <sheetView showGridLines="0" tabSelected="1" topLeftCell="A4" zoomScale="90" zoomScaleNormal="90" workbookViewId="0">
      <selection activeCell="T19" sqref="T19"/>
    </sheetView>
  </sheetViews>
  <sheetFormatPr defaultColWidth="9.140625" defaultRowHeight="15" x14ac:dyDescent="0.25"/>
  <cols>
    <col min="1" max="1" width="2.7109375" style="128" customWidth="1"/>
    <col min="2" max="2" width="5.7109375" style="128" customWidth="1"/>
    <col min="3" max="3" width="11.140625" style="128" customWidth="1"/>
    <col min="4" max="4" width="30.85546875" style="128" customWidth="1"/>
    <col min="5" max="5" width="29.140625" style="128" customWidth="1"/>
    <col min="6" max="6" width="21" style="128" customWidth="1"/>
    <col min="7" max="7" width="15.7109375" style="128" hidden="1" customWidth="1"/>
    <col min="8" max="8" width="110.28515625" style="128" hidden="1" customWidth="1"/>
    <col min="9" max="9" width="0.85546875" style="128" hidden="1" customWidth="1"/>
    <col min="10" max="10" width="9.140625" style="128" hidden="1" customWidth="1"/>
    <col min="11" max="11" width="4.5703125" style="128" customWidth="1"/>
    <col min="12" max="12" width="15.5703125" style="128" hidden="1" customWidth="1"/>
    <col min="13" max="18" width="9.140625" style="128" hidden="1" customWidth="1"/>
    <col min="19" max="19" width="0" style="128" hidden="1" customWidth="1"/>
    <col min="20" max="16384" width="9.140625" style="128"/>
  </cols>
  <sheetData>
    <row r="2" spans="2:14" x14ac:dyDescent="0.25">
      <c r="B2" s="134"/>
      <c r="C2" s="135" t="s">
        <v>576</v>
      </c>
      <c r="D2" s="136"/>
      <c r="E2" s="136"/>
      <c r="F2" s="136"/>
      <c r="G2" s="136"/>
      <c r="H2" s="136"/>
      <c r="I2" s="137"/>
      <c r="J2" s="136"/>
      <c r="K2" s="138"/>
      <c r="L2" s="127"/>
      <c r="M2" s="127"/>
      <c r="N2" s="127"/>
    </row>
    <row r="3" spans="2:14" ht="49.5" customHeight="1" x14ac:dyDescent="0.25">
      <c r="B3" s="139"/>
      <c r="C3" s="263" t="s">
        <v>706</v>
      </c>
      <c r="D3" s="264"/>
      <c r="E3" s="264"/>
      <c r="F3" s="264"/>
      <c r="G3" s="11"/>
      <c r="H3" s="11"/>
      <c r="I3" s="12"/>
      <c r="J3" s="11"/>
      <c r="K3" s="140"/>
      <c r="L3" s="127"/>
      <c r="M3" s="127"/>
      <c r="N3" s="127"/>
    </row>
    <row r="4" spans="2:14" x14ac:dyDescent="0.25">
      <c r="B4" s="139"/>
      <c r="C4" s="13" t="s">
        <v>0</v>
      </c>
      <c r="D4" s="14"/>
      <c r="E4" s="14"/>
      <c r="F4" s="11"/>
      <c r="G4" s="11"/>
      <c r="H4" s="11"/>
      <c r="I4" s="12"/>
      <c r="J4" s="11"/>
      <c r="K4" s="140"/>
      <c r="L4" s="127"/>
      <c r="M4" s="127"/>
      <c r="N4" s="127"/>
    </row>
    <row r="5" spans="2:14" x14ac:dyDescent="0.25">
      <c r="B5" s="139"/>
      <c r="C5" s="15" t="s">
        <v>1</v>
      </c>
      <c r="D5" s="14"/>
      <c r="E5" s="14"/>
      <c r="F5" s="11"/>
      <c r="G5" s="11"/>
      <c r="H5" s="11"/>
      <c r="I5" s="12"/>
      <c r="J5" s="11"/>
      <c r="K5" s="140"/>
      <c r="L5" s="127"/>
      <c r="M5" s="127" t="s">
        <v>3</v>
      </c>
      <c r="N5" s="127"/>
    </row>
    <row r="6" spans="2:14" x14ac:dyDescent="0.25">
      <c r="B6" s="139"/>
      <c r="C6" s="16" t="s">
        <v>2</v>
      </c>
      <c r="D6" s="16"/>
      <c r="E6" s="17"/>
      <c r="F6" s="11"/>
      <c r="G6" s="11"/>
      <c r="H6" s="11"/>
      <c r="I6" s="12"/>
      <c r="J6" s="11"/>
      <c r="K6" s="140"/>
      <c r="L6" s="127"/>
      <c r="M6" s="127" t="s">
        <v>4</v>
      </c>
      <c r="N6" s="127"/>
    </row>
    <row r="7" spans="2:14" x14ac:dyDescent="0.25">
      <c r="B7" s="139"/>
      <c r="C7" s="16"/>
      <c r="D7" s="16"/>
      <c r="E7" s="17"/>
      <c r="F7" s="11"/>
      <c r="G7" s="11"/>
      <c r="H7" s="11"/>
      <c r="I7" s="12"/>
      <c r="J7" s="11"/>
      <c r="K7" s="140"/>
      <c r="L7" s="127"/>
      <c r="M7" s="127"/>
      <c r="N7" s="127"/>
    </row>
    <row r="8" spans="2:14" x14ac:dyDescent="0.25">
      <c r="B8" s="139"/>
      <c r="C8" s="192" t="s">
        <v>624</v>
      </c>
      <c r="D8" s="193"/>
      <c r="E8" s="194"/>
      <c r="F8" s="195"/>
      <c r="G8" s="11"/>
      <c r="H8" s="11"/>
      <c r="I8" s="12"/>
      <c r="J8" s="11"/>
      <c r="K8" s="140"/>
      <c r="L8" s="127"/>
      <c r="M8" s="127"/>
      <c r="N8" s="127"/>
    </row>
    <row r="9" spans="2:14" ht="15" customHeight="1" x14ac:dyDescent="0.25">
      <c r="B9" s="139"/>
      <c r="C9" s="196" t="s">
        <v>571</v>
      </c>
      <c r="D9" s="193"/>
      <c r="E9" s="194"/>
      <c r="F9" s="197" t="s">
        <v>707</v>
      </c>
      <c r="G9" s="11"/>
      <c r="H9" s="11"/>
      <c r="I9" s="12"/>
      <c r="J9" s="11"/>
      <c r="K9" s="140"/>
      <c r="L9" s="127"/>
      <c r="M9" s="127"/>
      <c r="N9" s="127"/>
    </row>
    <row r="10" spans="2:14" ht="15" customHeight="1" x14ac:dyDescent="0.25">
      <c r="B10" s="139"/>
      <c r="C10" s="198" t="s">
        <v>625</v>
      </c>
      <c r="D10" s="198"/>
      <c r="E10" s="193"/>
      <c r="F10" s="199"/>
      <c r="G10" s="9"/>
      <c r="H10" s="9"/>
      <c r="I10" s="10"/>
      <c r="J10" s="9"/>
      <c r="K10" s="140"/>
      <c r="L10" s="127"/>
      <c r="M10" s="127"/>
      <c r="N10" s="127"/>
    </row>
    <row r="11" spans="2:14" ht="15" customHeight="1" x14ac:dyDescent="0.25">
      <c r="B11" s="139"/>
      <c r="C11" s="11"/>
      <c r="D11" s="11"/>
      <c r="E11" s="24"/>
      <c r="F11" s="11"/>
      <c r="G11" s="9"/>
      <c r="H11" s="9"/>
      <c r="I11" s="10"/>
      <c r="J11" s="9"/>
      <c r="K11" s="140"/>
      <c r="L11" s="127"/>
      <c r="M11" s="127"/>
      <c r="N11" s="127"/>
    </row>
    <row r="12" spans="2:14" ht="15" customHeight="1" x14ac:dyDescent="0.25">
      <c r="B12" s="139"/>
      <c r="C12" s="18" t="s">
        <v>5</v>
      </c>
      <c r="D12" s="11"/>
      <c r="E12" s="11"/>
      <c r="F12" s="11"/>
      <c r="G12" s="9"/>
      <c r="H12" s="9"/>
      <c r="I12" s="10"/>
      <c r="J12" s="9"/>
      <c r="K12" s="140"/>
      <c r="L12" s="127"/>
      <c r="M12" s="127"/>
      <c r="N12" s="127"/>
    </row>
    <row r="13" spans="2:14" ht="15" customHeight="1" x14ac:dyDescent="0.25">
      <c r="B13" s="139"/>
      <c r="C13" s="18" t="s">
        <v>628</v>
      </c>
      <c r="D13" s="11"/>
      <c r="E13" s="11"/>
      <c r="F13" s="11"/>
      <c r="G13" s="9"/>
      <c r="H13" s="9"/>
      <c r="I13" s="10"/>
      <c r="J13" s="9"/>
      <c r="K13" s="140"/>
      <c r="L13" s="127"/>
      <c r="M13" s="127"/>
      <c r="N13" s="127"/>
    </row>
    <row r="14" spans="2:14" ht="21" customHeight="1" x14ac:dyDescent="0.25">
      <c r="B14" s="139"/>
      <c r="C14" s="18" t="s">
        <v>692</v>
      </c>
      <c r="D14" s="11"/>
      <c r="E14" s="11"/>
      <c r="F14" s="11"/>
      <c r="G14" s="9"/>
      <c r="H14" s="9"/>
      <c r="I14" s="10"/>
      <c r="J14" s="9"/>
      <c r="K14" s="140"/>
      <c r="L14" s="127"/>
      <c r="M14" s="127"/>
      <c r="N14" s="127"/>
    </row>
    <row r="15" spans="2:14" x14ac:dyDescent="0.25">
      <c r="B15" s="213"/>
      <c r="C15" s="261" t="s">
        <v>494</v>
      </c>
      <c r="D15" s="261"/>
      <c r="E15" s="261"/>
      <c r="F15" s="210">
        <v>2017</v>
      </c>
      <c r="G15" s="9"/>
      <c r="H15" s="9"/>
      <c r="I15" s="10"/>
      <c r="J15" s="9"/>
      <c r="K15" s="214"/>
      <c r="L15" s="127"/>
      <c r="M15" s="127"/>
      <c r="N15" s="127"/>
    </row>
    <row r="16" spans="2:14" x14ac:dyDescent="0.25">
      <c r="B16" s="213"/>
      <c r="C16" s="261" t="str">
        <f>CONCATENATE("Gross 
Floor Area 
",IF(Setup!$F$9="SI units","(sq m)","(sq ft)"))</f>
        <v>Gross 
Floor Area 
(sq ft)</v>
      </c>
      <c r="D16" s="261"/>
      <c r="E16" s="261"/>
      <c r="F16" s="212">
        <v>5000</v>
      </c>
      <c r="G16" s="11"/>
      <c r="H16" s="11"/>
      <c r="I16" s="12"/>
      <c r="J16" s="11"/>
      <c r="K16" s="140"/>
      <c r="L16" s="127"/>
      <c r="M16" s="127"/>
      <c r="N16" s="127"/>
    </row>
    <row r="17" spans="2:19" x14ac:dyDescent="0.25">
      <c r="B17" s="213"/>
      <c r="C17" s="261" t="s">
        <v>495</v>
      </c>
      <c r="D17" s="261"/>
      <c r="E17" s="261"/>
      <c r="F17" s="211">
        <v>30</v>
      </c>
      <c r="G17" s="11"/>
      <c r="H17" s="11"/>
      <c r="I17" s="12"/>
      <c r="J17" s="11"/>
      <c r="K17" s="214"/>
      <c r="L17" s="127"/>
      <c r="M17" s="127"/>
      <c r="N17" s="127"/>
    </row>
    <row r="18" spans="2:19" x14ac:dyDescent="0.25">
      <c r="B18" s="213"/>
      <c r="C18" s="261" t="s">
        <v>496</v>
      </c>
      <c r="D18" s="261"/>
      <c r="E18" s="261"/>
      <c r="F18" s="211">
        <v>9</v>
      </c>
      <c r="G18" s="11"/>
      <c r="H18" s="11"/>
      <c r="I18" s="12"/>
      <c r="J18" s="11"/>
      <c r="K18" s="214"/>
      <c r="L18" s="127"/>
      <c r="M18" s="127"/>
      <c r="N18" s="127"/>
    </row>
    <row r="19" spans="2:19" ht="24" customHeight="1" x14ac:dyDescent="0.25">
      <c r="B19" s="139"/>
      <c r="C19" s="11"/>
      <c r="D19" s="11"/>
      <c r="E19" s="11"/>
      <c r="F19" s="215"/>
      <c r="G19" s="11"/>
      <c r="H19" s="11"/>
      <c r="I19" s="12"/>
      <c r="J19" s="11"/>
      <c r="K19" s="140"/>
      <c r="L19" s="127"/>
      <c r="M19" s="127"/>
      <c r="N19" s="127"/>
    </row>
    <row r="20" spans="2:19" ht="30" customHeight="1" x14ac:dyDescent="0.25">
      <c r="B20" s="139"/>
      <c r="C20" s="18" t="s">
        <v>626</v>
      </c>
      <c r="D20" s="11"/>
      <c r="E20" s="11"/>
      <c r="F20" s="11"/>
      <c r="G20" s="11"/>
      <c r="H20" s="11"/>
      <c r="I20" s="12"/>
      <c r="J20" s="11"/>
      <c r="K20" s="140"/>
    </row>
    <row r="21" spans="2:19" x14ac:dyDescent="0.25">
      <c r="B21" s="139"/>
      <c r="C21" s="133" t="s">
        <v>569</v>
      </c>
      <c r="D21" s="124"/>
      <c r="E21" s="125"/>
      <c r="F21" s="123" t="s">
        <v>546</v>
      </c>
      <c r="G21" s="9"/>
      <c r="H21" s="9"/>
      <c r="I21" s="10"/>
      <c r="J21" s="9"/>
      <c r="K21" s="140"/>
    </row>
    <row r="22" spans="2:19" x14ac:dyDescent="0.25">
      <c r="B22" s="139"/>
      <c r="C22" s="126" t="s">
        <v>497</v>
      </c>
      <c r="D22" s="19"/>
      <c r="E22" s="20"/>
      <c r="F22" s="11"/>
      <c r="G22" s="9"/>
      <c r="H22" s="9"/>
      <c r="I22" s="10"/>
      <c r="J22" s="9"/>
      <c r="K22" s="140"/>
    </row>
    <row r="23" spans="2:19" ht="42" customHeight="1" x14ac:dyDescent="0.25">
      <c r="B23" s="139"/>
      <c r="C23" s="11"/>
      <c r="D23" s="9"/>
      <c r="E23" s="11"/>
      <c r="F23" s="11"/>
      <c r="G23" s="9"/>
      <c r="H23" s="9"/>
      <c r="I23" s="10"/>
      <c r="J23" s="9"/>
      <c r="K23" s="140"/>
    </row>
    <row r="24" spans="2:19" x14ac:dyDescent="0.25">
      <c r="B24" s="139"/>
      <c r="C24" s="200"/>
      <c r="D24" s="200"/>
      <c r="E24" s="200"/>
      <c r="F24" s="200"/>
      <c r="G24" s="201"/>
      <c r="H24" s="201"/>
      <c r="I24" s="202"/>
      <c r="J24" s="201"/>
      <c r="K24" s="140"/>
    </row>
    <row r="25" spans="2:19" ht="21" customHeight="1" x14ac:dyDescent="0.25">
      <c r="B25" s="139"/>
      <c r="C25" s="203" t="s">
        <v>627</v>
      </c>
      <c r="D25" s="204"/>
      <c r="E25" s="200"/>
      <c r="F25" s="200"/>
      <c r="G25" s="205"/>
      <c r="H25" s="205"/>
      <c r="I25" s="205"/>
      <c r="J25" s="205"/>
      <c r="K25" s="140"/>
    </row>
    <row r="26" spans="2:19" ht="30.6" customHeight="1" x14ac:dyDescent="0.25">
      <c r="B26" s="139"/>
      <c r="C26" s="262" t="s">
        <v>575</v>
      </c>
      <c r="D26" s="262"/>
      <c r="E26" s="262"/>
      <c r="F26" s="262"/>
      <c r="G26" s="205"/>
      <c r="H26" s="205"/>
      <c r="I26" s="205"/>
      <c r="J26" s="205"/>
      <c r="K26" s="140"/>
      <c r="L26" s="130" t="s">
        <v>6</v>
      </c>
      <c r="M26" s="130" t="s">
        <v>7</v>
      </c>
      <c r="O26" s="128" t="s">
        <v>554</v>
      </c>
      <c r="Q26" s="128" t="s">
        <v>554</v>
      </c>
      <c r="S26" s="218" t="s">
        <v>609</v>
      </c>
    </row>
    <row r="27" spans="2:19" ht="11.25" customHeight="1" x14ac:dyDescent="0.25">
      <c r="B27" s="207"/>
      <c r="C27" s="206"/>
      <c r="D27" s="206"/>
      <c r="E27" s="206"/>
      <c r="F27" s="206"/>
      <c r="G27" s="205"/>
      <c r="H27" s="205"/>
      <c r="I27" s="205"/>
      <c r="J27" s="205"/>
      <c r="K27" s="209"/>
      <c r="L27" s="208" t="s">
        <v>8</v>
      </c>
      <c r="M27" s="130" t="s">
        <v>9</v>
      </c>
      <c r="O27" s="128" t="s">
        <v>546</v>
      </c>
      <c r="Q27" s="128" t="s">
        <v>546</v>
      </c>
      <c r="S27" s="219" t="s">
        <v>636</v>
      </c>
    </row>
    <row r="28" spans="2:19" ht="11.25" customHeight="1" x14ac:dyDescent="0.25">
      <c r="F28" s="129"/>
      <c r="G28" s="129"/>
      <c r="H28" s="129"/>
      <c r="I28" s="129"/>
      <c r="J28" s="129"/>
      <c r="L28" s="130" t="s">
        <v>10</v>
      </c>
      <c r="M28" s="130" t="s">
        <v>11</v>
      </c>
      <c r="O28" s="128" t="s">
        <v>564</v>
      </c>
      <c r="Q28" s="128" t="s">
        <v>564</v>
      </c>
      <c r="S28" s="219" t="s">
        <v>637</v>
      </c>
    </row>
    <row r="29" spans="2:19" ht="11.25" customHeight="1" x14ac:dyDescent="0.25">
      <c r="F29" s="129"/>
      <c r="K29" s="132"/>
      <c r="L29" s="130" t="s">
        <v>12</v>
      </c>
      <c r="M29" s="130" t="s">
        <v>13</v>
      </c>
      <c r="O29" s="128" t="s">
        <v>561</v>
      </c>
      <c r="S29" s="219" t="s">
        <v>638</v>
      </c>
    </row>
    <row r="30" spans="2:19" x14ac:dyDescent="0.25">
      <c r="F30" s="129"/>
      <c r="K30" s="132"/>
      <c r="L30" s="130" t="s">
        <v>14</v>
      </c>
      <c r="M30" s="130" t="s">
        <v>15</v>
      </c>
      <c r="O30" s="128" t="s">
        <v>563</v>
      </c>
      <c r="S30" s="219" t="s">
        <v>639</v>
      </c>
    </row>
    <row r="31" spans="2:19" x14ac:dyDescent="0.25">
      <c r="F31" s="129"/>
      <c r="K31" s="141" t="s">
        <v>725</v>
      </c>
      <c r="L31" s="130" t="s">
        <v>16</v>
      </c>
      <c r="M31" s="130" t="s">
        <v>17</v>
      </c>
      <c r="O31" s="128" t="s">
        <v>562</v>
      </c>
      <c r="S31" s="219" t="s">
        <v>640</v>
      </c>
    </row>
    <row r="32" spans="2:19" x14ac:dyDescent="0.25">
      <c r="K32" s="141" t="s">
        <v>631</v>
      </c>
      <c r="L32" s="130" t="s">
        <v>18</v>
      </c>
      <c r="M32" s="130" t="s">
        <v>19</v>
      </c>
      <c r="S32" s="219" t="s">
        <v>641</v>
      </c>
    </row>
    <row r="33" spans="11:19" x14ac:dyDescent="0.25">
      <c r="K33" s="141" t="s">
        <v>573</v>
      </c>
      <c r="L33" s="130" t="s">
        <v>20</v>
      </c>
      <c r="M33" s="130" t="s">
        <v>21</v>
      </c>
      <c r="S33" s="219" t="s">
        <v>642</v>
      </c>
    </row>
    <row r="34" spans="11:19" x14ac:dyDescent="0.25">
      <c r="K34" s="141" t="s">
        <v>574</v>
      </c>
      <c r="L34" s="130" t="s">
        <v>22</v>
      </c>
      <c r="M34" s="130" t="s">
        <v>23</v>
      </c>
      <c r="S34" s="219" t="s">
        <v>643</v>
      </c>
    </row>
    <row r="35" spans="11:19" x14ac:dyDescent="0.25">
      <c r="L35" s="130" t="s">
        <v>24</v>
      </c>
      <c r="M35" s="130" t="s">
        <v>25</v>
      </c>
      <c r="S35" s="219" t="s">
        <v>644</v>
      </c>
    </row>
    <row r="36" spans="11:19" x14ac:dyDescent="0.25">
      <c r="L36" s="130" t="s">
        <v>26</v>
      </c>
      <c r="M36" s="130" t="s">
        <v>27</v>
      </c>
      <c r="S36" s="219" t="s">
        <v>645</v>
      </c>
    </row>
    <row r="37" spans="11:19" x14ac:dyDescent="0.25">
      <c r="L37" s="130" t="s">
        <v>28</v>
      </c>
      <c r="M37" s="130" t="s">
        <v>29</v>
      </c>
      <c r="S37" s="219" t="s">
        <v>646</v>
      </c>
    </row>
    <row r="38" spans="11:19" x14ac:dyDescent="0.25">
      <c r="L38" s="130" t="s">
        <v>30</v>
      </c>
      <c r="M38" s="130" t="s">
        <v>31</v>
      </c>
      <c r="S38" s="219" t="s">
        <v>647</v>
      </c>
    </row>
    <row r="39" spans="11:19" x14ac:dyDescent="0.25">
      <c r="L39" s="130" t="s">
        <v>32</v>
      </c>
      <c r="M39" s="130" t="s">
        <v>33</v>
      </c>
      <c r="S39" s="219" t="s">
        <v>648</v>
      </c>
    </row>
    <row r="40" spans="11:19" x14ac:dyDescent="0.25">
      <c r="L40" s="130" t="s">
        <v>34</v>
      </c>
      <c r="M40" s="130" t="s">
        <v>35</v>
      </c>
      <c r="S40" s="219" t="s">
        <v>649</v>
      </c>
    </row>
    <row r="41" spans="11:19" x14ac:dyDescent="0.25">
      <c r="L41" s="130" t="s">
        <v>36</v>
      </c>
      <c r="M41" s="130" t="s">
        <v>37</v>
      </c>
      <c r="S41" s="219" t="s">
        <v>650</v>
      </c>
    </row>
    <row r="42" spans="11:19" x14ac:dyDescent="0.25">
      <c r="L42" s="130" t="s">
        <v>38</v>
      </c>
      <c r="M42" s="130" t="s">
        <v>39</v>
      </c>
      <c r="S42" s="219" t="s">
        <v>651</v>
      </c>
    </row>
    <row r="43" spans="11:19" x14ac:dyDescent="0.25">
      <c r="L43" s="130" t="s">
        <v>40</v>
      </c>
      <c r="M43" s="130" t="s">
        <v>41</v>
      </c>
      <c r="S43" s="219" t="s">
        <v>652</v>
      </c>
    </row>
    <row r="44" spans="11:19" x14ac:dyDescent="0.25">
      <c r="L44" s="130" t="s">
        <v>42</v>
      </c>
      <c r="M44" s="130" t="s">
        <v>43</v>
      </c>
      <c r="S44" s="219" t="s">
        <v>653</v>
      </c>
    </row>
    <row r="45" spans="11:19" x14ac:dyDescent="0.25">
      <c r="L45" s="130" t="s">
        <v>44</v>
      </c>
      <c r="M45" s="130" t="s">
        <v>45</v>
      </c>
      <c r="S45" s="219" t="s">
        <v>654</v>
      </c>
    </row>
    <row r="46" spans="11:19" x14ac:dyDescent="0.25">
      <c r="L46" s="130" t="s">
        <v>46</v>
      </c>
      <c r="M46" s="130" t="s">
        <v>47</v>
      </c>
      <c r="S46" s="219" t="s">
        <v>655</v>
      </c>
    </row>
    <row r="47" spans="11:19" x14ac:dyDescent="0.25">
      <c r="L47" s="130" t="s">
        <v>48</v>
      </c>
      <c r="M47" s="130" t="s">
        <v>49</v>
      </c>
      <c r="S47" s="219" t="s">
        <v>656</v>
      </c>
    </row>
    <row r="48" spans="11:19" x14ac:dyDescent="0.25">
      <c r="L48" s="130" t="s">
        <v>50</v>
      </c>
      <c r="M48" s="130" t="s">
        <v>51</v>
      </c>
      <c r="S48" s="219" t="s">
        <v>657</v>
      </c>
    </row>
    <row r="49" spans="12:19" x14ac:dyDescent="0.25">
      <c r="L49" s="130" t="s">
        <v>52</v>
      </c>
      <c r="M49" s="130" t="s">
        <v>53</v>
      </c>
      <c r="S49" s="219" t="s">
        <v>658</v>
      </c>
    </row>
    <row r="50" spans="12:19" x14ac:dyDescent="0.25">
      <c r="L50" s="130" t="s">
        <v>54</v>
      </c>
      <c r="M50" s="130" t="s">
        <v>55</v>
      </c>
      <c r="S50" s="219" t="s">
        <v>659</v>
      </c>
    </row>
    <row r="51" spans="12:19" x14ac:dyDescent="0.25">
      <c r="L51" s="130" t="s">
        <v>56</v>
      </c>
      <c r="M51" s="130" t="s">
        <v>57</v>
      </c>
      <c r="S51" s="219" t="s">
        <v>660</v>
      </c>
    </row>
    <row r="52" spans="12:19" x14ac:dyDescent="0.25">
      <c r="L52" s="130" t="s">
        <v>58</v>
      </c>
      <c r="M52" s="130" t="s">
        <v>59</v>
      </c>
      <c r="S52" s="219" t="s">
        <v>661</v>
      </c>
    </row>
    <row r="53" spans="12:19" x14ac:dyDescent="0.25">
      <c r="L53" s="130" t="s">
        <v>60</v>
      </c>
      <c r="M53" s="130" t="s">
        <v>61</v>
      </c>
      <c r="S53" s="219" t="s">
        <v>662</v>
      </c>
    </row>
    <row r="54" spans="12:19" x14ac:dyDescent="0.25">
      <c r="L54" s="130" t="s">
        <v>62</v>
      </c>
      <c r="M54" s="130" t="s">
        <v>63</v>
      </c>
      <c r="S54" s="219" t="s">
        <v>663</v>
      </c>
    </row>
    <row r="55" spans="12:19" x14ac:dyDescent="0.25">
      <c r="L55" s="130" t="s">
        <v>64</v>
      </c>
      <c r="M55" s="130" t="s">
        <v>65</v>
      </c>
      <c r="S55" s="219" t="s">
        <v>664</v>
      </c>
    </row>
    <row r="56" spans="12:19" x14ac:dyDescent="0.25">
      <c r="L56" s="130" t="s">
        <v>66</v>
      </c>
      <c r="M56" s="130" t="s">
        <v>67</v>
      </c>
      <c r="S56" s="219" t="s">
        <v>665</v>
      </c>
    </row>
    <row r="57" spans="12:19" x14ac:dyDescent="0.25">
      <c r="L57" s="130" t="s">
        <v>68</v>
      </c>
      <c r="M57" s="130" t="s">
        <v>69</v>
      </c>
      <c r="S57" s="219" t="s">
        <v>666</v>
      </c>
    </row>
    <row r="58" spans="12:19" x14ac:dyDescent="0.25">
      <c r="L58" s="130" t="s">
        <v>70</v>
      </c>
      <c r="M58" s="130" t="s">
        <v>71</v>
      </c>
      <c r="S58" s="219" t="s">
        <v>667</v>
      </c>
    </row>
    <row r="59" spans="12:19" x14ac:dyDescent="0.25">
      <c r="L59" s="130" t="s">
        <v>72</v>
      </c>
      <c r="M59" s="130" t="s">
        <v>73</v>
      </c>
      <c r="S59" s="219" t="s">
        <v>668</v>
      </c>
    </row>
    <row r="60" spans="12:19" x14ac:dyDescent="0.25">
      <c r="L60" s="130" t="s">
        <v>74</v>
      </c>
      <c r="M60" s="130" t="s">
        <v>75</v>
      </c>
      <c r="S60" s="219" t="s">
        <v>669</v>
      </c>
    </row>
    <row r="61" spans="12:19" x14ac:dyDescent="0.25">
      <c r="L61" s="130" t="s">
        <v>76</v>
      </c>
      <c r="M61" s="130" t="s">
        <v>77</v>
      </c>
      <c r="S61" s="219" t="s">
        <v>670</v>
      </c>
    </row>
    <row r="62" spans="12:19" x14ac:dyDescent="0.25">
      <c r="L62" s="130" t="s">
        <v>78</v>
      </c>
      <c r="M62" s="130" t="s">
        <v>79</v>
      </c>
      <c r="S62" s="219" t="s">
        <v>671</v>
      </c>
    </row>
    <row r="63" spans="12:19" x14ac:dyDescent="0.25">
      <c r="L63" s="130" t="s">
        <v>80</v>
      </c>
      <c r="M63" s="130" t="s">
        <v>81</v>
      </c>
      <c r="S63" s="219" t="s">
        <v>672</v>
      </c>
    </row>
    <row r="64" spans="12:19" x14ac:dyDescent="0.25">
      <c r="L64" s="130" t="s">
        <v>82</v>
      </c>
      <c r="M64" s="130" t="s">
        <v>83</v>
      </c>
      <c r="S64" s="219" t="s">
        <v>673</v>
      </c>
    </row>
    <row r="65" spans="12:19" x14ac:dyDescent="0.25">
      <c r="L65" s="130" t="s">
        <v>84</v>
      </c>
      <c r="M65" s="130" t="s">
        <v>85</v>
      </c>
      <c r="S65" s="219" t="s">
        <v>674</v>
      </c>
    </row>
    <row r="66" spans="12:19" x14ac:dyDescent="0.25">
      <c r="L66" s="130" t="s">
        <v>86</v>
      </c>
      <c r="M66" s="130" t="s">
        <v>87</v>
      </c>
      <c r="S66" s="219" t="s">
        <v>675</v>
      </c>
    </row>
    <row r="67" spans="12:19" x14ac:dyDescent="0.25">
      <c r="L67" s="130" t="s">
        <v>88</v>
      </c>
      <c r="M67" s="130" t="s">
        <v>89</v>
      </c>
      <c r="S67" s="219" t="s">
        <v>676</v>
      </c>
    </row>
    <row r="68" spans="12:19" x14ac:dyDescent="0.25">
      <c r="L68" s="130" t="s">
        <v>90</v>
      </c>
      <c r="M68" s="130" t="s">
        <v>91</v>
      </c>
      <c r="S68" s="219" t="s">
        <v>677</v>
      </c>
    </row>
    <row r="69" spans="12:19" x14ac:dyDescent="0.25">
      <c r="L69" s="130" t="s">
        <v>92</v>
      </c>
      <c r="M69" s="130" t="s">
        <v>93</v>
      </c>
      <c r="S69" s="219" t="s">
        <v>678</v>
      </c>
    </row>
    <row r="70" spans="12:19" x14ac:dyDescent="0.25">
      <c r="L70" s="130" t="s">
        <v>94</v>
      </c>
      <c r="M70" s="130" t="s">
        <v>95</v>
      </c>
      <c r="S70" s="219" t="s">
        <v>679</v>
      </c>
    </row>
    <row r="71" spans="12:19" x14ac:dyDescent="0.25">
      <c r="L71" s="130" t="s">
        <v>96</v>
      </c>
      <c r="M71" s="130" t="s">
        <v>97</v>
      </c>
      <c r="S71" s="219" t="s">
        <v>680</v>
      </c>
    </row>
    <row r="72" spans="12:19" x14ac:dyDescent="0.25">
      <c r="L72" s="130" t="s">
        <v>98</v>
      </c>
      <c r="M72" s="130" t="s">
        <v>99</v>
      </c>
      <c r="S72" s="219" t="s">
        <v>681</v>
      </c>
    </row>
    <row r="73" spans="12:19" x14ac:dyDescent="0.25">
      <c r="L73" s="130" t="s">
        <v>100</v>
      </c>
      <c r="M73" s="130" t="s">
        <v>101</v>
      </c>
      <c r="S73" s="219" t="s">
        <v>682</v>
      </c>
    </row>
    <row r="74" spans="12:19" x14ac:dyDescent="0.25">
      <c r="L74" s="130" t="s">
        <v>102</v>
      </c>
      <c r="M74" s="130" t="s">
        <v>103</v>
      </c>
      <c r="S74" s="219" t="s">
        <v>683</v>
      </c>
    </row>
    <row r="75" spans="12:19" x14ac:dyDescent="0.25">
      <c r="L75" s="130" t="s">
        <v>104</v>
      </c>
      <c r="M75" s="130" t="s">
        <v>105</v>
      </c>
      <c r="S75" s="219" t="s">
        <v>684</v>
      </c>
    </row>
    <row r="76" spans="12:19" x14ac:dyDescent="0.25">
      <c r="L76" s="130" t="s">
        <v>106</v>
      </c>
      <c r="M76" s="130" t="s">
        <v>107</v>
      </c>
      <c r="S76" s="219" t="s">
        <v>685</v>
      </c>
    </row>
    <row r="77" spans="12:19" x14ac:dyDescent="0.25">
      <c r="L77" s="130" t="s">
        <v>108</v>
      </c>
      <c r="M77" s="130" t="s">
        <v>109</v>
      </c>
      <c r="S77" s="219" t="s">
        <v>686</v>
      </c>
    </row>
    <row r="78" spans="12:19" x14ac:dyDescent="0.25">
      <c r="L78" s="130" t="s">
        <v>110</v>
      </c>
      <c r="M78" s="130" t="s">
        <v>111</v>
      </c>
      <c r="S78" s="219" t="s">
        <v>687</v>
      </c>
    </row>
    <row r="79" spans="12:19" x14ac:dyDescent="0.25">
      <c r="L79" s="130" t="s">
        <v>112</v>
      </c>
      <c r="M79" s="130" t="s">
        <v>113</v>
      </c>
      <c r="S79" s="219" t="s">
        <v>688</v>
      </c>
    </row>
    <row r="80" spans="12:19" x14ac:dyDescent="0.25">
      <c r="L80" s="130" t="s">
        <v>114</v>
      </c>
      <c r="M80" s="130" t="s">
        <v>115</v>
      </c>
      <c r="S80" s="219" t="s">
        <v>689</v>
      </c>
    </row>
    <row r="81" spans="12:19" x14ac:dyDescent="0.25">
      <c r="L81" s="130" t="s">
        <v>116</v>
      </c>
      <c r="M81" s="130" t="s">
        <v>117</v>
      </c>
      <c r="S81" s="219" t="s">
        <v>690</v>
      </c>
    </row>
    <row r="82" spans="12:19" x14ac:dyDescent="0.25">
      <c r="L82" s="130" t="s">
        <v>118</v>
      </c>
      <c r="M82" s="130" t="s">
        <v>119</v>
      </c>
      <c r="S82" s="219" t="s">
        <v>691</v>
      </c>
    </row>
    <row r="83" spans="12:19" x14ac:dyDescent="0.25">
      <c r="L83" s="130" t="s">
        <v>120</v>
      </c>
      <c r="M83" s="130" t="s">
        <v>121</v>
      </c>
    </row>
    <row r="84" spans="12:19" x14ac:dyDescent="0.25">
      <c r="L84" s="130" t="s">
        <v>122</v>
      </c>
      <c r="M84" s="130" t="s">
        <v>123</v>
      </c>
    </row>
    <row r="85" spans="12:19" x14ac:dyDescent="0.25">
      <c r="L85" s="130" t="s">
        <v>124</v>
      </c>
      <c r="M85" s="130" t="s">
        <v>125</v>
      </c>
    </row>
    <row r="86" spans="12:19" x14ac:dyDescent="0.25">
      <c r="L86" s="130" t="s">
        <v>126</v>
      </c>
      <c r="M86" s="130" t="s">
        <v>127</v>
      </c>
    </row>
    <row r="87" spans="12:19" x14ac:dyDescent="0.25">
      <c r="L87" s="130" t="s">
        <v>128</v>
      </c>
      <c r="M87" s="130" t="s">
        <v>129</v>
      </c>
    </row>
    <row r="88" spans="12:19" x14ac:dyDescent="0.25">
      <c r="L88" s="130" t="s">
        <v>130</v>
      </c>
      <c r="M88" s="130" t="s">
        <v>131</v>
      </c>
    </row>
    <row r="89" spans="12:19" x14ac:dyDescent="0.25">
      <c r="L89" s="130" t="s">
        <v>132</v>
      </c>
      <c r="M89" s="130" t="s">
        <v>133</v>
      </c>
    </row>
    <row r="90" spans="12:19" x14ac:dyDescent="0.25">
      <c r="L90" s="130" t="s">
        <v>134</v>
      </c>
      <c r="M90" s="130" t="s">
        <v>135</v>
      </c>
    </row>
    <row r="91" spans="12:19" x14ac:dyDescent="0.25">
      <c r="L91" s="130" t="s">
        <v>136</v>
      </c>
      <c r="M91" s="130" t="s">
        <v>137</v>
      </c>
    </row>
    <row r="92" spans="12:19" x14ac:dyDescent="0.25">
      <c r="L92" s="130" t="s">
        <v>138</v>
      </c>
      <c r="M92" s="130" t="s">
        <v>139</v>
      </c>
    </row>
    <row r="93" spans="12:19" x14ac:dyDescent="0.25">
      <c r="L93" s="130" t="s">
        <v>140</v>
      </c>
      <c r="M93" s="130" t="s">
        <v>141</v>
      </c>
    </row>
    <row r="94" spans="12:19" x14ac:dyDescent="0.25">
      <c r="L94" s="130" t="s">
        <v>142</v>
      </c>
      <c r="M94" s="130" t="s">
        <v>143</v>
      </c>
    </row>
    <row r="95" spans="12:19" x14ac:dyDescent="0.25">
      <c r="L95" s="130" t="s">
        <v>144</v>
      </c>
      <c r="M95" s="130" t="s">
        <v>145</v>
      </c>
    </row>
    <row r="96" spans="12:19" x14ac:dyDescent="0.25">
      <c r="L96" s="130" t="s">
        <v>146</v>
      </c>
      <c r="M96" s="130" t="s">
        <v>147</v>
      </c>
    </row>
    <row r="97" spans="12:13" x14ac:dyDescent="0.25">
      <c r="L97" s="130" t="s">
        <v>148</v>
      </c>
      <c r="M97" s="130" t="s">
        <v>149</v>
      </c>
    </row>
    <row r="98" spans="12:13" x14ac:dyDescent="0.25">
      <c r="L98" s="130" t="s">
        <v>150</v>
      </c>
      <c r="M98" s="130" t="s">
        <v>151</v>
      </c>
    </row>
    <row r="99" spans="12:13" x14ac:dyDescent="0.25">
      <c r="L99" s="130" t="s">
        <v>152</v>
      </c>
      <c r="M99" s="130" t="s">
        <v>153</v>
      </c>
    </row>
    <row r="100" spans="12:13" x14ac:dyDescent="0.25">
      <c r="L100" s="130" t="s">
        <v>154</v>
      </c>
      <c r="M100" s="130" t="s">
        <v>155</v>
      </c>
    </row>
    <row r="101" spans="12:13" x14ac:dyDescent="0.25">
      <c r="L101" s="130" t="s">
        <v>156</v>
      </c>
      <c r="M101" s="130" t="s">
        <v>157</v>
      </c>
    </row>
    <row r="102" spans="12:13" x14ac:dyDescent="0.25">
      <c r="L102" s="130" t="s">
        <v>158</v>
      </c>
      <c r="M102" s="130" t="s">
        <v>159</v>
      </c>
    </row>
    <row r="103" spans="12:13" x14ac:dyDescent="0.25">
      <c r="L103" s="130" t="s">
        <v>160</v>
      </c>
      <c r="M103" s="130" t="s">
        <v>161</v>
      </c>
    </row>
    <row r="104" spans="12:13" x14ac:dyDescent="0.25">
      <c r="L104" s="130" t="s">
        <v>162</v>
      </c>
      <c r="M104" s="130" t="s">
        <v>163</v>
      </c>
    </row>
    <row r="105" spans="12:13" x14ac:dyDescent="0.25">
      <c r="L105" s="130" t="s">
        <v>164</v>
      </c>
      <c r="M105" s="130" t="s">
        <v>165</v>
      </c>
    </row>
    <row r="106" spans="12:13" x14ac:dyDescent="0.25">
      <c r="L106" s="130" t="s">
        <v>166</v>
      </c>
      <c r="M106" s="130" t="s">
        <v>167</v>
      </c>
    </row>
    <row r="107" spans="12:13" x14ac:dyDescent="0.25">
      <c r="L107" s="130" t="s">
        <v>168</v>
      </c>
      <c r="M107" s="130" t="s">
        <v>169</v>
      </c>
    </row>
    <row r="108" spans="12:13" x14ac:dyDescent="0.25">
      <c r="L108" s="130" t="s">
        <v>170</v>
      </c>
      <c r="M108" s="130" t="s">
        <v>171</v>
      </c>
    </row>
    <row r="109" spans="12:13" x14ac:dyDescent="0.25">
      <c r="L109" s="130" t="s">
        <v>172</v>
      </c>
      <c r="M109" s="130" t="s">
        <v>173</v>
      </c>
    </row>
    <row r="110" spans="12:13" x14ac:dyDescent="0.25">
      <c r="L110" s="130" t="s">
        <v>174</v>
      </c>
      <c r="M110" s="130" t="s">
        <v>175</v>
      </c>
    </row>
    <row r="111" spans="12:13" x14ac:dyDescent="0.25">
      <c r="L111" s="130" t="s">
        <v>176</v>
      </c>
      <c r="M111" s="130" t="s">
        <v>177</v>
      </c>
    </row>
    <row r="112" spans="12:13" x14ac:dyDescent="0.25">
      <c r="L112" s="130" t="s">
        <v>178</v>
      </c>
      <c r="M112" s="130" t="s">
        <v>179</v>
      </c>
    </row>
    <row r="113" spans="12:13" x14ac:dyDescent="0.25">
      <c r="L113" s="130" t="s">
        <v>180</v>
      </c>
      <c r="M113" s="130" t="s">
        <v>181</v>
      </c>
    </row>
    <row r="114" spans="12:13" x14ac:dyDescent="0.25">
      <c r="L114" s="130" t="s">
        <v>182</v>
      </c>
      <c r="M114" s="130" t="s">
        <v>183</v>
      </c>
    </row>
    <row r="115" spans="12:13" x14ac:dyDescent="0.25">
      <c r="L115" s="130" t="s">
        <v>184</v>
      </c>
      <c r="M115" s="130" t="s">
        <v>185</v>
      </c>
    </row>
    <row r="116" spans="12:13" x14ac:dyDescent="0.25">
      <c r="L116" s="130" t="s">
        <v>186</v>
      </c>
      <c r="M116" s="130" t="s">
        <v>187</v>
      </c>
    </row>
    <row r="117" spans="12:13" x14ac:dyDescent="0.25">
      <c r="L117" s="130" t="s">
        <v>188</v>
      </c>
      <c r="M117" s="130" t="s">
        <v>189</v>
      </c>
    </row>
    <row r="118" spans="12:13" x14ac:dyDescent="0.25">
      <c r="L118" s="130" t="s">
        <v>190</v>
      </c>
      <c r="M118" s="130" t="s">
        <v>191</v>
      </c>
    </row>
    <row r="119" spans="12:13" x14ac:dyDescent="0.25">
      <c r="L119" s="130" t="s">
        <v>192</v>
      </c>
      <c r="M119" s="130" t="s">
        <v>193</v>
      </c>
    </row>
    <row r="120" spans="12:13" x14ac:dyDescent="0.25">
      <c r="L120" s="130" t="s">
        <v>194</v>
      </c>
      <c r="M120" s="130" t="s">
        <v>195</v>
      </c>
    </row>
    <row r="121" spans="12:13" x14ac:dyDescent="0.25">
      <c r="L121" s="130" t="s">
        <v>196</v>
      </c>
      <c r="M121" s="130" t="s">
        <v>197</v>
      </c>
    </row>
    <row r="122" spans="12:13" x14ac:dyDescent="0.25">
      <c r="L122" s="130" t="s">
        <v>198</v>
      </c>
      <c r="M122" s="130" t="s">
        <v>199</v>
      </c>
    </row>
    <row r="123" spans="12:13" x14ac:dyDescent="0.25">
      <c r="L123" s="130" t="s">
        <v>200</v>
      </c>
      <c r="M123" s="130" t="s">
        <v>201</v>
      </c>
    </row>
    <row r="124" spans="12:13" x14ac:dyDescent="0.25">
      <c r="L124" s="130" t="s">
        <v>202</v>
      </c>
      <c r="M124" s="130" t="s">
        <v>203</v>
      </c>
    </row>
    <row r="125" spans="12:13" x14ac:dyDescent="0.25">
      <c r="L125" s="130" t="s">
        <v>204</v>
      </c>
      <c r="M125" s="130" t="s">
        <v>205</v>
      </c>
    </row>
    <row r="126" spans="12:13" x14ac:dyDescent="0.25">
      <c r="L126" s="130" t="s">
        <v>206</v>
      </c>
      <c r="M126" s="130" t="s">
        <v>207</v>
      </c>
    </row>
    <row r="127" spans="12:13" x14ac:dyDescent="0.25">
      <c r="L127" s="130" t="s">
        <v>208</v>
      </c>
      <c r="M127" s="130" t="s">
        <v>209</v>
      </c>
    </row>
    <row r="128" spans="12:13" x14ac:dyDescent="0.25">
      <c r="L128" s="130" t="s">
        <v>210</v>
      </c>
      <c r="M128" s="130" t="s">
        <v>211</v>
      </c>
    </row>
    <row r="129" spans="12:13" x14ac:dyDescent="0.25">
      <c r="L129" s="130" t="s">
        <v>212</v>
      </c>
      <c r="M129" s="130" t="s">
        <v>213</v>
      </c>
    </row>
    <row r="130" spans="12:13" x14ac:dyDescent="0.25">
      <c r="L130" s="130" t="s">
        <v>214</v>
      </c>
      <c r="M130" s="130" t="s">
        <v>215</v>
      </c>
    </row>
    <row r="131" spans="12:13" x14ac:dyDescent="0.25">
      <c r="L131" s="130" t="s">
        <v>216</v>
      </c>
      <c r="M131" s="130" t="s">
        <v>217</v>
      </c>
    </row>
    <row r="132" spans="12:13" x14ac:dyDescent="0.25">
      <c r="L132" s="130" t="s">
        <v>218</v>
      </c>
      <c r="M132" s="130" t="s">
        <v>219</v>
      </c>
    </row>
    <row r="133" spans="12:13" x14ac:dyDescent="0.25">
      <c r="L133" s="130" t="s">
        <v>220</v>
      </c>
      <c r="M133" s="130" t="s">
        <v>221</v>
      </c>
    </row>
    <row r="134" spans="12:13" x14ac:dyDescent="0.25">
      <c r="L134" s="130" t="s">
        <v>222</v>
      </c>
      <c r="M134" s="130" t="s">
        <v>223</v>
      </c>
    </row>
    <row r="135" spans="12:13" x14ac:dyDescent="0.25">
      <c r="L135" s="130" t="s">
        <v>224</v>
      </c>
      <c r="M135" s="130" t="s">
        <v>225</v>
      </c>
    </row>
    <row r="136" spans="12:13" x14ac:dyDescent="0.25">
      <c r="L136" s="130" t="s">
        <v>226</v>
      </c>
      <c r="M136" s="130" t="s">
        <v>227</v>
      </c>
    </row>
    <row r="137" spans="12:13" x14ac:dyDescent="0.25">
      <c r="L137" s="130" t="s">
        <v>228</v>
      </c>
      <c r="M137" s="130" t="s">
        <v>229</v>
      </c>
    </row>
    <row r="138" spans="12:13" x14ac:dyDescent="0.25">
      <c r="L138" s="130" t="s">
        <v>230</v>
      </c>
      <c r="M138" s="130" t="s">
        <v>231</v>
      </c>
    </row>
    <row r="139" spans="12:13" x14ac:dyDescent="0.25">
      <c r="L139" s="130" t="s">
        <v>232</v>
      </c>
      <c r="M139" s="130" t="s">
        <v>233</v>
      </c>
    </row>
    <row r="140" spans="12:13" x14ac:dyDescent="0.25">
      <c r="L140" s="130" t="s">
        <v>234</v>
      </c>
      <c r="M140" s="130" t="s">
        <v>235</v>
      </c>
    </row>
    <row r="141" spans="12:13" x14ac:dyDescent="0.25">
      <c r="L141" s="130" t="s">
        <v>236</v>
      </c>
      <c r="M141" s="130" t="s">
        <v>237</v>
      </c>
    </row>
    <row r="142" spans="12:13" x14ac:dyDescent="0.25">
      <c r="L142" s="130" t="s">
        <v>238</v>
      </c>
      <c r="M142" s="130" t="s">
        <v>239</v>
      </c>
    </row>
    <row r="143" spans="12:13" x14ac:dyDescent="0.25">
      <c r="L143" s="130" t="s">
        <v>240</v>
      </c>
      <c r="M143" s="130" t="s">
        <v>241</v>
      </c>
    </row>
    <row r="144" spans="12:13" x14ac:dyDescent="0.25">
      <c r="L144" s="130" t="s">
        <v>242</v>
      </c>
      <c r="M144" s="130" t="s">
        <v>243</v>
      </c>
    </row>
    <row r="145" spans="12:13" x14ac:dyDescent="0.25">
      <c r="L145" s="130" t="s">
        <v>244</v>
      </c>
      <c r="M145" s="130" t="s">
        <v>245</v>
      </c>
    </row>
    <row r="146" spans="12:13" x14ac:dyDescent="0.25">
      <c r="L146" s="130" t="s">
        <v>246</v>
      </c>
      <c r="M146" s="130" t="s">
        <v>247</v>
      </c>
    </row>
    <row r="147" spans="12:13" x14ac:dyDescent="0.25">
      <c r="L147" s="130" t="s">
        <v>248</v>
      </c>
      <c r="M147" s="130" t="s">
        <v>249</v>
      </c>
    </row>
    <row r="148" spans="12:13" x14ac:dyDescent="0.25">
      <c r="L148" s="130" t="s">
        <v>250</v>
      </c>
      <c r="M148" s="130" t="s">
        <v>251</v>
      </c>
    </row>
    <row r="149" spans="12:13" x14ac:dyDescent="0.25">
      <c r="L149" s="130" t="s">
        <v>252</v>
      </c>
      <c r="M149" s="130" t="s">
        <v>253</v>
      </c>
    </row>
    <row r="150" spans="12:13" x14ac:dyDescent="0.25">
      <c r="L150" s="130" t="s">
        <v>254</v>
      </c>
      <c r="M150" s="130" t="s">
        <v>255</v>
      </c>
    </row>
    <row r="151" spans="12:13" x14ac:dyDescent="0.25">
      <c r="L151" s="130" t="s">
        <v>256</v>
      </c>
      <c r="M151" s="130" t="s">
        <v>257</v>
      </c>
    </row>
    <row r="152" spans="12:13" x14ac:dyDescent="0.25">
      <c r="L152" s="130" t="s">
        <v>258</v>
      </c>
      <c r="M152" s="130" t="s">
        <v>259</v>
      </c>
    </row>
    <row r="153" spans="12:13" x14ac:dyDescent="0.25">
      <c r="L153" s="130" t="s">
        <v>260</v>
      </c>
      <c r="M153" s="130" t="s">
        <v>261</v>
      </c>
    </row>
    <row r="154" spans="12:13" x14ac:dyDescent="0.25">
      <c r="L154" s="130" t="s">
        <v>262</v>
      </c>
      <c r="M154" s="130" t="s">
        <v>263</v>
      </c>
    </row>
    <row r="155" spans="12:13" x14ac:dyDescent="0.25">
      <c r="L155" s="130" t="s">
        <v>264</v>
      </c>
      <c r="M155" s="130" t="s">
        <v>265</v>
      </c>
    </row>
    <row r="156" spans="12:13" x14ac:dyDescent="0.25">
      <c r="L156" s="130" t="s">
        <v>266</v>
      </c>
      <c r="M156" s="130" t="s">
        <v>267</v>
      </c>
    </row>
    <row r="157" spans="12:13" x14ac:dyDescent="0.25">
      <c r="L157" s="130" t="s">
        <v>268</v>
      </c>
      <c r="M157" s="130" t="s">
        <v>269</v>
      </c>
    </row>
    <row r="158" spans="12:13" x14ac:dyDescent="0.25">
      <c r="L158" s="130" t="s">
        <v>270</v>
      </c>
      <c r="M158" s="130" t="s">
        <v>271</v>
      </c>
    </row>
    <row r="159" spans="12:13" x14ac:dyDescent="0.25">
      <c r="L159" s="130" t="s">
        <v>272</v>
      </c>
      <c r="M159" s="130" t="s">
        <v>273</v>
      </c>
    </row>
    <row r="160" spans="12:13" x14ac:dyDescent="0.25">
      <c r="L160" s="130" t="s">
        <v>274</v>
      </c>
      <c r="M160" s="130" t="s">
        <v>275</v>
      </c>
    </row>
    <row r="161" spans="12:13" x14ac:dyDescent="0.25">
      <c r="L161" s="130" t="s">
        <v>276</v>
      </c>
      <c r="M161" s="130" t="s">
        <v>277</v>
      </c>
    </row>
    <row r="162" spans="12:13" x14ac:dyDescent="0.25">
      <c r="L162" s="130" t="s">
        <v>278</v>
      </c>
      <c r="M162" s="130" t="s">
        <v>279</v>
      </c>
    </row>
    <row r="163" spans="12:13" x14ac:dyDescent="0.25">
      <c r="L163" s="130" t="s">
        <v>280</v>
      </c>
      <c r="M163" s="130" t="s">
        <v>281</v>
      </c>
    </row>
    <row r="164" spans="12:13" x14ac:dyDescent="0.25">
      <c r="L164" s="130" t="s">
        <v>282</v>
      </c>
      <c r="M164" s="130" t="s">
        <v>283</v>
      </c>
    </row>
    <row r="165" spans="12:13" x14ac:dyDescent="0.25">
      <c r="L165" s="130" t="s">
        <v>284</v>
      </c>
      <c r="M165" s="130" t="s">
        <v>285</v>
      </c>
    </row>
    <row r="166" spans="12:13" x14ac:dyDescent="0.25">
      <c r="L166" s="130" t="s">
        <v>286</v>
      </c>
      <c r="M166" s="130" t="s">
        <v>287</v>
      </c>
    </row>
    <row r="167" spans="12:13" x14ac:dyDescent="0.25">
      <c r="L167" s="130" t="s">
        <v>288</v>
      </c>
      <c r="M167" s="130" t="s">
        <v>289</v>
      </c>
    </row>
    <row r="168" spans="12:13" x14ac:dyDescent="0.25">
      <c r="L168" s="130" t="s">
        <v>290</v>
      </c>
      <c r="M168" s="130" t="s">
        <v>291</v>
      </c>
    </row>
    <row r="169" spans="12:13" x14ac:dyDescent="0.25">
      <c r="L169" s="130" t="s">
        <v>292</v>
      </c>
      <c r="M169" s="130" t="s">
        <v>293</v>
      </c>
    </row>
    <row r="170" spans="12:13" x14ac:dyDescent="0.25">
      <c r="L170" s="130" t="s">
        <v>294</v>
      </c>
      <c r="M170" s="130" t="s">
        <v>295</v>
      </c>
    </row>
    <row r="171" spans="12:13" x14ac:dyDescent="0.25">
      <c r="L171" s="130" t="s">
        <v>296</v>
      </c>
      <c r="M171" s="130" t="s">
        <v>297</v>
      </c>
    </row>
    <row r="172" spans="12:13" x14ac:dyDescent="0.25">
      <c r="L172" s="130" t="s">
        <v>298</v>
      </c>
      <c r="M172" s="130" t="s">
        <v>299</v>
      </c>
    </row>
    <row r="173" spans="12:13" x14ac:dyDescent="0.25">
      <c r="L173" s="130" t="s">
        <v>300</v>
      </c>
      <c r="M173" s="130" t="s">
        <v>301</v>
      </c>
    </row>
    <row r="174" spans="12:13" x14ac:dyDescent="0.25">
      <c r="L174" s="130" t="s">
        <v>302</v>
      </c>
      <c r="M174" s="130" t="s">
        <v>303</v>
      </c>
    </row>
    <row r="175" spans="12:13" x14ac:dyDescent="0.25">
      <c r="L175" s="130" t="s">
        <v>304</v>
      </c>
      <c r="M175" s="130" t="s">
        <v>305</v>
      </c>
    </row>
    <row r="176" spans="12:13" x14ac:dyDescent="0.25">
      <c r="L176" s="130" t="s">
        <v>306</v>
      </c>
      <c r="M176" s="130" t="s">
        <v>307</v>
      </c>
    </row>
    <row r="177" spans="12:13" x14ac:dyDescent="0.25">
      <c r="L177" s="130" t="s">
        <v>308</v>
      </c>
      <c r="M177" s="130" t="s">
        <v>309</v>
      </c>
    </row>
    <row r="178" spans="12:13" x14ac:dyDescent="0.25">
      <c r="L178" s="130" t="s">
        <v>310</v>
      </c>
      <c r="M178" s="130" t="s">
        <v>311</v>
      </c>
    </row>
    <row r="179" spans="12:13" x14ac:dyDescent="0.25">
      <c r="L179" s="130" t="s">
        <v>312</v>
      </c>
      <c r="M179" s="130" t="s">
        <v>313</v>
      </c>
    </row>
    <row r="180" spans="12:13" x14ac:dyDescent="0.25">
      <c r="L180" s="130" t="s">
        <v>314</v>
      </c>
      <c r="M180" s="130" t="s">
        <v>315</v>
      </c>
    </row>
    <row r="181" spans="12:13" x14ac:dyDescent="0.25">
      <c r="L181" s="130" t="s">
        <v>316</v>
      </c>
      <c r="M181" s="130" t="s">
        <v>317</v>
      </c>
    </row>
    <row r="182" spans="12:13" x14ac:dyDescent="0.25">
      <c r="L182" s="130" t="s">
        <v>318</v>
      </c>
      <c r="M182" s="130" t="s">
        <v>319</v>
      </c>
    </row>
    <row r="183" spans="12:13" x14ac:dyDescent="0.25">
      <c r="L183" s="130" t="s">
        <v>320</v>
      </c>
      <c r="M183" s="130" t="s">
        <v>321</v>
      </c>
    </row>
    <row r="184" spans="12:13" x14ac:dyDescent="0.25">
      <c r="L184" s="130" t="s">
        <v>322</v>
      </c>
      <c r="M184" s="130" t="s">
        <v>323</v>
      </c>
    </row>
    <row r="185" spans="12:13" x14ac:dyDescent="0.25">
      <c r="L185" s="130" t="s">
        <v>324</v>
      </c>
      <c r="M185" s="130" t="s">
        <v>325</v>
      </c>
    </row>
    <row r="186" spans="12:13" x14ac:dyDescent="0.25">
      <c r="L186" s="130" t="s">
        <v>326</v>
      </c>
      <c r="M186" s="130" t="s">
        <v>327</v>
      </c>
    </row>
    <row r="187" spans="12:13" x14ac:dyDescent="0.25">
      <c r="L187" s="130" t="s">
        <v>328</v>
      </c>
      <c r="M187" s="130" t="s">
        <v>329</v>
      </c>
    </row>
    <row r="188" spans="12:13" x14ac:dyDescent="0.25">
      <c r="L188" s="130" t="s">
        <v>330</v>
      </c>
      <c r="M188" s="130" t="s">
        <v>331</v>
      </c>
    </row>
    <row r="189" spans="12:13" x14ac:dyDescent="0.25">
      <c r="L189" s="130" t="s">
        <v>332</v>
      </c>
      <c r="M189" s="130" t="s">
        <v>333</v>
      </c>
    </row>
    <row r="190" spans="12:13" x14ac:dyDescent="0.25">
      <c r="L190" s="130" t="s">
        <v>334</v>
      </c>
      <c r="M190" s="130" t="s">
        <v>335</v>
      </c>
    </row>
    <row r="191" spans="12:13" x14ac:dyDescent="0.25">
      <c r="L191" s="130" t="s">
        <v>336</v>
      </c>
      <c r="M191" s="130" t="s">
        <v>337</v>
      </c>
    </row>
    <row r="192" spans="12:13" x14ac:dyDescent="0.25">
      <c r="L192" s="130" t="s">
        <v>338</v>
      </c>
      <c r="M192" s="130" t="s">
        <v>339</v>
      </c>
    </row>
    <row r="193" spans="12:13" x14ac:dyDescent="0.25">
      <c r="L193" s="130" t="s">
        <v>340</v>
      </c>
      <c r="M193" s="130" t="s">
        <v>341</v>
      </c>
    </row>
    <row r="194" spans="12:13" x14ac:dyDescent="0.25">
      <c r="L194" s="130" t="s">
        <v>342</v>
      </c>
      <c r="M194" s="130" t="s">
        <v>343</v>
      </c>
    </row>
    <row r="195" spans="12:13" x14ac:dyDescent="0.25">
      <c r="L195" s="130" t="s">
        <v>344</v>
      </c>
      <c r="M195" s="130" t="s">
        <v>345</v>
      </c>
    </row>
    <row r="196" spans="12:13" x14ac:dyDescent="0.25">
      <c r="L196" s="130" t="s">
        <v>346</v>
      </c>
      <c r="M196" s="130" t="s">
        <v>347</v>
      </c>
    </row>
    <row r="197" spans="12:13" x14ac:dyDescent="0.25">
      <c r="L197" s="130" t="s">
        <v>348</v>
      </c>
      <c r="M197" s="130" t="s">
        <v>349</v>
      </c>
    </row>
    <row r="198" spans="12:13" x14ac:dyDescent="0.25">
      <c r="L198" s="130" t="s">
        <v>350</v>
      </c>
      <c r="M198" s="130" t="s">
        <v>351</v>
      </c>
    </row>
    <row r="199" spans="12:13" x14ac:dyDescent="0.25">
      <c r="L199" s="130" t="s">
        <v>352</v>
      </c>
      <c r="M199" s="130" t="s">
        <v>353</v>
      </c>
    </row>
    <row r="200" spans="12:13" x14ac:dyDescent="0.25">
      <c r="L200" s="130" t="s">
        <v>354</v>
      </c>
      <c r="M200" s="130" t="s">
        <v>355</v>
      </c>
    </row>
    <row r="201" spans="12:13" x14ac:dyDescent="0.25">
      <c r="L201" s="130" t="s">
        <v>356</v>
      </c>
      <c r="M201" s="130" t="s">
        <v>357</v>
      </c>
    </row>
    <row r="202" spans="12:13" x14ac:dyDescent="0.25">
      <c r="L202" s="130" t="s">
        <v>358</v>
      </c>
      <c r="M202" s="130" t="s">
        <v>359</v>
      </c>
    </row>
    <row r="203" spans="12:13" x14ac:dyDescent="0.25">
      <c r="L203" s="130" t="s">
        <v>360</v>
      </c>
      <c r="M203" s="130" t="s">
        <v>361</v>
      </c>
    </row>
    <row r="204" spans="12:13" x14ac:dyDescent="0.25">
      <c r="L204" s="130" t="s">
        <v>362</v>
      </c>
      <c r="M204" s="130" t="s">
        <v>363</v>
      </c>
    </row>
    <row r="205" spans="12:13" x14ac:dyDescent="0.25">
      <c r="L205" s="130" t="s">
        <v>364</v>
      </c>
      <c r="M205" s="130" t="s">
        <v>365</v>
      </c>
    </row>
    <row r="206" spans="12:13" x14ac:dyDescent="0.25">
      <c r="L206" s="130" t="s">
        <v>366</v>
      </c>
      <c r="M206" s="130" t="s">
        <v>367</v>
      </c>
    </row>
    <row r="207" spans="12:13" x14ac:dyDescent="0.25">
      <c r="L207" s="130" t="s">
        <v>368</v>
      </c>
      <c r="M207" s="130" t="s">
        <v>369</v>
      </c>
    </row>
    <row r="208" spans="12:13" x14ac:dyDescent="0.25">
      <c r="L208" s="130" t="s">
        <v>370</v>
      </c>
      <c r="M208" s="130" t="s">
        <v>371</v>
      </c>
    </row>
    <row r="209" spans="12:13" x14ac:dyDescent="0.25">
      <c r="L209" s="130" t="s">
        <v>372</v>
      </c>
      <c r="M209" s="130" t="s">
        <v>373</v>
      </c>
    </row>
    <row r="210" spans="12:13" x14ac:dyDescent="0.25">
      <c r="L210" s="130" t="s">
        <v>374</v>
      </c>
      <c r="M210" s="130" t="s">
        <v>375</v>
      </c>
    </row>
    <row r="211" spans="12:13" x14ac:dyDescent="0.25">
      <c r="L211" s="130" t="s">
        <v>376</v>
      </c>
      <c r="M211" s="130" t="s">
        <v>377</v>
      </c>
    </row>
    <row r="212" spans="12:13" x14ac:dyDescent="0.25">
      <c r="L212" s="130" t="s">
        <v>378</v>
      </c>
      <c r="M212" s="130" t="s">
        <v>379</v>
      </c>
    </row>
    <row r="213" spans="12:13" x14ac:dyDescent="0.25">
      <c r="L213" s="130" t="s">
        <v>380</v>
      </c>
      <c r="M213" s="130" t="s">
        <v>381</v>
      </c>
    </row>
    <row r="214" spans="12:13" x14ac:dyDescent="0.25">
      <c r="L214" s="130" t="s">
        <v>382</v>
      </c>
      <c r="M214" s="130" t="s">
        <v>383</v>
      </c>
    </row>
    <row r="215" spans="12:13" x14ac:dyDescent="0.25">
      <c r="L215" s="130" t="s">
        <v>384</v>
      </c>
      <c r="M215" s="130" t="s">
        <v>385</v>
      </c>
    </row>
    <row r="216" spans="12:13" x14ac:dyDescent="0.25">
      <c r="L216" s="130" t="s">
        <v>386</v>
      </c>
      <c r="M216" s="130" t="s">
        <v>387</v>
      </c>
    </row>
    <row r="217" spans="12:13" x14ac:dyDescent="0.25">
      <c r="L217" s="130" t="s">
        <v>388</v>
      </c>
      <c r="M217" s="130" t="s">
        <v>389</v>
      </c>
    </row>
    <row r="218" spans="12:13" x14ac:dyDescent="0.25">
      <c r="L218" s="130" t="s">
        <v>390</v>
      </c>
      <c r="M218" s="130" t="s">
        <v>391</v>
      </c>
    </row>
    <row r="219" spans="12:13" x14ac:dyDescent="0.25">
      <c r="L219" s="130" t="s">
        <v>392</v>
      </c>
      <c r="M219" s="130" t="s">
        <v>393</v>
      </c>
    </row>
    <row r="220" spans="12:13" x14ac:dyDescent="0.25">
      <c r="L220" s="130" t="s">
        <v>394</v>
      </c>
      <c r="M220" s="130" t="s">
        <v>395</v>
      </c>
    </row>
    <row r="221" spans="12:13" x14ac:dyDescent="0.25">
      <c r="L221" s="130" t="s">
        <v>396</v>
      </c>
      <c r="M221" s="130" t="s">
        <v>397</v>
      </c>
    </row>
    <row r="222" spans="12:13" x14ac:dyDescent="0.25">
      <c r="L222" s="130" t="s">
        <v>398</v>
      </c>
      <c r="M222" s="130" t="s">
        <v>399</v>
      </c>
    </row>
    <row r="223" spans="12:13" x14ac:dyDescent="0.25">
      <c r="L223" s="130" t="s">
        <v>400</v>
      </c>
      <c r="M223" s="130" t="s">
        <v>401</v>
      </c>
    </row>
    <row r="224" spans="12:13" x14ac:dyDescent="0.25">
      <c r="L224" s="130" t="s">
        <v>402</v>
      </c>
      <c r="M224" s="130" t="s">
        <v>403</v>
      </c>
    </row>
    <row r="225" spans="12:13" x14ac:dyDescent="0.25">
      <c r="L225" s="130" t="s">
        <v>404</v>
      </c>
      <c r="M225" s="130" t="s">
        <v>405</v>
      </c>
    </row>
    <row r="226" spans="12:13" x14ac:dyDescent="0.25">
      <c r="L226" s="130" t="s">
        <v>406</v>
      </c>
      <c r="M226" s="130" t="s">
        <v>407</v>
      </c>
    </row>
    <row r="227" spans="12:13" x14ac:dyDescent="0.25">
      <c r="L227" s="130" t="s">
        <v>408</v>
      </c>
      <c r="M227" s="130" t="s">
        <v>409</v>
      </c>
    </row>
    <row r="228" spans="12:13" x14ac:dyDescent="0.25">
      <c r="L228" s="130" t="s">
        <v>410</v>
      </c>
      <c r="M228" s="130" t="s">
        <v>411</v>
      </c>
    </row>
    <row r="229" spans="12:13" x14ac:dyDescent="0.25">
      <c r="L229" s="130" t="s">
        <v>412</v>
      </c>
      <c r="M229" s="130" t="s">
        <v>413</v>
      </c>
    </row>
    <row r="230" spans="12:13" x14ac:dyDescent="0.25">
      <c r="L230" s="130" t="s">
        <v>414</v>
      </c>
      <c r="M230" s="130" t="s">
        <v>415</v>
      </c>
    </row>
    <row r="231" spans="12:13" x14ac:dyDescent="0.25">
      <c r="L231" s="130" t="s">
        <v>416</v>
      </c>
      <c r="M231" s="130" t="s">
        <v>417</v>
      </c>
    </row>
    <row r="232" spans="12:13" x14ac:dyDescent="0.25">
      <c r="L232" s="130" t="s">
        <v>418</v>
      </c>
      <c r="M232" s="130" t="s">
        <v>419</v>
      </c>
    </row>
    <row r="233" spans="12:13" x14ac:dyDescent="0.25">
      <c r="L233" s="130" t="s">
        <v>420</v>
      </c>
      <c r="M233" s="130" t="s">
        <v>421</v>
      </c>
    </row>
    <row r="234" spans="12:13" x14ac:dyDescent="0.25">
      <c r="L234" s="130" t="s">
        <v>422</v>
      </c>
      <c r="M234" s="130" t="s">
        <v>423</v>
      </c>
    </row>
    <row r="235" spans="12:13" x14ac:dyDescent="0.25">
      <c r="L235" s="130" t="s">
        <v>424</v>
      </c>
      <c r="M235" s="130" t="s">
        <v>425</v>
      </c>
    </row>
    <row r="236" spans="12:13" x14ac:dyDescent="0.25">
      <c r="L236" s="130" t="s">
        <v>426</v>
      </c>
      <c r="M236" s="130" t="s">
        <v>427</v>
      </c>
    </row>
    <row r="237" spans="12:13" x14ac:dyDescent="0.25">
      <c r="L237" s="130" t="s">
        <v>428</v>
      </c>
      <c r="M237" s="130" t="s">
        <v>429</v>
      </c>
    </row>
    <row r="238" spans="12:13" x14ac:dyDescent="0.25">
      <c r="L238" s="130" t="s">
        <v>430</v>
      </c>
      <c r="M238" s="130" t="s">
        <v>431</v>
      </c>
    </row>
    <row r="239" spans="12:13" x14ac:dyDescent="0.25">
      <c r="L239" s="130" t="s">
        <v>432</v>
      </c>
      <c r="M239" s="130" t="s">
        <v>433</v>
      </c>
    </row>
    <row r="240" spans="12:13" x14ac:dyDescent="0.25">
      <c r="L240" s="130" t="s">
        <v>434</v>
      </c>
      <c r="M240" s="130" t="s">
        <v>435</v>
      </c>
    </row>
    <row r="241" spans="12:13" x14ac:dyDescent="0.25">
      <c r="L241" s="130" t="s">
        <v>436</v>
      </c>
      <c r="M241" s="130" t="s">
        <v>437</v>
      </c>
    </row>
    <row r="242" spans="12:13" x14ac:dyDescent="0.25">
      <c r="L242" s="130" t="s">
        <v>438</v>
      </c>
      <c r="M242" s="130" t="s">
        <v>439</v>
      </c>
    </row>
    <row r="243" spans="12:13" x14ac:dyDescent="0.25">
      <c r="L243" s="130" t="s">
        <v>440</v>
      </c>
      <c r="M243" s="130" t="s">
        <v>441</v>
      </c>
    </row>
    <row r="244" spans="12:13" x14ac:dyDescent="0.25">
      <c r="L244" s="130" t="s">
        <v>442</v>
      </c>
      <c r="M244" s="130" t="s">
        <v>443</v>
      </c>
    </row>
    <row r="245" spans="12:13" x14ac:dyDescent="0.25">
      <c r="L245" s="130" t="s">
        <v>444</v>
      </c>
      <c r="M245" s="130" t="s">
        <v>445</v>
      </c>
    </row>
    <row r="246" spans="12:13" x14ac:dyDescent="0.25">
      <c r="L246" s="130" t="s">
        <v>446</v>
      </c>
      <c r="M246" s="130" t="s">
        <v>447</v>
      </c>
    </row>
    <row r="247" spans="12:13" x14ac:dyDescent="0.25">
      <c r="L247" s="130" t="s">
        <v>448</v>
      </c>
      <c r="M247" s="130" t="s">
        <v>449</v>
      </c>
    </row>
    <row r="248" spans="12:13" x14ac:dyDescent="0.25">
      <c r="L248" s="130" t="s">
        <v>450</v>
      </c>
      <c r="M248" s="130" t="s">
        <v>451</v>
      </c>
    </row>
    <row r="249" spans="12:13" x14ac:dyDescent="0.25">
      <c r="L249" s="130" t="s">
        <v>452</v>
      </c>
      <c r="M249" s="130" t="s">
        <v>453</v>
      </c>
    </row>
    <row r="250" spans="12:13" x14ac:dyDescent="0.25">
      <c r="L250" s="130" t="s">
        <v>454</v>
      </c>
      <c r="M250" s="130" t="s">
        <v>455</v>
      </c>
    </row>
    <row r="251" spans="12:13" x14ac:dyDescent="0.25">
      <c r="L251" s="130" t="s">
        <v>456</v>
      </c>
      <c r="M251" s="130" t="s">
        <v>457</v>
      </c>
    </row>
    <row r="252" spans="12:13" x14ac:dyDescent="0.25">
      <c r="L252" s="130" t="s">
        <v>458</v>
      </c>
      <c r="M252" s="130" t="s">
        <v>459</v>
      </c>
    </row>
    <row r="253" spans="12:13" x14ac:dyDescent="0.25">
      <c r="L253" s="130" t="s">
        <v>460</v>
      </c>
      <c r="M253" s="130" t="s">
        <v>461</v>
      </c>
    </row>
    <row r="254" spans="12:13" x14ac:dyDescent="0.25">
      <c r="L254" s="130" t="s">
        <v>462</v>
      </c>
      <c r="M254" s="130" t="s">
        <v>463</v>
      </c>
    </row>
    <row r="255" spans="12:13" x14ac:dyDescent="0.25">
      <c r="L255" s="130" t="s">
        <v>464</v>
      </c>
      <c r="M255" s="130" t="s">
        <v>465</v>
      </c>
    </row>
    <row r="256" spans="12:13" x14ac:dyDescent="0.25">
      <c r="L256" s="130" t="s">
        <v>466</v>
      </c>
      <c r="M256" s="130" t="s">
        <v>467</v>
      </c>
    </row>
    <row r="257" spans="12:13" x14ac:dyDescent="0.25">
      <c r="L257" s="130" t="s">
        <v>468</v>
      </c>
      <c r="M257" s="130" t="s">
        <v>469</v>
      </c>
    </row>
    <row r="258" spans="12:13" x14ac:dyDescent="0.25">
      <c r="L258" s="130" t="s">
        <v>470</v>
      </c>
      <c r="M258" s="130" t="s">
        <v>471</v>
      </c>
    </row>
    <row r="259" spans="12:13" x14ac:dyDescent="0.25">
      <c r="L259" s="130" t="s">
        <v>472</v>
      </c>
      <c r="M259" s="130" t="s">
        <v>473</v>
      </c>
    </row>
    <row r="260" spans="12:13" x14ac:dyDescent="0.25">
      <c r="L260" s="130" t="s">
        <v>474</v>
      </c>
      <c r="M260" s="130" t="s">
        <v>475</v>
      </c>
    </row>
    <row r="261" spans="12:13" x14ac:dyDescent="0.25">
      <c r="L261" s="130" t="s">
        <v>476</v>
      </c>
      <c r="M261" s="130" t="s">
        <v>477</v>
      </c>
    </row>
    <row r="262" spans="12:13" x14ac:dyDescent="0.25">
      <c r="L262" s="130" t="s">
        <v>478</v>
      </c>
      <c r="M262" s="130" t="s">
        <v>479</v>
      </c>
    </row>
    <row r="263" spans="12:13" x14ac:dyDescent="0.25">
      <c r="L263" s="130" t="s">
        <v>480</v>
      </c>
      <c r="M263" s="130" t="s">
        <v>481</v>
      </c>
    </row>
    <row r="264" spans="12:13" x14ac:dyDescent="0.25">
      <c r="L264" s="130" t="s">
        <v>482</v>
      </c>
      <c r="M264" s="130" t="s">
        <v>483</v>
      </c>
    </row>
    <row r="265" spans="12:13" x14ac:dyDescent="0.25">
      <c r="L265" s="130" t="s">
        <v>484</v>
      </c>
      <c r="M265" s="130" t="s">
        <v>485</v>
      </c>
    </row>
    <row r="266" spans="12:13" x14ac:dyDescent="0.25">
      <c r="L266" s="130" t="s">
        <v>486</v>
      </c>
      <c r="M266" s="130" t="s">
        <v>487</v>
      </c>
    </row>
    <row r="267" spans="12:13" x14ac:dyDescent="0.25">
      <c r="L267" s="130" t="s">
        <v>488</v>
      </c>
      <c r="M267" s="130" t="s">
        <v>489</v>
      </c>
    </row>
    <row r="268" spans="12:13" x14ac:dyDescent="0.25">
      <c r="L268" s="130" t="s">
        <v>490</v>
      </c>
      <c r="M268" s="130" t="s">
        <v>491</v>
      </c>
    </row>
    <row r="269" spans="12:13" x14ac:dyDescent="0.25">
      <c r="L269" s="130" t="s">
        <v>492</v>
      </c>
      <c r="M269" s="130" t="s">
        <v>493</v>
      </c>
    </row>
    <row r="271" spans="12:13" x14ac:dyDescent="0.25">
      <c r="L271" s="131" t="s">
        <v>498</v>
      </c>
    </row>
    <row r="272" spans="12:13" x14ac:dyDescent="0.25">
      <c r="L272" s="130" t="s">
        <v>499</v>
      </c>
    </row>
    <row r="273" spans="12:12" x14ac:dyDescent="0.25">
      <c r="L273" s="130" t="s">
        <v>500</v>
      </c>
    </row>
    <row r="274" spans="12:12" x14ac:dyDescent="0.25">
      <c r="L274" s="130" t="s">
        <v>501</v>
      </c>
    </row>
    <row r="275" spans="12:12" x14ac:dyDescent="0.25">
      <c r="L275" s="130" t="s">
        <v>502</v>
      </c>
    </row>
    <row r="276" spans="12:12" x14ac:dyDescent="0.25">
      <c r="L276" s="130" t="s">
        <v>503</v>
      </c>
    </row>
    <row r="277" spans="12:12" x14ac:dyDescent="0.25">
      <c r="L277" s="130" t="s">
        <v>504</v>
      </c>
    </row>
    <row r="278" spans="12:12" x14ac:dyDescent="0.25">
      <c r="L278" s="130" t="s">
        <v>505</v>
      </c>
    </row>
    <row r="279" spans="12:12" x14ac:dyDescent="0.25">
      <c r="L279" s="130" t="s">
        <v>506</v>
      </c>
    </row>
    <row r="280" spans="12:12" x14ac:dyDescent="0.25">
      <c r="L280" s="130" t="s">
        <v>507</v>
      </c>
    </row>
    <row r="281" spans="12:12" x14ac:dyDescent="0.25">
      <c r="L281" s="130" t="s">
        <v>508</v>
      </c>
    </row>
    <row r="282" spans="12:12" x14ac:dyDescent="0.25">
      <c r="L282" s="130" t="s">
        <v>509</v>
      </c>
    </row>
    <row r="283" spans="12:12" x14ac:dyDescent="0.25">
      <c r="L283" s="130" t="s">
        <v>510</v>
      </c>
    </row>
    <row r="284" spans="12:12" x14ac:dyDescent="0.25">
      <c r="L284" s="130" t="s">
        <v>511</v>
      </c>
    </row>
    <row r="285" spans="12:12" x14ac:dyDescent="0.25">
      <c r="L285" s="130" t="s">
        <v>512</v>
      </c>
    </row>
    <row r="286" spans="12:12" x14ac:dyDescent="0.25">
      <c r="L286" s="130" t="s">
        <v>513</v>
      </c>
    </row>
    <row r="287" spans="12:12" x14ac:dyDescent="0.25">
      <c r="L287" s="130" t="s">
        <v>514</v>
      </c>
    </row>
    <row r="288" spans="12:12" x14ac:dyDescent="0.25">
      <c r="L288" s="130" t="s">
        <v>515</v>
      </c>
    </row>
    <row r="289" spans="12:12" x14ac:dyDescent="0.25">
      <c r="L289" s="130" t="s">
        <v>516</v>
      </c>
    </row>
    <row r="290" spans="12:12" x14ac:dyDescent="0.25">
      <c r="L290" s="130" t="s">
        <v>517</v>
      </c>
    </row>
    <row r="291" spans="12:12" x14ac:dyDescent="0.25">
      <c r="L291" s="130" t="s">
        <v>518</v>
      </c>
    </row>
    <row r="292" spans="12:12" x14ac:dyDescent="0.25">
      <c r="L292" s="130" t="s">
        <v>519</v>
      </c>
    </row>
    <row r="293" spans="12:12" x14ac:dyDescent="0.25">
      <c r="L293" s="130" t="s">
        <v>520</v>
      </c>
    </row>
    <row r="294" spans="12:12" x14ac:dyDescent="0.25">
      <c r="L294" s="130" t="s">
        <v>521</v>
      </c>
    </row>
    <row r="295" spans="12:12" x14ac:dyDescent="0.25">
      <c r="L295" s="130" t="s">
        <v>522</v>
      </c>
    </row>
    <row r="296" spans="12:12" x14ac:dyDescent="0.25">
      <c r="L296" s="130" t="s">
        <v>523</v>
      </c>
    </row>
    <row r="297" spans="12:12" x14ac:dyDescent="0.25">
      <c r="L297" s="130" t="s">
        <v>524</v>
      </c>
    </row>
    <row r="298" spans="12:12" x14ac:dyDescent="0.25">
      <c r="L298" s="130" t="s">
        <v>525</v>
      </c>
    </row>
    <row r="300" spans="12:12" x14ac:dyDescent="0.25">
      <c r="L300" s="131" t="s">
        <v>526</v>
      </c>
    </row>
    <row r="301" spans="12:12" x14ac:dyDescent="0.25">
      <c r="L301" s="130" t="s">
        <v>527</v>
      </c>
    </row>
    <row r="302" spans="12:12" x14ac:dyDescent="0.25">
      <c r="L302" s="130" t="s">
        <v>528</v>
      </c>
    </row>
    <row r="303" spans="12:12" x14ac:dyDescent="0.25">
      <c r="L303" s="130" t="s">
        <v>529</v>
      </c>
    </row>
    <row r="304" spans="12:12" x14ac:dyDescent="0.25">
      <c r="L304" s="130" t="s">
        <v>530</v>
      </c>
    </row>
    <row r="305" spans="12:12" x14ac:dyDescent="0.25">
      <c r="L305" s="130" t="s">
        <v>531</v>
      </c>
    </row>
    <row r="306" spans="12:12" x14ac:dyDescent="0.25">
      <c r="L306" s="130" t="s">
        <v>532</v>
      </c>
    </row>
    <row r="307" spans="12:12" x14ac:dyDescent="0.25">
      <c r="L307" s="130" t="s">
        <v>533</v>
      </c>
    </row>
    <row r="308" spans="12:12" x14ac:dyDescent="0.25">
      <c r="L308" s="130" t="s">
        <v>534</v>
      </c>
    </row>
    <row r="309" spans="12:12" x14ac:dyDescent="0.25">
      <c r="L309" s="130" t="s">
        <v>535</v>
      </c>
    </row>
    <row r="310" spans="12:12" x14ac:dyDescent="0.25">
      <c r="L310" s="130" t="s">
        <v>536</v>
      </c>
    </row>
    <row r="311" spans="12:12" x14ac:dyDescent="0.25">
      <c r="L311" s="130" t="s">
        <v>537</v>
      </c>
    </row>
    <row r="312" spans="12:12" x14ac:dyDescent="0.25">
      <c r="L312" s="130" t="s">
        <v>538</v>
      </c>
    </row>
    <row r="313" spans="12:12" x14ac:dyDescent="0.25">
      <c r="L313" s="130" t="s">
        <v>539</v>
      </c>
    </row>
    <row r="314" spans="12:12" x14ac:dyDescent="0.25">
      <c r="L314" s="130" t="s">
        <v>540</v>
      </c>
    </row>
    <row r="315" spans="12:12" x14ac:dyDescent="0.25">
      <c r="L315" s="130" t="s">
        <v>541</v>
      </c>
    </row>
    <row r="316" spans="12:12" x14ac:dyDescent="0.25">
      <c r="L316" s="130" t="s">
        <v>542</v>
      </c>
    </row>
    <row r="317" spans="12:12" x14ac:dyDescent="0.25">
      <c r="L317" s="130" t="s">
        <v>543</v>
      </c>
    </row>
    <row r="318" spans="12:12" x14ac:dyDescent="0.25">
      <c r="L318" s="130" t="s">
        <v>544</v>
      </c>
    </row>
    <row r="319" spans="12:12" x14ac:dyDescent="0.25">
      <c r="L319" s="130" t="s">
        <v>545</v>
      </c>
    </row>
  </sheetData>
  <sheetProtection algorithmName="SHA-512" hashValue="iV3rLUN50kd8hQFnSELIDJXj9yhtm+QNzSQjwGeXQ80sRFlul78blTEzeiTYZWEIuHZ3SrsQfni/a9sb3Ouj2A==" saltValue="msgATsbMm/0DkkC9ElUTZg==" spinCount="100000" sheet="1" objects="1" scenarios="1"/>
  <mergeCells count="6">
    <mergeCell ref="C17:E17"/>
    <mergeCell ref="C26:F26"/>
    <mergeCell ref="C18:E18"/>
    <mergeCell ref="C3:F3"/>
    <mergeCell ref="C15:E15"/>
    <mergeCell ref="C16:E16"/>
  </mergeCells>
  <dataValidations count="5">
    <dataValidation type="list" allowBlank="1" showInputMessage="1" showErrorMessage="1" sqref="F21" xr:uid="{00000000-0002-0000-0000-000000000000}">
      <formula1>newMet</formula1>
    </dataValidation>
    <dataValidation type="whole" allowBlank="1" showInputMessage="1" showErrorMessage="1" error="Character are not allowed in this field." sqref="F18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decimal" allowBlank="1" showInputMessage="1" showErrorMessage="1" error="Character are not allowed in this field." sqref="F16:F17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22</xdr:row>
                    <xdr:rowOff>76200</xdr:rowOff>
                  </from>
                  <to>
                    <xdr:col>3</xdr:col>
                    <xdr:colOff>561975</xdr:colOff>
                    <xdr:row>22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22</xdr:row>
                    <xdr:rowOff>76200</xdr:rowOff>
                  </from>
                  <to>
                    <xdr:col>3</xdr:col>
                    <xdr:colOff>1895475</xdr:colOff>
                    <xdr:row>22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603</v>
      </c>
      <c r="B1" s="6" t="str">
        <f ca="1">MID(CELL("filename",A1),FIND("]",CELL("filename",A1))+1,256)</f>
        <v>base_w</v>
      </c>
      <c r="C1" s="1"/>
      <c r="D1" s="243" t="str">
        <f ca="1">B1</f>
        <v>base_w</v>
      </c>
      <c r="E1" s="1"/>
    </row>
    <row r="2" spans="1:9" x14ac:dyDescent="0.25">
      <c r="A2" s="6" t="s">
        <v>603</v>
      </c>
      <c r="B2" s="233" t="s">
        <v>570</v>
      </c>
      <c r="C2" s="241"/>
      <c r="D2" s="234"/>
      <c r="E2" s="1"/>
    </row>
    <row r="3" spans="1:9" x14ac:dyDescent="0.25">
      <c r="A3" s="6" t="s">
        <v>603</v>
      </c>
      <c r="B3" s="232" t="s">
        <v>700</v>
      </c>
      <c r="C3" s="242"/>
      <c r="D3" s="234" t="s">
        <v>695</v>
      </c>
      <c r="E3" s="1"/>
    </row>
    <row r="4" spans="1:9" x14ac:dyDescent="0.25">
      <c r="A4" s="6" t="s">
        <v>603</v>
      </c>
      <c r="B4" s="232" t="s">
        <v>571</v>
      </c>
      <c r="C4" s="242"/>
      <c r="D4" s="234" t="s">
        <v>530</v>
      </c>
      <c r="E4" s="1"/>
    </row>
    <row r="5" spans="1:9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9" ht="24.75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8"/>
      <c r="C7" s="48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695</v>
      </c>
    </row>
    <row r="10" spans="1:9" ht="25.5" customHeight="1" x14ac:dyDescent="0.25">
      <c r="A10" s="6" t="s">
        <v>551</v>
      </c>
      <c r="B10" s="34"/>
      <c r="C10" s="34"/>
      <c r="D10" s="34"/>
      <c r="E10" s="1"/>
      <c r="I10" t="s">
        <v>696</v>
      </c>
    </row>
    <row r="11" spans="1:9" x14ac:dyDescent="0.25">
      <c r="I11" t="s">
        <v>697</v>
      </c>
    </row>
    <row r="15" spans="1:9" x14ac:dyDescent="0.25">
      <c r="H15" s="5" t="s">
        <v>530</v>
      </c>
    </row>
    <row r="16" spans="1:9" x14ac:dyDescent="0.25">
      <c r="H16" s="5" t="s">
        <v>533</v>
      </c>
    </row>
    <row r="17" spans="8:8" x14ac:dyDescent="0.25">
      <c r="H17" s="5" t="s">
        <v>552</v>
      </c>
    </row>
    <row r="18" spans="8:8" x14ac:dyDescent="0.25">
      <c r="H18" s="5" t="s">
        <v>553</v>
      </c>
    </row>
    <row r="19" spans="8:8" x14ac:dyDescent="0.25">
      <c r="H19" s="5" t="s">
        <v>527</v>
      </c>
    </row>
    <row r="20" spans="8:8" x14ac:dyDescent="0.25">
      <c r="H20" s="5" t="s">
        <v>532</v>
      </c>
    </row>
    <row r="21" spans="8:8" x14ac:dyDescent="0.25">
      <c r="H21" s="5" t="s">
        <v>547</v>
      </c>
    </row>
    <row r="22" spans="8:8" x14ac:dyDescent="0.25">
      <c r="H22" s="5" t="s">
        <v>566</v>
      </c>
    </row>
    <row r="23" spans="8:8" x14ac:dyDescent="0.25">
      <c r="H23" s="5" t="s">
        <v>529</v>
      </c>
    </row>
    <row r="24" spans="8:8" x14ac:dyDescent="0.25">
      <c r="H24" s="3" t="s">
        <v>548</v>
      </c>
    </row>
    <row r="25" spans="8:8" x14ac:dyDescent="0.25">
      <c r="H25" s="3" t="s">
        <v>567</v>
      </c>
    </row>
    <row r="26" spans="8:8" x14ac:dyDescent="0.25">
      <c r="H26" s="3" t="s">
        <v>568</v>
      </c>
    </row>
    <row r="27" spans="8:8" x14ac:dyDescent="0.25">
      <c r="H27" s="5" t="s">
        <v>698</v>
      </c>
    </row>
    <row r="28" spans="8:8" x14ac:dyDescent="0.25">
      <c r="H28" s="5" t="s">
        <v>699</v>
      </c>
    </row>
    <row r="29" spans="8:8" x14ac:dyDescent="0.25">
      <c r="H29" s="5" t="s">
        <v>693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sheetProtection algorithmName="SHA-512" hashValue="4bysKZ6i/SZv5FSh3AUZLmPiIPMzRKfYD6eZKQHTnGmyV/SqfYkFdw03qrO3xFypvnGbotcp9FvRNh4SOXlvUA==" saltValue="iDEeznwKdfDP0+F+eNASyg==" spinCount="100000" sheet="1" objects="1" scenarios="1"/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5" sqref="D5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10" ht="15" customHeight="1" x14ac:dyDescent="0.25">
      <c r="A1" s="6" t="s">
        <v>603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603</v>
      </c>
      <c r="B2" s="233" t="s">
        <v>570</v>
      </c>
      <c r="C2" s="241"/>
      <c r="D2" s="234"/>
      <c r="E2" s="1"/>
    </row>
    <row r="3" spans="1:10" x14ac:dyDescent="0.25">
      <c r="A3" s="6" t="s">
        <v>603</v>
      </c>
      <c r="B3" s="232" t="s">
        <v>700</v>
      </c>
      <c r="C3" s="242"/>
      <c r="D3" s="234" t="s">
        <v>694</v>
      </c>
      <c r="E3" s="1"/>
    </row>
    <row r="4" spans="1:10" x14ac:dyDescent="0.25">
      <c r="A4" s="6" t="s">
        <v>603</v>
      </c>
      <c r="B4" s="232" t="s">
        <v>571</v>
      </c>
      <c r="C4" s="242"/>
      <c r="D4" s="234" t="s">
        <v>535</v>
      </c>
      <c r="E4" s="1"/>
    </row>
    <row r="5" spans="1:10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10" ht="24" customHeight="1" x14ac:dyDescent="0.25">
      <c r="A6" s="6">
        <v>10</v>
      </c>
      <c r="B6" s="237" t="s">
        <v>549</v>
      </c>
      <c r="C6" s="237" t="s">
        <v>550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8"/>
      <c r="C7" s="48"/>
      <c r="D7" s="31"/>
      <c r="E7" s="1"/>
    </row>
    <row r="8" spans="1:10" ht="12.75" customHeight="1" x14ac:dyDescent="0.25">
      <c r="A8" s="28"/>
      <c r="B8" s="33"/>
      <c r="C8" s="33"/>
      <c r="D8" s="36"/>
      <c r="E8" s="1"/>
      <c r="J8" s="3" t="s">
        <v>554</v>
      </c>
    </row>
    <row r="9" spans="1:10" ht="13.5" hidden="1" customHeight="1" x14ac:dyDescent="0.25">
      <c r="A9" s="6"/>
      <c r="B9" s="34"/>
      <c r="C9" s="34"/>
      <c r="D9" s="34"/>
      <c r="E9" s="1"/>
      <c r="J9" s="5" t="s">
        <v>694</v>
      </c>
    </row>
    <row r="10" spans="1:10" ht="25.5" customHeight="1" x14ac:dyDescent="0.25">
      <c r="A10" s="6" t="s">
        <v>551</v>
      </c>
      <c r="B10" s="34"/>
      <c r="C10" s="34"/>
      <c r="D10" s="34"/>
      <c r="E10" s="1"/>
      <c r="J10" s="3" t="s">
        <v>702</v>
      </c>
    </row>
    <row r="15" spans="1:10" x14ac:dyDescent="0.25">
      <c r="G15" s="3" t="s">
        <v>535</v>
      </c>
    </row>
    <row r="16" spans="1:10" x14ac:dyDescent="0.25">
      <c r="G16" s="3" t="s">
        <v>542</v>
      </c>
    </row>
    <row r="17" spans="7:7" x14ac:dyDescent="0.25">
      <c r="G17" s="3" t="s">
        <v>557</v>
      </c>
    </row>
    <row r="18" spans="7:7" x14ac:dyDescent="0.25">
      <c r="G18" s="3" t="s">
        <v>531</v>
      </c>
    </row>
    <row r="19" spans="7:7" x14ac:dyDescent="0.25">
      <c r="G19" s="3" t="s">
        <v>555</v>
      </c>
    </row>
    <row r="21" spans="7:7" x14ac:dyDescent="0.25">
      <c r="G21" s="3" t="s">
        <v>554</v>
      </c>
    </row>
  </sheetData>
  <sheetProtection algorithmName="SHA-512" hashValue="unwfHWznGkAUkYmO+H3/wgIgxNr5CP4zlW0GIcTWt54jl6jmmNWZtGSb35fJia5/Rh8oBhlYdroxZChf4W/9Mg==" saltValue="KyM7lgyjILnQNmZnHBQ4dg==" spinCount="100000" sheet="1" objects="1" scenarios="1"/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Data Source" error="It can only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603</v>
      </c>
      <c r="B2" s="233" t="s">
        <v>570</v>
      </c>
      <c r="C2" s="238"/>
      <c r="D2" s="234"/>
      <c r="E2" s="1"/>
    </row>
    <row r="3" spans="1:24" ht="29.25" customHeight="1" x14ac:dyDescent="0.25">
      <c r="A3" s="6" t="s">
        <v>603</v>
      </c>
      <c r="B3" s="232" t="s">
        <v>572</v>
      </c>
      <c r="C3" s="239"/>
      <c r="D3" s="235" t="s">
        <v>518</v>
      </c>
      <c r="E3" s="1"/>
    </row>
    <row r="4" spans="1:24" ht="15.75" customHeight="1" x14ac:dyDescent="0.25">
      <c r="A4" s="6" t="s">
        <v>603</v>
      </c>
      <c r="B4" s="232" t="s">
        <v>571</v>
      </c>
      <c r="C4" s="12"/>
      <c r="D4" s="236" t="s">
        <v>535</v>
      </c>
      <c r="E4" s="1"/>
    </row>
    <row r="5" spans="1:24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24" ht="24" customHeight="1" x14ac:dyDescent="0.25">
      <c r="A6" s="6">
        <v>10</v>
      </c>
      <c r="B6" s="237" t="s">
        <v>549</v>
      </c>
      <c r="C6" s="237" t="s">
        <v>550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8"/>
      <c r="C7" s="48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2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2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2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2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2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2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2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2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2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2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2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2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2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CH1EjZNebPwczvA53w5AzPT0ivTqoi548Q8OgHgZVNBXSwRBtWdUGWsrulB+RvVg1Mj2cr3urWxhI7JTkUGpVA==" saltValue="yXhW++TSoxDrEeND3YMNIw==" spinCount="100000" sheet="1" objects="1" scenarios="1"/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only accept 40 characters.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L26"/>
  <sheetViews>
    <sheetView showGridLines="0" topLeftCell="A3" zoomScale="90" zoomScaleNormal="90" workbookViewId="0">
      <selection activeCell="E23" sqref="E23"/>
    </sheetView>
  </sheetViews>
  <sheetFormatPr defaultColWidth="9.140625" defaultRowHeight="12.75" x14ac:dyDescent="0.2"/>
  <cols>
    <col min="1" max="1" width="2.7109375" style="227" customWidth="1"/>
    <col min="2" max="2" width="38.5703125" style="161" customWidth="1"/>
    <col min="3" max="3" width="45.7109375" style="184" customWidth="1"/>
    <col min="4" max="4" width="15.7109375" style="184" customWidth="1"/>
    <col min="5" max="5" width="14.7109375" style="184" customWidth="1"/>
    <col min="6" max="6" width="19.85546875" style="184" customWidth="1"/>
    <col min="7" max="9" width="14.7109375" style="184" customWidth="1"/>
    <col min="10" max="11" width="9.140625" style="161" hidden="1" customWidth="1"/>
    <col min="12" max="12" width="9.140625" style="161" customWidth="1"/>
    <col min="13" max="13" width="16.7109375" style="161" customWidth="1"/>
    <col min="14" max="16384" width="9.140625" style="161"/>
  </cols>
  <sheetData>
    <row r="1" spans="1:12" s="157" customFormat="1" ht="15" customHeight="1" x14ac:dyDescent="0.2">
      <c r="A1" s="222"/>
      <c r="B1" s="154"/>
      <c r="C1" s="155"/>
      <c r="D1" s="155"/>
      <c r="E1" s="155"/>
      <c r="F1" s="155"/>
      <c r="G1" s="155"/>
      <c r="H1" s="155"/>
      <c r="I1" s="155"/>
      <c r="J1" s="156"/>
    </row>
    <row r="2" spans="1:12" s="157" customFormat="1" ht="20.25" customHeight="1" x14ac:dyDescent="0.2">
      <c r="A2" s="223"/>
      <c r="B2" s="158" t="s">
        <v>623</v>
      </c>
      <c r="C2" s="159"/>
      <c r="D2" s="159"/>
      <c r="E2" s="159"/>
      <c r="F2" s="159"/>
      <c r="G2" s="159"/>
      <c r="H2" s="159"/>
      <c r="I2" s="159"/>
    </row>
    <row r="3" spans="1:12" s="157" customFormat="1" ht="14.25" customHeight="1" x14ac:dyDescent="0.2">
      <c r="A3" s="222"/>
      <c r="B3" s="154"/>
      <c r="C3" s="155"/>
      <c r="D3" s="155"/>
      <c r="E3" s="155"/>
      <c r="F3" s="155"/>
      <c r="G3" s="155"/>
      <c r="H3" s="155"/>
      <c r="I3" s="155"/>
    </row>
    <row r="4" spans="1:12" ht="46.15" customHeight="1" x14ac:dyDescent="0.2">
      <c r="A4" s="224"/>
      <c r="B4" s="267" t="s">
        <v>606</v>
      </c>
      <c r="C4" s="267"/>
      <c r="D4" s="267"/>
      <c r="E4" s="267"/>
      <c r="F4" s="267"/>
      <c r="G4" s="267"/>
      <c r="H4" s="267"/>
      <c r="I4" s="267"/>
    </row>
    <row r="5" spans="1:12" ht="17.45" customHeight="1" x14ac:dyDescent="0.2">
      <c r="A5" s="225"/>
      <c r="B5" s="162"/>
      <c r="C5" s="163"/>
      <c r="D5" s="163"/>
      <c r="E5" s="163"/>
      <c r="F5" s="164"/>
      <c r="G5" s="165" t="s">
        <v>607</v>
      </c>
      <c r="H5" s="166"/>
      <c r="I5" s="167"/>
      <c r="J5" s="168"/>
      <c r="K5" s="168"/>
      <c r="L5" s="160"/>
    </row>
    <row r="6" spans="1:12" ht="44.45" customHeight="1" x14ac:dyDescent="0.2">
      <c r="A6" s="226">
        <v>19</v>
      </c>
      <c r="B6" s="169" t="s">
        <v>608</v>
      </c>
      <c r="C6" s="170" t="s">
        <v>609</v>
      </c>
      <c r="D6" s="170" t="str">
        <f>CONCATENATE("Gross 
Floor Area
",IF(Setup!$F$9="SI Units","(sq m)","(sq ft)"))</f>
        <v>Gross 
Floor Area
(sq ft)</v>
      </c>
      <c r="E6" s="170" t="s">
        <v>610</v>
      </c>
      <c r="F6" s="170" t="s">
        <v>611</v>
      </c>
      <c r="G6" s="171" t="s">
        <v>612</v>
      </c>
      <c r="H6" s="172" t="s">
        <v>613</v>
      </c>
      <c r="I6" s="173" t="s">
        <v>614</v>
      </c>
      <c r="J6" s="174" t="s">
        <v>615</v>
      </c>
      <c r="K6" s="220" t="s">
        <v>616</v>
      </c>
      <c r="L6" s="221"/>
    </row>
    <row r="7" spans="1:12" ht="15" customHeight="1" x14ac:dyDescent="0.2">
      <c r="A7" s="175"/>
      <c r="B7" s="176" t="s">
        <v>726</v>
      </c>
      <c r="C7" s="180" t="s">
        <v>638</v>
      </c>
      <c r="D7" s="178">
        <v>111</v>
      </c>
      <c r="E7" s="177">
        <v>10</v>
      </c>
      <c r="F7" s="177">
        <v>1</v>
      </c>
      <c r="G7" s="177">
        <v>2</v>
      </c>
      <c r="H7" s="181">
        <v>2</v>
      </c>
      <c r="I7" s="179">
        <v>3</v>
      </c>
      <c r="J7" s="161">
        <f t="shared" ref="J7" si="0">E7*D7</f>
        <v>1110</v>
      </c>
      <c r="K7" s="161">
        <f t="shared" ref="K7" si="1">E7/7</f>
        <v>1.4285714285714286</v>
      </c>
    </row>
    <row r="8" spans="1:12" ht="15" customHeight="1" x14ac:dyDescent="0.2">
      <c r="A8" s="175"/>
      <c r="B8" s="176" t="s">
        <v>727</v>
      </c>
      <c r="C8" s="180" t="s">
        <v>639</v>
      </c>
      <c r="D8" s="178">
        <v>20</v>
      </c>
      <c r="E8" s="177">
        <v>10</v>
      </c>
      <c r="F8" s="177">
        <v>1</v>
      </c>
      <c r="G8" s="177">
        <v>1</v>
      </c>
      <c r="H8" s="181">
        <v>11</v>
      </c>
      <c r="I8" s="179">
        <v>8</v>
      </c>
      <c r="J8" s="161">
        <f t="shared" ref="J8:J16" si="2">E8*D8</f>
        <v>200</v>
      </c>
      <c r="K8" s="161">
        <f t="shared" ref="K8:K16" si="3">E8/7</f>
        <v>1.4285714285714286</v>
      </c>
    </row>
    <row r="9" spans="1:12" ht="15" customHeight="1" x14ac:dyDescent="0.2">
      <c r="A9" s="175"/>
      <c r="B9" s="176" t="s">
        <v>728</v>
      </c>
      <c r="C9" s="180" t="s">
        <v>641</v>
      </c>
      <c r="D9" s="178">
        <v>20</v>
      </c>
      <c r="E9" s="177">
        <v>20</v>
      </c>
      <c r="F9" s="177">
        <v>23</v>
      </c>
      <c r="G9" s="177">
        <v>22</v>
      </c>
      <c r="H9" s="181">
        <v>3</v>
      </c>
      <c r="I9" s="179">
        <v>23</v>
      </c>
      <c r="J9" s="161">
        <f t="shared" si="2"/>
        <v>400</v>
      </c>
      <c r="K9" s="161">
        <f t="shared" si="3"/>
        <v>2.8571428571428572</v>
      </c>
    </row>
    <row r="10" spans="1:12" ht="15" customHeight="1" x14ac:dyDescent="0.2">
      <c r="A10" s="175"/>
      <c r="B10" s="176" t="s">
        <v>729</v>
      </c>
      <c r="C10" s="180" t="s">
        <v>643</v>
      </c>
      <c r="D10" s="178">
        <v>22</v>
      </c>
      <c r="E10" s="177">
        <v>33</v>
      </c>
      <c r="F10" s="177">
        <v>33</v>
      </c>
      <c r="G10" s="177">
        <v>33</v>
      </c>
      <c r="H10" s="181">
        <v>3</v>
      </c>
      <c r="I10" s="179">
        <v>21</v>
      </c>
      <c r="J10" s="161">
        <f t="shared" si="2"/>
        <v>726</v>
      </c>
      <c r="K10" s="161">
        <f t="shared" si="3"/>
        <v>4.7142857142857144</v>
      </c>
    </row>
    <row r="11" spans="1:12" ht="15" customHeight="1" x14ac:dyDescent="0.2">
      <c r="A11" s="175"/>
      <c r="B11" s="176" t="s">
        <v>730</v>
      </c>
      <c r="C11" s="180" t="s">
        <v>666</v>
      </c>
      <c r="D11" s="178">
        <v>1111</v>
      </c>
      <c r="E11" s="177">
        <v>1</v>
      </c>
      <c r="F11" s="177">
        <v>1</v>
      </c>
      <c r="G11" s="177">
        <v>1</v>
      </c>
      <c r="H11" s="181">
        <v>1</v>
      </c>
      <c r="I11" s="179">
        <v>7</v>
      </c>
      <c r="J11" s="161">
        <f t="shared" si="2"/>
        <v>1111</v>
      </c>
      <c r="K11" s="161">
        <f t="shared" si="3"/>
        <v>0.14285714285714285</v>
      </c>
    </row>
    <row r="12" spans="1:12" ht="15" customHeight="1" x14ac:dyDescent="0.2">
      <c r="A12" s="175"/>
      <c r="B12" s="176"/>
      <c r="C12" s="180"/>
      <c r="D12" s="178"/>
      <c r="E12" s="177">
        <v>10</v>
      </c>
      <c r="F12" s="177"/>
      <c r="G12" s="177"/>
      <c r="H12" s="181"/>
      <c r="I12" s="179">
        <v>0</v>
      </c>
      <c r="J12" s="161">
        <f t="shared" si="2"/>
        <v>0</v>
      </c>
      <c r="K12" s="161">
        <f t="shared" si="3"/>
        <v>1.4285714285714286</v>
      </c>
    </row>
    <row r="13" spans="1:12" ht="15" customHeight="1" x14ac:dyDescent="0.2">
      <c r="A13" s="175"/>
      <c r="B13" s="176"/>
      <c r="C13" s="180"/>
      <c r="D13" s="178"/>
      <c r="E13" s="177"/>
      <c r="F13" s="177"/>
      <c r="G13" s="177"/>
      <c r="H13" s="181"/>
      <c r="I13" s="179"/>
      <c r="J13" s="161">
        <f t="shared" si="2"/>
        <v>0</v>
      </c>
      <c r="K13" s="161">
        <f t="shared" si="3"/>
        <v>0</v>
      </c>
    </row>
    <row r="14" spans="1:12" ht="15" customHeight="1" x14ac:dyDescent="0.2">
      <c r="A14" s="175"/>
      <c r="B14" s="176"/>
      <c r="C14" s="180"/>
      <c r="D14" s="178"/>
      <c r="E14" s="177"/>
      <c r="F14" s="177"/>
      <c r="G14" s="177"/>
      <c r="H14" s="181"/>
      <c r="I14" s="179" t="str">
        <f t="shared" ref="I14:I16" si="4">IFERROR((G14/K14)*H14," ")</f>
        <v xml:space="preserve"> </v>
      </c>
      <c r="J14" s="161">
        <f t="shared" si="2"/>
        <v>0</v>
      </c>
      <c r="K14" s="161">
        <f t="shared" si="3"/>
        <v>0</v>
      </c>
    </row>
    <row r="15" spans="1:12" ht="15" customHeight="1" x14ac:dyDescent="0.2">
      <c r="A15" s="175"/>
      <c r="B15" s="176"/>
      <c r="C15" s="180"/>
      <c r="D15" s="178"/>
      <c r="E15" s="177"/>
      <c r="F15" s="177"/>
      <c r="G15" s="177"/>
      <c r="H15" s="181"/>
      <c r="I15" s="179" t="str">
        <f t="shared" si="4"/>
        <v xml:space="preserve"> </v>
      </c>
      <c r="J15" s="161">
        <f t="shared" si="2"/>
        <v>0</v>
      </c>
      <c r="K15" s="161">
        <f t="shared" si="3"/>
        <v>0</v>
      </c>
    </row>
    <row r="16" spans="1:12" ht="15" customHeight="1" x14ac:dyDescent="0.2">
      <c r="A16" s="175"/>
      <c r="B16" s="176"/>
      <c r="C16" s="180"/>
      <c r="D16" s="178"/>
      <c r="E16" s="177"/>
      <c r="F16" s="177"/>
      <c r="G16" s="177"/>
      <c r="H16" s="181"/>
      <c r="I16" s="179" t="str">
        <f t="shared" si="4"/>
        <v xml:space="preserve"> </v>
      </c>
      <c r="J16" s="161">
        <f t="shared" si="2"/>
        <v>0</v>
      </c>
      <c r="K16" s="161">
        <f t="shared" si="3"/>
        <v>0</v>
      </c>
    </row>
    <row r="17" spans="1:11" ht="15" customHeight="1" x14ac:dyDescent="0.2">
      <c r="A17" s="175"/>
      <c r="B17" s="176"/>
      <c r="C17" s="180"/>
      <c r="D17" s="178"/>
      <c r="E17" s="177"/>
      <c r="F17" s="177"/>
      <c r="G17" s="177"/>
      <c r="H17" s="181"/>
      <c r="I17" s="179" t="str">
        <f t="shared" ref="I17:I18" si="5">IFERROR((G17/K17)*H17," ")</f>
        <v xml:space="preserve"> </v>
      </c>
      <c r="J17" s="161">
        <f t="shared" ref="J17:J18" si="6">E17*D17</f>
        <v>0</v>
      </c>
      <c r="K17" s="161">
        <f t="shared" ref="K17:K18" si="7">E17/7</f>
        <v>0</v>
      </c>
    </row>
    <row r="18" spans="1:11" ht="15" customHeight="1" x14ac:dyDescent="0.2">
      <c r="A18" s="175"/>
      <c r="B18" s="176"/>
      <c r="C18" s="180"/>
      <c r="D18" s="178"/>
      <c r="E18" s="177"/>
      <c r="F18" s="177"/>
      <c r="G18" s="177"/>
      <c r="H18" s="181"/>
      <c r="I18" s="179" t="str">
        <f t="shared" si="5"/>
        <v xml:space="preserve"> </v>
      </c>
      <c r="J18" s="161">
        <f t="shared" si="6"/>
        <v>0</v>
      </c>
      <c r="K18" s="161">
        <f t="shared" si="7"/>
        <v>0</v>
      </c>
    </row>
    <row r="19" spans="1:11" ht="20.25" customHeight="1" x14ac:dyDescent="0.2">
      <c r="A19" s="175" t="s">
        <v>551</v>
      </c>
      <c r="B19" s="268" t="s">
        <v>617</v>
      </c>
      <c r="C19" s="269"/>
      <c r="D19" s="246">
        <f>IFERROR(SUM(D7:D18)," ")</f>
        <v>1284</v>
      </c>
      <c r="E19" s="182">
        <f>SUM(E7:E18)</f>
        <v>84</v>
      </c>
      <c r="F19" s="182">
        <f>SUM(F7:F18)+J22</f>
        <v>74.125</v>
      </c>
      <c r="G19" s="182">
        <f>SUM(G7:G18)</f>
        <v>59</v>
      </c>
      <c r="H19" s="182">
        <f>SUM(H7:H18)</f>
        <v>20</v>
      </c>
      <c r="I19" s="183">
        <f>SUM(I7:I18)</f>
        <v>62</v>
      </c>
    </row>
    <row r="20" spans="1:11" ht="33.75" customHeight="1" x14ac:dyDescent="0.2"/>
    <row r="21" spans="1:11" x14ac:dyDescent="0.2">
      <c r="B21" s="160"/>
    </row>
    <row r="22" spans="1:11" x14ac:dyDescent="0.2">
      <c r="A22" s="228"/>
      <c r="B22" s="270" t="str">
        <f>CONCATENATE("Gross 
Floor Area 
",IF(Setup!$F$9="SI Units","(sq m)","(sq ft)"))</f>
        <v>Gross 
Floor Area 
(sq ft)</v>
      </c>
      <c r="C22" s="271"/>
      <c r="D22" s="244">
        <f>IFERROR(D19," ")</f>
        <v>1284</v>
      </c>
      <c r="F22" s="185"/>
      <c r="G22" s="272" t="s">
        <v>618</v>
      </c>
      <c r="H22" s="273"/>
      <c r="J22" s="229">
        <f>(G24*H24)/8</f>
        <v>15.125</v>
      </c>
    </row>
    <row r="23" spans="1:11" ht="38.25" x14ac:dyDescent="0.2">
      <c r="A23" s="228"/>
      <c r="B23" s="265" t="s">
        <v>619</v>
      </c>
      <c r="C23" s="274"/>
      <c r="D23" s="245">
        <f>IFERROR(SUM(J7:J18)/D19," ")</f>
        <v>2.7624610591900312</v>
      </c>
      <c r="F23" s="186"/>
      <c r="G23" s="187" t="s">
        <v>620</v>
      </c>
      <c r="H23" s="187" t="s">
        <v>621</v>
      </c>
    </row>
    <row r="24" spans="1:11" x14ac:dyDescent="0.2">
      <c r="A24" s="228"/>
      <c r="B24" s="265" t="s">
        <v>622</v>
      </c>
      <c r="C24" s="266"/>
      <c r="D24" s="188">
        <f>IFERROR((F19+I19)," ")</f>
        <v>136.125</v>
      </c>
      <c r="G24" s="189">
        <v>11</v>
      </c>
      <c r="H24" s="190">
        <v>11</v>
      </c>
    </row>
    <row r="25" spans="1:11" x14ac:dyDescent="0.2">
      <c r="C25" s="191"/>
      <c r="D25" s="191"/>
      <c r="I25" s="186"/>
    </row>
    <row r="26" spans="1:11" x14ac:dyDescent="0.2">
      <c r="I26" s="186"/>
    </row>
  </sheetData>
  <mergeCells count="6">
    <mergeCell ref="B24:C24"/>
    <mergeCell ref="B4:I4"/>
    <mergeCell ref="B19:C19"/>
    <mergeCell ref="B22:C22"/>
    <mergeCell ref="G22:H22"/>
    <mergeCell ref="B23:C23"/>
  </mergeCells>
  <dataValidations count="8">
    <dataValidation type="whole" allowBlank="1" showInputMessage="1" showErrorMessage="1" errorTitle="Weekly Operating Hours" error="It can accepts integer values from 1 to 168." sqref="D23" xr:uid="{00000000-0002-0000-0400-000001000000}">
      <formula1>0</formula1>
      <formula2>168</formula2>
    </dataValidation>
    <dataValidation type="whole" allowBlank="1" showInputMessage="1" showErrorMessage="1" errorTitle="Gross floor area" error="It can accepts integer values from 0 to 5 million" sqref="D22" xr:uid="{00000000-0002-0000-0400-000002000000}">
      <formula1>0</formula1>
      <formula2>5000000</formula2>
    </dataValidation>
    <dataValidation type="decimal" operator="lessThanOrEqual" allowBlank="1" showInputMessage="1" showErrorMessage="1" sqref="D19" xr:uid="{787ADE45-BDBF-41C8-B5B7-96C3ACE845EA}">
      <formula1>20499999</formula1>
    </dataValidation>
    <dataValidation type="list" allowBlank="1" showInputMessage="1" sqref="C7:C18" xr:uid="{00000000-0002-0000-0400-000000000000}">
      <formula1>spacetype</formula1>
    </dataValidation>
    <dataValidation type="whole" allowBlank="1" showInputMessage="1" showErrorMessage="1" errorTitle="Operating Hours" error="Please enter valid number of hours_x000a_" sqref="E7:E18" xr:uid="{00000000-0002-0000-0400-000003000000}">
      <formula1>1</formula1>
      <formula2>168</formula2>
    </dataValidation>
    <dataValidation type="whole" allowBlank="1" showInputMessage="1" showErrorMessage="1" errorTitle="Regular Building Occupants" error="Integers are only allowed in this fields" sqref="F7:F18" xr:uid="{00000000-0002-0000-0400-000004000000}">
      <formula1>0</formula1>
      <formula2>99999999999999</formula2>
    </dataValidation>
    <dataValidation type="whole" allowBlank="1" showInputMessage="1" showErrorMessage="1" errorTitle="Visitors per Day" error="Integers are only allowed in this fields" sqref="G7:G18" xr:uid="{00000000-0002-0000-0400-000005000000}">
      <formula1>0</formula1>
      <formula2>99999999999999</formula2>
    </dataValidation>
    <dataValidation type="whole" allowBlank="1" showInputMessage="1" showErrorMessage="1" error="Please enter valid number of hours" sqref="H7:H18" xr:uid="{DE3FE902-564E-4870-9C2E-54B183D9023E}">
      <formula1>1</formula1>
      <formula2>24</formula2>
    </dataValidation>
  </dataValidation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Button7_Click">
                <anchor moveWithCells="1">
                  <from>
                    <xdr:col>1</xdr:col>
                    <xdr:colOff>28575</xdr:colOff>
                    <xdr:row>19</xdr:row>
                    <xdr:rowOff>133350</xdr:rowOff>
                  </from>
                  <to>
                    <xdr:col>1</xdr:col>
                    <xdr:colOff>1400175</xdr:colOff>
                    <xdr:row>19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Button13_Click">
                <anchor moveWithCells="1">
                  <from>
                    <xdr:col>1</xdr:col>
                    <xdr:colOff>1495425</xdr:colOff>
                    <xdr:row>19</xdr:row>
                    <xdr:rowOff>133350</xdr:rowOff>
                  </from>
                  <to>
                    <xdr:col>2</xdr:col>
                    <xdr:colOff>295275</xdr:colOff>
                    <xdr:row>19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34"/>
  <sheetViews>
    <sheetView topLeftCell="A4" zoomScaleNormal="100" workbookViewId="0"/>
  </sheetViews>
  <sheetFormatPr defaultColWidth="9.140625" defaultRowHeight="15" x14ac:dyDescent="0.25"/>
  <cols>
    <col min="1" max="1" width="2.7109375" style="8" customWidth="1"/>
    <col min="2" max="4" width="20.7109375" style="3" customWidth="1"/>
    <col min="5" max="5" width="3.7109375" style="3" customWidth="1"/>
    <col min="6" max="16384" width="9.140625" style="3"/>
  </cols>
  <sheetData>
    <row r="1" spans="1:6" x14ac:dyDescent="0.25">
      <c r="A1" s="6" t="s">
        <v>603</v>
      </c>
      <c r="B1" s="1"/>
      <c r="C1" s="1"/>
      <c r="D1" s="1"/>
      <c r="E1" s="1"/>
    </row>
    <row r="2" spans="1:6" x14ac:dyDescent="0.25">
      <c r="A2" s="6" t="s">
        <v>603</v>
      </c>
      <c r="B2" s="277" t="s">
        <v>570</v>
      </c>
      <c r="C2" s="278"/>
      <c r="D2" s="42" t="s">
        <v>605</v>
      </c>
      <c r="E2" s="1"/>
    </row>
    <row r="3" spans="1:6" x14ac:dyDescent="0.25">
      <c r="A3" s="6" t="s">
        <v>603</v>
      </c>
      <c r="B3" s="275" t="s">
        <v>700</v>
      </c>
      <c r="C3" s="276"/>
      <c r="D3" s="42" t="s">
        <v>563</v>
      </c>
      <c r="E3" s="1"/>
    </row>
    <row r="4" spans="1:6" ht="15" customHeight="1" x14ac:dyDescent="0.25">
      <c r="A4" s="6" t="s">
        <v>603</v>
      </c>
      <c r="B4" s="49" t="s">
        <v>571</v>
      </c>
      <c r="C4" s="27"/>
      <c r="D4" s="42" t="s">
        <v>582</v>
      </c>
      <c r="E4" s="1"/>
    </row>
    <row r="5" spans="1:6" ht="20.45" customHeight="1" x14ac:dyDescent="0.25">
      <c r="A5" s="6"/>
      <c r="B5" s="217" t="s">
        <v>634</v>
      </c>
      <c r="C5" s="153"/>
      <c r="D5" s="216"/>
      <c r="E5" s="1"/>
    </row>
    <row r="6" spans="1:6" ht="48" customHeight="1" x14ac:dyDescent="0.25">
      <c r="A6" s="6">
        <v>34</v>
      </c>
      <c r="B6" s="4" t="s">
        <v>549</v>
      </c>
      <c r="C6" s="4" t="s">
        <v>550</v>
      </c>
      <c r="D6" s="4" t="str">
        <f>CONCATENATE("Average 95th Percentile 
CO2 Reading 
","(",D4,")")</f>
        <v>Average 95th Percentile 
CO2 Reading 
(ppm)</v>
      </c>
      <c r="E6" s="1"/>
      <c r="F6" s="50"/>
    </row>
    <row r="7" spans="1:6" x14ac:dyDescent="0.25">
      <c r="A7" s="113">
        <f>IFERROR(IF(D7="",1,0),1)</f>
        <v>0</v>
      </c>
      <c r="B7" s="114">
        <f t="shared" ref="B7:B31" si="0">INDEX(Dates,1,E7)</f>
        <v>44012</v>
      </c>
      <c r="C7" s="114">
        <f t="shared" ref="C7" si="1">B7</f>
        <v>44012</v>
      </c>
      <c r="D7" s="115">
        <f t="shared" ref="D7:D31" si="2">HLOOKUP(B7,ReadingTable,2,FALSE)</f>
        <v>0.62</v>
      </c>
      <c r="E7" s="116">
        <f>IF(E6="",7,E6+1)</f>
        <v>7</v>
      </c>
    </row>
    <row r="8" spans="1:6" x14ac:dyDescent="0.25">
      <c r="A8" s="113">
        <f t="shared" ref="A8:A31" si="3">IFERROR(IF(D8="",1,0),1)</f>
        <v>0</v>
      </c>
      <c r="B8" s="114">
        <f t="shared" si="0"/>
        <v>43982</v>
      </c>
      <c r="C8" s="114">
        <f t="shared" ref="C8:C31" si="4">B8</f>
        <v>43982</v>
      </c>
      <c r="D8" s="115">
        <f t="shared" si="2"/>
        <v>0.19</v>
      </c>
      <c r="E8" s="116">
        <f t="shared" ref="E8:E31" si="5">IF(E7="",7,E7+1)</f>
        <v>8</v>
      </c>
    </row>
    <row r="9" spans="1:6" x14ac:dyDescent="0.25">
      <c r="A9" s="113">
        <f t="shared" si="3"/>
        <v>0</v>
      </c>
      <c r="B9" s="114">
        <f t="shared" si="0"/>
        <v>43951</v>
      </c>
      <c r="C9" s="114">
        <f t="shared" si="4"/>
        <v>43951</v>
      </c>
      <c r="D9" s="115">
        <f t="shared" si="2"/>
        <v>0.44</v>
      </c>
      <c r="E9" s="116">
        <f t="shared" si="5"/>
        <v>9</v>
      </c>
    </row>
    <row r="10" spans="1:6" x14ac:dyDescent="0.25">
      <c r="A10" s="113">
        <f t="shared" si="3"/>
        <v>0</v>
      </c>
      <c r="B10" s="114">
        <f t="shared" si="0"/>
        <v>43921</v>
      </c>
      <c r="C10" s="114">
        <f t="shared" si="4"/>
        <v>43921</v>
      </c>
      <c r="D10" s="115">
        <f t="shared" si="2"/>
        <v>0.73</v>
      </c>
      <c r="E10" s="116">
        <f t="shared" si="5"/>
        <v>10</v>
      </c>
    </row>
    <row r="11" spans="1:6" x14ac:dyDescent="0.25">
      <c r="A11" s="113">
        <f t="shared" si="3"/>
        <v>0</v>
      </c>
      <c r="B11" s="114">
        <f t="shared" si="0"/>
        <v>43889</v>
      </c>
      <c r="C11" s="114">
        <f t="shared" si="4"/>
        <v>43889</v>
      </c>
      <c r="D11" s="115">
        <f t="shared" si="2"/>
        <v>0.99</v>
      </c>
      <c r="E11" s="116">
        <f t="shared" si="5"/>
        <v>11</v>
      </c>
    </row>
    <row r="12" spans="1:6" x14ac:dyDescent="0.25">
      <c r="A12" s="113">
        <f t="shared" si="3"/>
        <v>0</v>
      </c>
      <c r="B12" s="114">
        <f t="shared" si="0"/>
        <v>43861</v>
      </c>
      <c r="C12" s="114">
        <f t="shared" si="4"/>
        <v>43861</v>
      </c>
      <c r="D12" s="115">
        <f t="shared" si="2"/>
        <v>0.11</v>
      </c>
      <c r="E12" s="116">
        <f t="shared" si="5"/>
        <v>12</v>
      </c>
    </row>
    <row r="13" spans="1:6" x14ac:dyDescent="0.25">
      <c r="A13" s="113">
        <f t="shared" si="3"/>
        <v>0</v>
      </c>
      <c r="B13" s="114">
        <f t="shared" si="0"/>
        <v>43830</v>
      </c>
      <c r="C13" s="114">
        <f t="shared" si="4"/>
        <v>43830</v>
      </c>
      <c r="D13" s="115">
        <f t="shared" si="2"/>
        <v>0.25</v>
      </c>
      <c r="E13" s="116">
        <f t="shared" si="5"/>
        <v>13</v>
      </c>
    </row>
    <row r="14" spans="1:6" x14ac:dyDescent="0.25">
      <c r="A14" s="113">
        <f t="shared" si="3"/>
        <v>0</v>
      </c>
      <c r="B14" s="114">
        <f t="shared" si="0"/>
        <v>43799</v>
      </c>
      <c r="C14" s="114">
        <f t="shared" si="4"/>
        <v>43799</v>
      </c>
      <c r="D14" s="115">
        <f t="shared" si="2"/>
        <v>0.25</v>
      </c>
      <c r="E14" s="116">
        <f t="shared" si="5"/>
        <v>14</v>
      </c>
    </row>
    <row r="15" spans="1:6" x14ac:dyDescent="0.25">
      <c r="A15" s="113">
        <f t="shared" si="3"/>
        <v>0</v>
      </c>
      <c r="B15" s="114">
        <f t="shared" si="0"/>
        <v>43769</v>
      </c>
      <c r="C15" s="114">
        <f t="shared" si="4"/>
        <v>43769</v>
      </c>
      <c r="D15" s="115">
        <f t="shared" si="2"/>
        <v>0.33</v>
      </c>
      <c r="E15" s="116">
        <f t="shared" si="5"/>
        <v>15</v>
      </c>
    </row>
    <row r="16" spans="1:6" x14ac:dyDescent="0.25">
      <c r="A16" s="113">
        <f t="shared" si="3"/>
        <v>0</v>
      </c>
      <c r="B16" s="114">
        <f t="shared" si="0"/>
        <v>43738</v>
      </c>
      <c r="C16" s="114">
        <f t="shared" si="4"/>
        <v>43738</v>
      </c>
      <c r="D16" s="115">
        <f t="shared" si="2"/>
        <v>0.19</v>
      </c>
      <c r="E16" s="116">
        <f t="shared" si="5"/>
        <v>16</v>
      </c>
    </row>
    <row r="17" spans="1:5" x14ac:dyDescent="0.25">
      <c r="A17" s="113">
        <f t="shared" si="3"/>
        <v>0</v>
      </c>
      <c r="B17" s="114">
        <f t="shared" si="0"/>
        <v>43708</v>
      </c>
      <c r="C17" s="114">
        <f t="shared" si="4"/>
        <v>43708</v>
      </c>
      <c r="D17" s="115">
        <f t="shared" si="2"/>
        <v>0.5</v>
      </c>
      <c r="E17" s="116">
        <f t="shared" si="5"/>
        <v>17</v>
      </c>
    </row>
    <row r="18" spans="1:5" x14ac:dyDescent="0.25">
      <c r="A18" s="113">
        <f t="shared" si="3"/>
        <v>0</v>
      </c>
      <c r="B18" s="114">
        <f t="shared" si="0"/>
        <v>43677</v>
      </c>
      <c r="C18" s="114">
        <f t="shared" si="4"/>
        <v>43677</v>
      </c>
      <c r="D18" s="115">
        <f t="shared" si="2"/>
        <v>0.5</v>
      </c>
      <c r="E18" s="116">
        <f t="shared" si="5"/>
        <v>18</v>
      </c>
    </row>
    <row r="19" spans="1:5" x14ac:dyDescent="0.25">
      <c r="A19" s="113">
        <f t="shared" si="3"/>
        <v>0</v>
      </c>
      <c r="B19" s="114">
        <f t="shared" si="0"/>
        <v>43646</v>
      </c>
      <c r="C19" s="114">
        <f t="shared" si="4"/>
        <v>43646</v>
      </c>
      <c r="D19" s="115">
        <f t="shared" si="2"/>
        <v>0.5</v>
      </c>
      <c r="E19" s="116">
        <f t="shared" si="5"/>
        <v>19</v>
      </c>
    </row>
    <row r="20" spans="1:5" x14ac:dyDescent="0.25">
      <c r="A20" s="113">
        <f t="shared" si="3"/>
        <v>0</v>
      </c>
      <c r="B20" s="114">
        <f t="shared" si="0"/>
        <v>43616</v>
      </c>
      <c r="C20" s="114">
        <f t="shared" si="4"/>
        <v>43616</v>
      </c>
      <c r="D20" s="115">
        <f t="shared" si="2"/>
        <v>0.19</v>
      </c>
      <c r="E20" s="116">
        <f t="shared" si="5"/>
        <v>20</v>
      </c>
    </row>
    <row r="21" spans="1:5" x14ac:dyDescent="0.25">
      <c r="A21" s="113">
        <f t="shared" si="3"/>
        <v>0</v>
      </c>
      <c r="B21" s="114">
        <f t="shared" si="0"/>
        <v>43585</v>
      </c>
      <c r="C21" s="114">
        <f t="shared" si="4"/>
        <v>43585</v>
      </c>
      <c r="D21" s="115">
        <f t="shared" si="2"/>
        <v>0.44</v>
      </c>
      <c r="E21" s="116">
        <f t="shared" si="5"/>
        <v>21</v>
      </c>
    </row>
    <row r="22" spans="1:5" x14ac:dyDescent="0.25">
      <c r="A22" s="113">
        <f t="shared" si="3"/>
        <v>0</v>
      </c>
      <c r="B22" s="114">
        <f t="shared" si="0"/>
        <v>43555</v>
      </c>
      <c r="C22" s="114">
        <f t="shared" si="4"/>
        <v>43555</v>
      </c>
      <c r="D22" s="115">
        <f t="shared" si="2"/>
        <v>0.73</v>
      </c>
      <c r="E22" s="116">
        <f t="shared" si="5"/>
        <v>22</v>
      </c>
    </row>
    <row r="23" spans="1:5" x14ac:dyDescent="0.25">
      <c r="A23" s="113">
        <f t="shared" si="3"/>
        <v>0</v>
      </c>
      <c r="B23" s="114">
        <f t="shared" si="0"/>
        <v>43524</v>
      </c>
      <c r="C23" s="114">
        <f t="shared" si="4"/>
        <v>43524</v>
      </c>
      <c r="D23" s="115">
        <f t="shared" si="2"/>
        <v>0.99</v>
      </c>
      <c r="E23" s="116">
        <f t="shared" si="5"/>
        <v>23</v>
      </c>
    </row>
    <row r="24" spans="1:5" x14ac:dyDescent="0.25">
      <c r="A24" s="113">
        <f t="shared" si="3"/>
        <v>0</v>
      </c>
      <c r="B24" s="114">
        <f t="shared" si="0"/>
        <v>43496</v>
      </c>
      <c r="C24" s="114">
        <f t="shared" si="4"/>
        <v>43496</v>
      </c>
      <c r="D24" s="115">
        <f t="shared" si="2"/>
        <v>0.11</v>
      </c>
      <c r="E24" s="116">
        <f t="shared" si="5"/>
        <v>24</v>
      </c>
    </row>
    <row r="25" spans="1:5" x14ac:dyDescent="0.25">
      <c r="A25" s="113">
        <f t="shared" si="3"/>
        <v>0</v>
      </c>
      <c r="B25" s="114">
        <f t="shared" si="0"/>
        <v>43465</v>
      </c>
      <c r="C25" s="114">
        <f t="shared" si="4"/>
        <v>43465</v>
      </c>
      <c r="D25" s="115">
        <f t="shared" si="2"/>
        <v>0.25</v>
      </c>
      <c r="E25" s="116">
        <f t="shared" si="5"/>
        <v>25</v>
      </c>
    </row>
    <row r="26" spans="1:5" x14ac:dyDescent="0.25">
      <c r="A26" s="113">
        <f t="shared" si="3"/>
        <v>0</v>
      </c>
      <c r="B26" s="114">
        <f t="shared" si="0"/>
        <v>43434</v>
      </c>
      <c r="C26" s="114">
        <f t="shared" si="4"/>
        <v>43434</v>
      </c>
      <c r="D26" s="115">
        <f t="shared" si="2"/>
        <v>0.25</v>
      </c>
      <c r="E26" s="116">
        <f t="shared" si="5"/>
        <v>26</v>
      </c>
    </row>
    <row r="27" spans="1:5" x14ac:dyDescent="0.25">
      <c r="A27" s="113">
        <f t="shared" si="3"/>
        <v>0</v>
      </c>
      <c r="B27" s="114">
        <f t="shared" si="0"/>
        <v>43404</v>
      </c>
      <c r="C27" s="114">
        <f t="shared" si="4"/>
        <v>43404</v>
      </c>
      <c r="D27" s="115">
        <f t="shared" si="2"/>
        <v>0.33</v>
      </c>
      <c r="E27" s="116">
        <f t="shared" si="5"/>
        <v>27</v>
      </c>
    </row>
    <row r="28" spans="1:5" x14ac:dyDescent="0.25">
      <c r="A28" s="113">
        <f t="shared" si="3"/>
        <v>0</v>
      </c>
      <c r="B28" s="114">
        <f t="shared" si="0"/>
        <v>43373</v>
      </c>
      <c r="C28" s="114">
        <f t="shared" si="4"/>
        <v>43373</v>
      </c>
      <c r="D28" s="115">
        <f t="shared" si="2"/>
        <v>0.19</v>
      </c>
      <c r="E28" s="116">
        <f t="shared" si="5"/>
        <v>28</v>
      </c>
    </row>
    <row r="29" spans="1:5" x14ac:dyDescent="0.25">
      <c r="A29" s="113">
        <f t="shared" si="3"/>
        <v>0</v>
      </c>
      <c r="B29" s="114">
        <f t="shared" si="0"/>
        <v>43343</v>
      </c>
      <c r="C29" s="114">
        <f t="shared" si="4"/>
        <v>43343</v>
      </c>
      <c r="D29" s="115">
        <f t="shared" si="2"/>
        <v>0.5</v>
      </c>
      <c r="E29" s="116">
        <f t="shared" si="5"/>
        <v>29</v>
      </c>
    </row>
    <row r="30" spans="1:5" x14ac:dyDescent="0.25">
      <c r="A30" s="113">
        <f t="shared" si="3"/>
        <v>0</v>
      </c>
      <c r="B30" s="114">
        <f t="shared" si="0"/>
        <v>43312</v>
      </c>
      <c r="C30" s="114">
        <f t="shared" si="4"/>
        <v>43312</v>
      </c>
      <c r="D30" s="115">
        <f t="shared" si="2"/>
        <v>0.5</v>
      </c>
      <c r="E30" s="116">
        <f t="shared" si="5"/>
        <v>30</v>
      </c>
    </row>
    <row r="31" spans="1:5" x14ac:dyDescent="0.25">
      <c r="A31" s="113">
        <f t="shared" si="3"/>
        <v>0</v>
      </c>
      <c r="B31" s="114">
        <f t="shared" si="0"/>
        <v>43281</v>
      </c>
      <c r="C31" s="114">
        <f t="shared" si="4"/>
        <v>43281</v>
      </c>
      <c r="D31" s="115">
        <f t="shared" si="2"/>
        <v>0.5</v>
      </c>
      <c r="E31" s="116">
        <f t="shared" si="5"/>
        <v>31</v>
      </c>
    </row>
    <row r="32" spans="1:5" x14ac:dyDescent="0.25">
      <c r="A32" s="6" t="s">
        <v>551</v>
      </c>
      <c r="B32" s="45"/>
      <c r="C32" s="45"/>
      <c r="D32" s="45"/>
      <c r="E32" s="45"/>
    </row>
    <row r="33" spans="1:5" x14ac:dyDescent="0.25">
      <c r="A33" s="6"/>
      <c r="B33" s="45"/>
      <c r="C33" s="45"/>
      <c r="D33" s="45"/>
      <c r="E33" s="45"/>
    </row>
    <row r="34" spans="1:5" ht="36.6" customHeight="1" x14ac:dyDescent="0.25">
      <c r="A34" s="6" t="s">
        <v>551</v>
      </c>
      <c r="B34" s="34"/>
      <c r="C34" s="34"/>
      <c r="D34" s="34"/>
      <c r="E34" s="1"/>
    </row>
  </sheetData>
  <sheetProtection algorithmName="SHA-512" hashValue="jaJ5xVVQoAJVjfGw3hbj/nhVX+Kv85Ba23ewD6rukMQ2IbDjeu8iVlV5jpx29TzP9Wnxd9eY5Xlt7pV2NUzQkA==" saltValue="5RNrWkQdBAg0zM4vv5wHqg==" spinCount="100000" sheet="1" objects="1" scenarios="1"/>
  <mergeCells count="2">
    <mergeCell ref="B3:C3"/>
    <mergeCell ref="B2:C2"/>
  </mergeCells>
  <dataValidations count="3">
    <dataValidation type="whole" allowBlank="1" showInputMessage="1" showErrorMessage="1" sqref="A6" xr:uid="{00000000-0002-0000-0500-000000000000}">
      <formula1>0</formula1>
      <formula2>99999</formula2>
    </dataValidation>
    <dataValidation type="date" allowBlank="1" showInputMessage="1" showErrorMessage="1" error="Please enter a valid date in mm/dd/yyyy format." sqref="B7:C31" xr:uid="{00000000-0002-0000-0500-000001000000}">
      <formula1>1</formula1>
      <formula2>73051</formula2>
    </dataValidation>
    <dataValidation type="decimal" allowBlank="1" showInputMessage="1" showErrorMessage="1" error="Please enter a valid reading." sqref="D7:D31" xr:uid="{00000000-0002-0000-0500-000002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refreshCol">
                <anchor moveWithCells="1">
                  <from>
                    <xdr:col>1</xdr:col>
                    <xdr:colOff>0</xdr:colOff>
                    <xdr:row>33</xdr:row>
                    <xdr:rowOff>9525</xdr:rowOff>
                  </from>
                  <to>
                    <xdr:col>2</xdr:col>
                    <xdr:colOff>447675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revertButtonCO">
                <anchor moveWithCells="1">
                  <from>
                    <xdr:col>2</xdr:col>
                    <xdr:colOff>533400</xdr:colOff>
                    <xdr:row>33</xdr:row>
                    <xdr:rowOff>400050</xdr:rowOff>
                  </from>
                  <to>
                    <xdr:col>3</xdr:col>
                    <xdr:colOff>981075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E55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14.7109375" defaultRowHeight="12.75" x14ac:dyDescent="0.25"/>
  <cols>
    <col min="1" max="1" width="4.28515625" style="85" customWidth="1"/>
    <col min="2" max="2" width="18.7109375" style="87" customWidth="1"/>
    <col min="3" max="16384" width="14.7109375" style="87"/>
  </cols>
  <sheetData>
    <row r="1" spans="1:6" ht="36" customHeight="1" x14ac:dyDescent="0.25">
      <c r="A1" s="85" t="s">
        <v>603</v>
      </c>
      <c r="B1" s="86" t="s">
        <v>632</v>
      </c>
    </row>
    <row r="2" spans="1:6" ht="33.75" customHeight="1" x14ac:dyDescent="0.25">
      <c r="A2" s="85" t="s">
        <v>603</v>
      </c>
      <c r="B2" s="88" t="s">
        <v>583</v>
      </c>
      <c r="C2" s="89" t="s">
        <v>708</v>
      </c>
      <c r="D2" s="90" t="s">
        <v>584</v>
      </c>
      <c r="E2" s="91" t="s">
        <v>585</v>
      </c>
      <c r="F2" s="92" t="s">
        <v>595</v>
      </c>
    </row>
    <row r="3" spans="1:6" x14ac:dyDescent="0.25">
      <c r="B3" s="122" t="s">
        <v>731</v>
      </c>
      <c r="C3" s="260">
        <v>43983</v>
      </c>
      <c r="D3" s="260">
        <v>44012</v>
      </c>
      <c r="E3" s="151">
        <v>0.375</v>
      </c>
      <c r="F3" s="143">
        <v>0.62</v>
      </c>
    </row>
    <row r="4" spans="1:6" x14ac:dyDescent="0.25">
      <c r="B4" s="122" t="s">
        <v>732</v>
      </c>
      <c r="C4" s="260">
        <v>43952</v>
      </c>
      <c r="D4" s="260">
        <v>43982</v>
      </c>
      <c r="E4" s="151">
        <v>0.41666666666666669</v>
      </c>
      <c r="F4" s="143">
        <v>0.19</v>
      </c>
    </row>
    <row r="5" spans="1:6" x14ac:dyDescent="0.25">
      <c r="B5" s="122" t="s">
        <v>735</v>
      </c>
      <c r="C5" s="260">
        <v>43922</v>
      </c>
      <c r="D5" s="260">
        <v>43951</v>
      </c>
      <c r="E5" s="151">
        <v>0.45833333333333331</v>
      </c>
      <c r="F5" s="143">
        <v>0.44</v>
      </c>
    </row>
    <row r="6" spans="1:6" x14ac:dyDescent="0.25">
      <c r="B6" s="122" t="s">
        <v>736</v>
      </c>
      <c r="C6" s="260">
        <v>43891</v>
      </c>
      <c r="D6" s="260">
        <v>43921</v>
      </c>
      <c r="E6" s="151">
        <v>0.10416666666666667</v>
      </c>
      <c r="F6" s="143">
        <v>0.73</v>
      </c>
    </row>
    <row r="7" spans="1:6" x14ac:dyDescent="0.25">
      <c r="B7" s="122" t="s">
        <v>737</v>
      </c>
      <c r="C7" s="260">
        <v>43862</v>
      </c>
      <c r="D7" s="260">
        <v>43889</v>
      </c>
      <c r="E7" s="151">
        <v>0.14583333333333334</v>
      </c>
      <c r="F7" s="143">
        <v>0.99</v>
      </c>
    </row>
    <row r="8" spans="1:6" x14ac:dyDescent="0.25">
      <c r="B8" s="122" t="s">
        <v>732</v>
      </c>
      <c r="C8" s="260">
        <v>43831</v>
      </c>
      <c r="D8" s="260">
        <v>43861</v>
      </c>
      <c r="E8" s="151">
        <v>8.3333333333333329E-2</v>
      </c>
      <c r="F8" s="143">
        <v>0.11</v>
      </c>
    </row>
    <row r="9" spans="1:6" x14ac:dyDescent="0.25">
      <c r="B9" s="122" t="s">
        <v>735</v>
      </c>
      <c r="C9" s="260">
        <v>43800</v>
      </c>
      <c r="D9" s="260">
        <v>43830</v>
      </c>
      <c r="E9" s="151">
        <v>0.125</v>
      </c>
      <c r="F9" s="143">
        <v>0.25</v>
      </c>
    </row>
    <row r="10" spans="1:6" x14ac:dyDescent="0.25">
      <c r="B10" s="122" t="s">
        <v>731</v>
      </c>
      <c r="C10" s="260">
        <v>43770</v>
      </c>
      <c r="D10" s="260">
        <v>43799</v>
      </c>
      <c r="E10" s="151">
        <v>0.33333333333333331</v>
      </c>
      <c r="F10" s="143">
        <v>0.25</v>
      </c>
    </row>
    <row r="11" spans="1:6" x14ac:dyDescent="0.25">
      <c r="B11" s="122" t="s">
        <v>738</v>
      </c>
      <c r="C11" s="260">
        <v>43739</v>
      </c>
      <c r="D11" s="260">
        <v>43769</v>
      </c>
      <c r="E11" s="151">
        <v>0.30555555555555552</v>
      </c>
      <c r="F11" s="143">
        <v>0.33</v>
      </c>
    </row>
    <row r="12" spans="1:6" x14ac:dyDescent="0.25">
      <c r="B12" s="122" t="s">
        <v>739</v>
      </c>
      <c r="C12" s="260">
        <v>43709</v>
      </c>
      <c r="D12" s="260">
        <v>43738</v>
      </c>
      <c r="E12" s="151">
        <v>0.26458333333333334</v>
      </c>
      <c r="F12" s="143">
        <v>0.19</v>
      </c>
    </row>
    <row r="13" spans="1:6" x14ac:dyDescent="0.25">
      <c r="B13" s="122" t="s">
        <v>740</v>
      </c>
      <c r="C13" s="260">
        <v>43678</v>
      </c>
      <c r="D13" s="260">
        <v>43708</v>
      </c>
      <c r="E13" s="151">
        <v>0.5083333333333333</v>
      </c>
      <c r="F13" s="143">
        <v>0.5</v>
      </c>
    </row>
    <row r="14" spans="1:6" x14ac:dyDescent="0.25">
      <c r="B14" s="122" t="s">
        <v>741</v>
      </c>
      <c r="C14" s="260">
        <v>43647</v>
      </c>
      <c r="D14" s="260">
        <v>43677</v>
      </c>
      <c r="E14" s="151">
        <v>5.486111111111111E-2</v>
      </c>
      <c r="F14" s="143">
        <v>0.5</v>
      </c>
    </row>
    <row r="15" spans="1:6" x14ac:dyDescent="0.25">
      <c r="B15" s="122" t="s">
        <v>742</v>
      </c>
      <c r="C15" s="260">
        <v>43617</v>
      </c>
      <c r="D15" s="260">
        <v>43646</v>
      </c>
      <c r="E15" s="151">
        <v>0.38194444444444442</v>
      </c>
      <c r="F15" s="143">
        <v>0.5</v>
      </c>
    </row>
    <row r="16" spans="1:6" x14ac:dyDescent="0.25">
      <c r="B16" s="122" t="s">
        <v>731</v>
      </c>
      <c r="C16" s="260">
        <v>43586</v>
      </c>
      <c r="D16" s="260">
        <v>43616</v>
      </c>
      <c r="E16" s="151">
        <v>0.375</v>
      </c>
      <c r="F16" s="143">
        <v>0.19</v>
      </c>
    </row>
    <row r="17" spans="1:31" x14ac:dyDescent="0.25">
      <c r="B17" s="122" t="s">
        <v>732</v>
      </c>
      <c r="C17" s="260">
        <v>43556</v>
      </c>
      <c r="D17" s="260">
        <v>43585</v>
      </c>
      <c r="E17" s="151">
        <v>0.41666666666666669</v>
      </c>
      <c r="F17" s="143">
        <v>0.44</v>
      </c>
    </row>
    <row r="18" spans="1:31" x14ac:dyDescent="0.25">
      <c r="B18" s="122" t="s">
        <v>735</v>
      </c>
      <c r="C18" s="260">
        <v>43525</v>
      </c>
      <c r="D18" s="260">
        <v>43555</v>
      </c>
      <c r="E18" s="151">
        <v>0.45833333333333331</v>
      </c>
      <c r="F18" s="143">
        <v>0.73</v>
      </c>
    </row>
    <row r="19" spans="1:31" x14ac:dyDescent="0.25">
      <c r="B19" s="122" t="s">
        <v>736</v>
      </c>
      <c r="C19" s="260">
        <v>43497</v>
      </c>
      <c r="D19" s="260">
        <v>43524</v>
      </c>
      <c r="E19" s="151">
        <v>0.10416666666666667</v>
      </c>
      <c r="F19" s="143">
        <v>0.99</v>
      </c>
    </row>
    <row r="20" spans="1:31" x14ac:dyDescent="0.25">
      <c r="B20" s="122" t="s">
        <v>737</v>
      </c>
      <c r="C20" s="260">
        <v>43466</v>
      </c>
      <c r="D20" s="260">
        <v>43496</v>
      </c>
      <c r="E20" s="151">
        <v>0.14583333333333334</v>
      </c>
      <c r="F20" s="143">
        <v>0.11</v>
      </c>
    </row>
    <row r="21" spans="1:31" x14ac:dyDescent="0.25">
      <c r="B21" s="122" t="s">
        <v>732</v>
      </c>
      <c r="C21" s="260">
        <v>43435</v>
      </c>
      <c r="D21" s="260">
        <v>43465</v>
      </c>
      <c r="E21" s="151">
        <v>8.3333333333333329E-2</v>
      </c>
      <c r="F21" s="143">
        <v>0.25</v>
      </c>
    </row>
    <row r="22" spans="1:31" x14ac:dyDescent="0.25">
      <c r="B22" s="122" t="s">
        <v>735</v>
      </c>
      <c r="C22" s="260">
        <v>43405</v>
      </c>
      <c r="D22" s="260">
        <v>43434</v>
      </c>
      <c r="E22" s="151">
        <v>0.125</v>
      </c>
      <c r="F22" s="143">
        <v>0.25</v>
      </c>
    </row>
    <row r="23" spans="1:31" x14ac:dyDescent="0.25">
      <c r="B23" s="122" t="s">
        <v>731</v>
      </c>
      <c r="C23" s="260">
        <v>43374</v>
      </c>
      <c r="D23" s="260">
        <v>43404</v>
      </c>
      <c r="E23" s="151">
        <v>0.33333333333333331</v>
      </c>
      <c r="F23" s="143">
        <v>0.33</v>
      </c>
    </row>
    <row r="24" spans="1:31" x14ac:dyDescent="0.25">
      <c r="B24" s="122" t="s">
        <v>738</v>
      </c>
      <c r="C24" s="260">
        <v>43344</v>
      </c>
      <c r="D24" s="260">
        <v>43373</v>
      </c>
      <c r="E24" s="151">
        <v>0.30555555555555552</v>
      </c>
      <c r="F24" s="143">
        <v>0.19</v>
      </c>
    </row>
    <row r="25" spans="1:31" x14ac:dyDescent="0.25">
      <c r="B25" s="122" t="s">
        <v>739</v>
      </c>
      <c r="C25" s="260">
        <v>43313</v>
      </c>
      <c r="D25" s="260">
        <v>43343</v>
      </c>
      <c r="E25" s="151">
        <v>0.26458333333333334</v>
      </c>
      <c r="F25" s="143">
        <v>0.5</v>
      </c>
    </row>
    <row r="26" spans="1:31" x14ac:dyDescent="0.25">
      <c r="B26" s="122" t="s">
        <v>740</v>
      </c>
      <c r="C26" s="260">
        <v>43282</v>
      </c>
      <c r="D26" s="260">
        <v>43312</v>
      </c>
      <c r="E26" s="151">
        <v>0.5083333333333333</v>
      </c>
      <c r="F26" s="143">
        <v>0.5</v>
      </c>
    </row>
    <row r="27" spans="1:31" x14ac:dyDescent="0.25">
      <c r="B27" s="122" t="s">
        <v>737</v>
      </c>
      <c r="C27" s="260">
        <v>43252</v>
      </c>
      <c r="D27" s="260">
        <v>43281</v>
      </c>
      <c r="E27" s="151">
        <v>0.26458333333333334</v>
      </c>
      <c r="F27" s="143">
        <v>0.5</v>
      </c>
    </row>
    <row r="28" spans="1:31" ht="39" customHeight="1" x14ac:dyDescent="0.25"/>
    <row r="29" spans="1:31" s="93" customFormat="1" ht="51" customHeight="1" x14ac:dyDescent="0.2">
      <c r="A29" s="85" t="s">
        <v>593</v>
      </c>
      <c r="B29" s="86" t="s">
        <v>587</v>
      </c>
      <c r="F29" s="94"/>
      <c r="G29" s="95">
        <f t="shared" ref="G29" si="0">IF(G31="",1,0)</f>
        <v>0</v>
      </c>
      <c r="H29" s="95">
        <f t="shared" ref="H29:AE29" si="1">IF(H31="",1,0)</f>
        <v>0</v>
      </c>
      <c r="I29" s="95">
        <f t="shared" si="1"/>
        <v>0</v>
      </c>
      <c r="J29" s="95">
        <f t="shared" si="1"/>
        <v>0</v>
      </c>
      <c r="K29" s="95">
        <f t="shared" si="1"/>
        <v>0</v>
      </c>
      <c r="L29" s="95">
        <f t="shared" si="1"/>
        <v>0</v>
      </c>
      <c r="M29" s="95">
        <f t="shared" si="1"/>
        <v>0</v>
      </c>
      <c r="N29" s="95">
        <f t="shared" si="1"/>
        <v>0</v>
      </c>
      <c r="O29" s="95">
        <f t="shared" si="1"/>
        <v>0</v>
      </c>
      <c r="P29" s="95">
        <f t="shared" si="1"/>
        <v>0</v>
      </c>
      <c r="Q29" s="95">
        <f t="shared" si="1"/>
        <v>0</v>
      </c>
      <c r="R29" s="95">
        <f t="shared" si="1"/>
        <v>0</v>
      </c>
      <c r="S29" s="95">
        <f t="shared" si="1"/>
        <v>0</v>
      </c>
      <c r="T29" s="95">
        <f t="shared" si="1"/>
        <v>0</v>
      </c>
      <c r="U29" s="95">
        <f t="shared" si="1"/>
        <v>0</v>
      </c>
      <c r="V29" s="95">
        <f t="shared" si="1"/>
        <v>0</v>
      </c>
      <c r="W29" s="95">
        <f t="shared" si="1"/>
        <v>0</v>
      </c>
      <c r="X29" s="95">
        <f t="shared" si="1"/>
        <v>0</v>
      </c>
      <c r="Y29" s="95">
        <f t="shared" si="1"/>
        <v>0</v>
      </c>
      <c r="Z29" s="95">
        <f t="shared" si="1"/>
        <v>0</v>
      </c>
      <c r="AA29" s="95">
        <f t="shared" si="1"/>
        <v>0</v>
      </c>
      <c r="AB29" s="95">
        <f t="shared" si="1"/>
        <v>0</v>
      </c>
      <c r="AC29" s="95">
        <f t="shared" si="1"/>
        <v>0</v>
      </c>
      <c r="AD29" s="95">
        <f t="shared" si="1"/>
        <v>0</v>
      </c>
      <c r="AE29" s="95">
        <f t="shared" si="1"/>
        <v>0</v>
      </c>
    </row>
    <row r="30" spans="1:31" ht="21" customHeight="1" x14ac:dyDescent="0.25">
      <c r="A30" s="85" t="s">
        <v>603</v>
      </c>
      <c r="B30" s="279" t="s">
        <v>583</v>
      </c>
      <c r="C30" s="96"/>
      <c r="D30" s="96"/>
      <c r="E30" s="96"/>
      <c r="F30" s="97"/>
      <c r="G30" s="98" t="s">
        <v>584</v>
      </c>
      <c r="H30" s="98" t="s">
        <v>584</v>
      </c>
      <c r="I30" s="98" t="s">
        <v>584</v>
      </c>
      <c r="J30" s="98" t="s">
        <v>584</v>
      </c>
      <c r="K30" s="98" t="s">
        <v>584</v>
      </c>
      <c r="L30" s="98" t="s">
        <v>584</v>
      </c>
      <c r="M30" s="98" t="s">
        <v>584</v>
      </c>
      <c r="N30" s="98" t="s">
        <v>584</v>
      </c>
      <c r="O30" s="98" t="s">
        <v>584</v>
      </c>
      <c r="P30" s="98" t="s">
        <v>584</v>
      </c>
      <c r="Q30" s="98" t="s">
        <v>584</v>
      </c>
      <c r="R30" s="98" t="s">
        <v>584</v>
      </c>
      <c r="S30" s="98" t="s">
        <v>584</v>
      </c>
      <c r="T30" s="98" t="s">
        <v>584</v>
      </c>
      <c r="U30" s="98" t="s">
        <v>584</v>
      </c>
      <c r="V30" s="98" t="s">
        <v>584</v>
      </c>
      <c r="W30" s="98" t="s">
        <v>584</v>
      </c>
      <c r="X30" s="98" t="s">
        <v>584</v>
      </c>
      <c r="Y30" s="98" t="s">
        <v>584</v>
      </c>
      <c r="Z30" s="98" t="s">
        <v>584</v>
      </c>
      <c r="AA30" s="98" t="s">
        <v>584</v>
      </c>
      <c r="AB30" s="98" t="s">
        <v>584</v>
      </c>
      <c r="AC30" s="98" t="s">
        <v>584</v>
      </c>
      <c r="AD30" s="98" t="s">
        <v>584</v>
      </c>
      <c r="AE30" s="98" t="s">
        <v>584</v>
      </c>
    </row>
    <row r="31" spans="1:31" ht="15" customHeight="1" x14ac:dyDescent="0.25">
      <c r="A31" s="85" t="s">
        <v>603</v>
      </c>
      <c r="B31" s="280"/>
      <c r="C31" s="99"/>
      <c r="D31" s="99"/>
      <c r="E31" s="99"/>
      <c r="F31" s="100"/>
      <c r="G31" s="230">
        <f t="array" ref="G31">IFERROR(INDEX($D$3:$D$28, MATCH(0,IF(ISBLANK($D$3:$D$28),1,COUNTIF($F$31:F31, $D$3:$D$28)), 0)),"")</f>
        <v>44012</v>
      </c>
      <c r="H31" s="230">
        <f t="array" ref="H31">IFERROR(INDEX($D$3:$D$28, MATCH(0,IF(ISBLANK($D$3:$D$28),1,COUNTIF($F$31:G31, $D$3:$D$28)), 0)),"")</f>
        <v>43982</v>
      </c>
      <c r="I31" s="230">
        <f t="array" ref="I31">IFERROR(INDEX($D$3:$D$28, MATCH(0,IF(ISBLANK($D$3:$D$28),1,COUNTIF($F$31:H31, $D$3:$D$28)), 0)),"")</f>
        <v>43951</v>
      </c>
      <c r="J31" s="230">
        <f t="array" ref="J31">IFERROR(INDEX($D$3:$D$28, MATCH(0,IF(ISBLANK($D$3:$D$28),1,COUNTIF($F$31:I31, $D$3:$D$28)), 0)),"")</f>
        <v>43921</v>
      </c>
      <c r="K31" s="230">
        <f t="array" ref="K31">IFERROR(INDEX($D$3:$D$28, MATCH(0,IF(ISBLANK($D$3:$D$28),1,COUNTIF($F$31:J31, $D$3:$D$28)), 0)),"")</f>
        <v>43889</v>
      </c>
      <c r="L31" s="230">
        <f t="array" ref="L31">IFERROR(INDEX($D$3:$D$28, MATCH(0,IF(ISBLANK($D$3:$D$28),1,COUNTIF($F$31:K31, $D$3:$D$28)), 0)),"")</f>
        <v>43861</v>
      </c>
      <c r="M31" s="230">
        <f t="array" ref="M31">IFERROR(INDEX($D$3:$D$28, MATCH(0,IF(ISBLANK($D$3:$D$28),1,COUNTIF($F$31:L31, $D$3:$D$28)), 0)),"")</f>
        <v>43830</v>
      </c>
      <c r="N31" s="230">
        <f t="array" ref="N31">IFERROR(INDEX($D$3:$D$28, MATCH(0,IF(ISBLANK($D$3:$D$28),1,COUNTIF($F$31:M31, $D$3:$D$28)), 0)),"")</f>
        <v>43799</v>
      </c>
      <c r="O31" s="230">
        <f t="array" ref="O31">IFERROR(INDEX($D$3:$D$28, MATCH(0,IF(ISBLANK($D$3:$D$28),1,COUNTIF($F$31:N31, $D$3:$D$28)), 0)),"")</f>
        <v>43769</v>
      </c>
      <c r="P31" s="230">
        <f t="array" ref="P31">IFERROR(INDEX($D$3:$D$28, MATCH(0,IF(ISBLANK($D$3:$D$28),1,COUNTIF($F$31:O31, $D$3:$D$28)), 0)),"")</f>
        <v>43738</v>
      </c>
      <c r="Q31" s="230">
        <f t="array" ref="Q31">IFERROR(INDEX($D$3:$D$28, MATCH(0,IF(ISBLANK($D$3:$D$28),1,COUNTIF($F$31:P31, $D$3:$D$28)), 0)),"")</f>
        <v>43708</v>
      </c>
      <c r="R31" s="230">
        <f t="array" ref="R31">IFERROR(INDEX($D$3:$D$28, MATCH(0,IF(ISBLANK($D$3:$D$28),1,COUNTIF($F$31:Q31, $D$3:$D$28)), 0)),"")</f>
        <v>43677</v>
      </c>
      <c r="S31" s="230">
        <f t="array" ref="S31">IFERROR(INDEX($D$3:$D$28, MATCH(0,IF(ISBLANK($D$3:$D$28),1,COUNTIF($F$31:R31, $D$3:$D$28)), 0)),"")</f>
        <v>43646</v>
      </c>
      <c r="T31" s="230">
        <f t="array" ref="T31">IFERROR(INDEX($D$3:$D$28, MATCH(0,IF(ISBLANK($D$3:$D$28),1,COUNTIF($F$31:S31, $D$3:$D$28)), 0)),"")</f>
        <v>43616</v>
      </c>
      <c r="U31" s="230">
        <f t="array" ref="U31">IFERROR(INDEX($D$3:$D$28, MATCH(0,IF(ISBLANK($D$3:$D$28),1,COUNTIF($F$31:T31, $D$3:$D$28)), 0)),"")</f>
        <v>43585</v>
      </c>
      <c r="V31" s="230">
        <f t="array" ref="V31">IFERROR(INDEX($D$3:$D$28, MATCH(0,IF(ISBLANK($D$3:$D$28),1,COUNTIF($F$31:U31, $D$3:$D$28)), 0)),"")</f>
        <v>43555</v>
      </c>
      <c r="W31" s="230">
        <f t="array" ref="W31">IFERROR(INDEX($D$3:$D$28, MATCH(0,IF(ISBLANK($D$3:$D$28),1,COUNTIF($F$31:V31, $D$3:$D$28)), 0)),"")</f>
        <v>43524</v>
      </c>
      <c r="X31" s="230">
        <f t="array" ref="X31">IFERROR(INDEX($D$3:$D$28, MATCH(0,IF(ISBLANK($D$3:$D$28),1,COUNTIF($F$31:W31, $D$3:$D$28)), 0)),"")</f>
        <v>43496</v>
      </c>
      <c r="Y31" s="230">
        <f t="array" ref="Y31">IFERROR(INDEX($D$3:$D$28, MATCH(0,IF(ISBLANK($D$3:$D$28),1,COUNTIF($F$31:X31, $D$3:$D$28)), 0)),"")</f>
        <v>43465</v>
      </c>
      <c r="Z31" s="230">
        <f t="array" ref="Z31">IFERROR(INDEX($D$3:$D$28, MATCH(0,IF(ISBLANK($D$3:$D$28),1,COUNTIF($F$31:Y31, $D$3:$D$28)), 0)),"")</f>
        <v>43434</v>
      </c>
      <c r="AA31" s="230">
        <f t="array" ref="AA31">IFERROR(INDEX($D$3:$D$28, MATCH(0,IF(ISBLANK($D$3:$D$28),1,COUNTIF($F$31:Z31, $D$3:$D$28)), 0)),"")</f>
        <v>43404</v>
      </c>
      <c r="AB31" s="230">
        <f t="array" ref="AB31">IFERROR(INDEX($D$3:$D$28, MATCH(0,IF(ISBLANK($D$3:$D$28),1,COUNTIF($F$31:AA31, $D$3:$D$28)), 0)),"")</f>
        <v>43373</v>
      </c>
      <c r="AC31" s="230">
        <f t="array" ref="AC31">IFERROR(INDEX($D$3:$D$28, MATCH(0,IF(ISBLANK($D$3:$D$28),1,COUNTIF($F$31:AB31, $D$3:$D$28)), 0)),"")</f>
        <v>43343</v>
      </c>
      <c r="AD31" s="230">
        <f t="array" ref="AD31">IFERROR(INDEX($D$3:$D$28, MATCH(0,IF(ISBLANK($D$3:$D$28),1,COUNTIF($F$31:AC31, $D$3:$D$28)), 0)),"")</f>
        <v>43312</v>
      </c>
      <c r="AE31" s="230">
        <f t="array" ref="AE31">IFERROR(INDEX($D$3:$D$28, MATCH(0,IF(ISBLANK($D$3:$D$28),1,COUNTIF($F$31:AD31, $D$3:$D$28)), 0)),"")</f>
        <v>43281</v>
      </c>
    </row>
    <row r="32" spans="1:31" ht="27.75" customHeight="1" x14ac:dyDescent="0.25">
      <c r="A32" s="85" t="s">
        <v>603</v>
      </c>
      <c r="B32" s="281"/>
      <c r="C32" s="101"/>
      <c r="D32" s="101"/>
      <c r="E32" s="101"/>
      <c r="F32" s="102"/>
      <c r="G32" s="103" t="s">
        <v>594</v>
      </c>
      <c r="H32" s="103" t="s">
        <v>594</v>
      </c>
      <c r="I32" s="103" t="s">
        <v>594</v>
      </c>
      <c r="J32" s="103" t="s">
        <v>594</v>
      </c>
      <c r="K32" s="103" t="s">
        <v>594</v>
      </c>
      <c r="L32" s="103" t="s">
        <v>594</v>
      </c>
      <c r="M32" s="103" t="s">
        <v>594</v>
      </c>
      <c r="N32" s="103" t="s">
        <v>594</v>
      </c>
      <c r="O32" s="103" t="s">
        <v>594</v>
      </c>
      <c r="P32" s="103" t="s">
        <v>594</v>
      </c>
      <c r="Q32" s="103" t="s">
        <v>594</v>
      </c>
      <c r="R32" s="103" t="s">
        <v>594</v>
      </c>
      <c r="S32" s="103" t="s">
        <v>594</v>
      </c>
      <c r="T32" s="103" t="s">
        <v>594</v>
      </c>
      <c r="U32" s="103" t="s">
        <v>594</v>
      </c>
      <c r="V32" s="103" t="s">
        <v>594</v>
      </c>
      <c r="W32" s="103" t="s">
        <v>594</v>
      </c>
      <c r="X32" s="103" t="s">
        <v>594</v>
      </c>
      <c r="Y32" s="103" t="s">
        <v>594</v>
      </c>
      <c r="Z32" s="103" t="s">
        <v>594</v>
      </c>
      <c r="AA32" s="103" t="s">
        <v>594</v>
      </c>
      <c r="AB32" s="103" t="s">
        <v>594</v>
      </c>
      <c r="AC32" s="103" t="s">
        <v>594</v>
      </c>
      <c r="AD32" s="103" t="s">
        <v>594</v>
      </c>
      <c r="AE32" s="103" t="s">
        <v>594</v>
      </c>
    </row>
    <row r="33" spans="1:31" ht="15" customHeight="1" x14ac:dyDescent="0.25">
      <c r="A33" s="85">
        <f>IF(B33="",1,0)</f>
        <v>0</v>
      </c>
      <c r="B33" s="104" t="str">
        <f t="array" ref="B33">IFERROR(INDEX($B$3:$B$28, MATCH(0,IF(ISBLANK($B$3:$B$28),1,COUNTIF($B$32:B32, $B$3:$B$28)), 0)),"")</f>
        <v>Goa</v>
      </c>
      <c r="C33" s="105"/>
      <c r="D33" s="105"/>
      <c r="E33" s="105"/>
      <c r="F33" s="106"/>
      <c r="G33" s="144">
        <f t="array" ref="G33">IFERROR(PERCENTILE(IF($B$3:$B$28=$B33,IF($D$3:$D$28=G$31,IF($F$3:$F$28&lt;&gt;"",$F$3:$F$28))),0.95),"")</f>
        <v>0.62</v>
      </c>
      <c r="H33" s="144" t="str">
        <f t="array" ref="H33">IFERROR(PERCENTILE(IF($B$3:$B$28=$B33,IF($D$3:$D$28=H$31,IF($F$3:$F$28&lt;&gt;"",$F$3:$F$28))),0.95),"")</f>
        <v/>
      </c>
      <c r="I33" s="144" t="str">
        <f t="array" ref="I33">IFERROR(PERCENTILE(IF($B$3:$B$28=$B33,IF($D$3:$D$28=I$31,IF($F$3:$F$28&lt;&gt;"",$F$3:$F$28))),0.95),"")</f>
        <v/>
      </c>
      <c r="J33" s="144" t="str">
        <f t="array" ref="J33">IFERROR(PERCENTILE(IF($B$3:$B$28=$B33,IF($D$3:$D$28=J$31,IF($F$3:$F$28&lt;&gt;"",$F$3:$F$28))),0.95),"")</f>
        <v/>
      </c>
      <c r="K33" s="144" t="str">
        <f t="array" ref="K33">IFERROR(PERCENTILE(IF($B$3:$B$28=$B33,IF($D$3:$D$28=K$31,IF($F$3:$F$28&lt;&gt;"",$F$3:$F$28))),0.95),"")</f>
        <v/>
      </c>
      <c r="L33" s="144" t="str">
        <f t="array" ref="L33">IFERROR(PERCENTILE(IF($B$3:$B$28=$B33,IF($D$3:$D$28=L$31,IF($F$3:$F$28&lt;&gt;"",$F$3:$F$28))),0.95),"")</f>
        <v/>
      </c>
      <c r="M33" s="144" t="str">
        <f t="array" ref="M33">IFERROR(PERCENTILE(IF($B$3:$B$28=$B33,IF($D$3:$D$28=M$31,IF($F$3:$F$28&lt;&gt;"",$F$3:$F$28))),0.95),"")</f>
        <v/>
      </c>
      <c r="N33" s="144">
        <f t="array" ref="N33">IFERROR(PERCENTILE(IF($B$3:$B$28=$B33,IF($D$3:$D$28=N$31,IF($F$3:$F$28&lt;&gt;"",$F$3:$F$28))),0.95),"")</f>
        <v>0.25</v>
      </c>
      <c r="O33" s="144" t="str">
        <f t="array" ref="O33">IFERROR(PERCENTILE(IF($B$3:$B$28=$B33,IF($D$3:$D$28=O$31,IF($F$3:$F$28&lt;&gt;"",$F$3:$F$28))),0.95),"")</f>
        <v/>
      </c>
      <c r="P33" s="144" t="str">
        <f t="array" ref="P33">IFERROR(PERCENTILE(IF($B$3:$B$28=$B33,IF($D$3:$D$28=P$31,IF($F$3:$F$28&lt;&gt;"",$F$3:$F$28))),0.95),"")</f>
        <v/>
      </c>
      <c r="Q33" s="144" t="str">
        <f t="array" ref="Q33">IFERROR(PERCENTILE(IF($B$3:$B$28=$B33,IF($D$3:$D$28=Q$31,IF($F$3:$F$28&lt;&gt;"",$F$3:$F$28))),0.95),"")</f>
        <v/>
      </c>
      <c r="R33" s="144" t="str">
        <f t="array" ref="R33">IFERROR(PERCENTILE(IF($B$3:$B$28=$B33,IF($D$3:$D$28=R$31,IF($F$3:$F$28&lt;&gt;"",$F$3:$F$28))),0.95),"")</f>
        <v/>
      </c>
      <c r="S33" s="144" t="str">
        <f t="array" ref="S33">IFERROR(PERCENTILE(IF($B$3:$B$28=$B33,IF($D$3:$D$28=S$31,IF($F$3:$F$28&lt;&gt;"",$F$3:$F$28))),0.95),"")</f>
        <v/>
      </c>
      <c r="T33" s="144">
        <f t="array" ref="T33">IFERROR(PERCENTILE(IF($B$3:$B$28=$B33,IF($D$3:$D$28=T$31,IF($F$3:$F$28&lt;&gt;"",$F$3:$F$28))),0.95),"")</f>
        <v>0.19</v>
      </c>
      <c r="U33" s="144" t="str">
        <f t="array" ref="U33">IFERROR(PERCENTILE(IF($B$3:$B$28=$B33,IF($D$3:$D$28=U$31,IF($F$3:$F$28&lt;&gt;"",$F$3:$F$28))),0.95),"")</f>
        <v/>
      </c>
      <c r="V33" s="144" t="str">
        <f t="array" ref="V33">IFERROR(PERCENTILE(IF($B$3:$B$28=$B33,IF($D$3:$D$28=V$31,IF($F$3:$F$28&lt;&gt;"",$F$3:$F$28))),0.95),"")</f>
        <v/>
      </c>
      <c r="W33" s="144" t="str">
        <f t="array" ref="W33">IFERROR(PERCENTILE(IF($B$3:$B$28=$B33,IF($D$3:$D$28=W$31,IF($F$3:$F$28&lt;&gt;"",$F$3:$F$28))),0.95),"")</f>
        <v/>
      </c>
      <c r="X33" s="144" t="str">
        <f t="array" ref="X33">IFERROR(PERCENTILE(IF($B$3:$B$28=$B33,IF($D$3:$D$28=X$31,IF($F$3:$F$28&lt;&gt;"",$F$3:$F$28))),0.95),"")</f>
        <v/>
      </c>
      <c r="Y33" s="144" t="str">
        <f t="array" ref="Y33">IFERROR(PERCENTILE(IF($B$3:$B$28=$B33,IF($D$3:$D$28=Y$31,IF($F$3:$F$28&lt;&gt;"",$F$3:$F$28))),0.95),"")</f>
        <v/>
      </c>
      <c r="Z33" s="144" t="str">
        <f t="array" ref="Z33">IFERROR(PERCENTILE(IF($B$3:$B$28=$B33,IF($D$3:$D$28=Z$31,IF($F$3:$F$28&lt;&gt;"",$F$3:$F$28))),0.95),"")</f>
        <v/>
      </c>
      <c r="AA33" s="144">
        <f t="array" ref="AA33">IFERROR(PERCENTILE(IF($B$3:$B$28=$B33,IF($D$3:$D$28=AA$31,IF($F$3:$F$28&lt;&gt;"",$F$3:$F$28))),0.95),"")</f>
        <v>0.33</v>
      </c>
      <c r="AB33" s="144" t="str">
        <f t="array" ref="AB33">IFERROR(PERCENTILE(IF($B$3:$B$28=$B33,IF($D$3:$D$28=AB$31,IF($F$3:$F$28&lt;&gt;"",$F$3:$F$28))),0.95),"")</f>
        <v/>
      </c>
      <c r="AC33" s="144" t="str">
        <f t="array" ref="AC33">IFERROR(PERCENTILE(IF($B$3:$B$28=$B33,IF($D$3:$D$28=AC$31,IF($F$3:$F$28&lt;&gt;"",$F$3:$F$28))),0.95),"")</f>
        <v/>
      </c>
      <c r="AD33" s="144" t="str">
        <f t="array" ref="AD33">IFERROR(PERCENTILE(IF($B$3:$B$28=$B33,IF($D$3:$D$28=AD$31,IF($F$3:$F$28&lt;&gt;"",$F$3:$F$28))),0.95),"")</f>
        <v/>
      </c>
      <c r="AE33" s="144" t="str">
        <f t="array" ref="AE33">IFERROR(PERCENTILE(IF($B$3:$B$28=$B33,IF($D$3:$D$28=AE$31,IF($F$3:$F$28&lt;&gt;"",$F$3:$F$28))),0.95),"")</f>
        <v/>
      </c>
    </row>
    <row r="34" spans="1:31" ht="15" customHeight="1" x14ac:dyDescent="0.25">
      <c r="A34" s="85">
        <f t="shared" ref="A34" si="2">IF(B34="",1,0)</f>
        <v>0</v>
      </c>
      <c r="B34" s="104" t="str">
        <f t="array" ref="B34">IFERROR(INDEX($B$3:$B$28, MATCH(0,IF(ISBLANK($B$3:$B$28),1,COUNTIF($B$32:B33, $B$3:$B$28)), 0)),"")</f>
        <v>Hyd</v>
      </c>
      <c r="C34" s="105"/>
      <c r="D34" s="105"/>
      <c r="E34" s="105"/>
      <c r="F34" s="106"/>
      <c r="G34" s="144" t="str">
        <f t="array" ref="G34">IFERROR(PERCENTILE(IF($B$3:$B$28=$B34,IF($D$3:$D$28=G$31,IF($F$3:$F$28&lt;&gt;"",$F$3:$F$28))),0.95),"")</f>
        <v/>
      </c>
      <c r="H34" s="144">
        <f t="array" ref="H34">IFERROR(PERCENTILE(IF($B$3:$B$28=$B34,IF($D$3:$D$28=H$31,IF($F$3:$F$28&lt;&gt;"",$F$3:$F$28))),0.95),"")</f>
        <v>0.19</v>
      </c>
      <c r="I34" s="144" t="str">
        <f t="array" ref="I34">IFERROR(PERCENTILE(IF($B$3:$B$28=$B34,IF($D$3:$D$28=I$31,IF($F$3:$F$28&lt;&gt;"",$F$3:$F$28))),0.95),"")</f>
        <v/>
      </c>
      <c r="J34" s="144" t="str">
        <f t="array" ref="J34">IFERROR(PERCENTILE(IF($B$3:$B$28=$B34,IF($D$3:$D$28=J$31,IF($F$3:$F$28&lt;&gt;"",$F$3:$F$28))),0.95),"")</f>
        <v/>
      </c>
      <c r="K34" s="144" t="str">
        <f t="array" ref="K34">IFERROR(PERCENTILE(IF($B$3:$B$28=$B34,IF($D$3:$D$28=K$31,IF($F$3:$F$28&lt;&gt;"",$F$3:$F$28))),0.95),"")</f>
        <v/>
      </c>
      <c r="L34" s="144">
        <f t="array" ref="L34">IFERROR(PERCENTILE(IF($B$3:$B$28=$B34,IF($D$3:$D$28=L$31,IF($F$3:$F$28&lt;&gt;"",$F$3:$F$28))),0.95),"")</f>
        <v>0.11</v>
      </c>
      <c r="M34" s="144" t="str">
        <f t="array" ref="M34">IFERROR(PERCENTILE(IF($B$3:$B$28=$B34,IF($D$3:$D$28=M$31,IF($F$3:$F$28&lt;&gt;"",$F$3:$F$28))),0.95),"")</f>
        <v/>
      </c>
      <c r="N34" s="144" t="str">
        <f t="array" ref="N34">IFERROR(PERCENTILE(IF($B$3:$B$28=$B34,IF($D$3:$D$28=N$31,IF($F$3:$F$28&lt;&gt;"",$F$3:$F$28))),0.95),"")</f>
        <v/>
      </c>
      <c r="O34" s="144" t="str">
        <f t="array" ref="O34">IFERROR(PERCENTILE(IF($B$3:$B$28=$B34,IF($D$3:$D$28=O$31,IF($F$3:$F$28&lt;&gt;"",$F$3:$F$28))),0.95),"")</f>
        <v/>
      </c>
      <c r="P34" s="144" t="str">
        <f t="array" ref="P34">IFERROR(PERCENTILE(IF($B$3:$B$28=$B34,IF($D$3:$D$28=P$31,IF($F$3:$F$28&lt;&gt;"",$F$3:$F$28))),0.95),"")</f>
        <v/>
      </c>
      <c r="Q34" s="144" t="str">
        <f t="array" ref="Q34">IFERROR(PERCENTILE(IF($B$3:$B$28=$B34,IF($D$3:$D$28=Q$31,IF($F$3:$F$28&lt;&gt;"",$F$3:$F$28))),0.95),"")</f>
        <v/>
      </c>
      <c r="R34" s="144" t="str">
        <f t="array" ref="R34">IFERROR(PERCENTILE(IF($B$3:$B$28=$B34,IF($D$3:$D$28=R$31,IF($F$3:$F$28&lt;&gt;"",$F$3:$F$28))),0.95),"")</f>
        <v/>
      </c>
      <c r="S34" s="144" t="str">
        <f t="array" ref="S34">IFERROR(PERCENTILE(IF($B$3:$B$28=$B34,IF($D$3:$D$28=S$31,IF($F$3:$F$28&lt;&gt;"",$F$3:$F$28))),0.95),"")</f>
        <v/>
      </c>
      <c r="T34" s="144" t="str">
        <f t="array" ref="T34">IFERROR(PERCENTILE(IF($B$3:$B$28=$B34,IF($D$3:$D$28=T$31,IF($F$3:$F$28&lt;&gt;"",$F$3:$F$28))),0.95),"")</f>
        <v/>
      </c>
      <c r="U34" s="144">
        <f t="array" ref="U34">IFERROR(PERCENTILE(IF($B$3:$B$28=$B34,IF($D$3:$D$28=U$31,IF($F$3:$F$28&lt;&gt;"",$F$3:$F$28))),0.95),"")</f>
        <v>0.44</v>
      </c>
      <c r="V34" s="144" t="str">
        <f t="array" ref="V34">IFERROR(PERCENTILE(IF($B$3:$B$28=$B34,IF($D$3:$D$28=V$31,IF($F$3:$F$28&lt;&gt;"",$F$3:$F$28))),0.95),"")</f>
        <v/>
      </c>
      <c r="W34" s="144" t="str">
        <f t="array" ref="W34">IFERROR(PERCENTILE(IF($B$3:$B$28=$B34,IF($D$3:$D$28=W$31,IF($F$3:$F$28&lt;&gt;"",$F$3:$F$28))),0.95),"")</f>
        <v/>
      </c>
      <c r="X34" s="144" t="str">
        <f t="array" ref="X34">IFERROR(PERCENTILE(IF($B$3:$B$28=$B34,IF($D$3:$D$28=X$31,IF($F$3:$F$28&lt;&gt;"",$F$3:$F$28))),0.95),"")</f>
        <v/>
      </c>
      <c r="Y34" s="144">
        <f t="array" ref="Y34">IFERROR(PERCENTILE(IF($B$3:$B$28=$B34,IF($D$3:$D$28=Y$31,IF($F$3:$F$28&lt;&gt;"",$F$3:$F$28))),0.95),"")</f>
        <v>0.25</v>
      </c>
      <c r="Z34" s="144" t="str">
        <f t="array" ref="Z34">IFERROR(PERCENTILE(IF($B$3:$B$28=$B34,IF($D$3:$D$28=Z$31,IF($F$3:$F$28&lt;&gt;"",$F$3:$F$28))),0.95),"")</f>
        <v/>
      </c>
      <c r="AA34" s="144" t="str">
        <f t="array" ref="AA34">IFERROR(PERCENTILE(IF($B$3:$B$28=$B34,IF($D$3:$D$28=AA$31,IF($F$3:$F$28&lt;&gt;"",$F$3:$F$28))),0.95),"")</f>
        <v/>
      </c>
      <c r="AB34" s="144" t="str">
        <f t="array" ref="AB34">IFERROR(PERCENTILE(IF($B$3:$B$28=$B34,IF($D$3:$D$28=AB$31,IF($F$3:$F$28&lt;&gt;"",$F$3:$F$28))),0.95),"")</f>
        <v/>
      </c>
      <c r="AC34" s="144" t="str">
        <f t="array" ref="AC34">IFERROR(PERCENTILE(IF($B$3:$B$28=$B34,IF($D$3:$D$28=AC$31,IF($F$3:$F$28&lt;&gt;"",$F$3:$F$28))),0.95),"")</f>
        <v/>
      </c>
      <c r="AD34" s="144" t="str">
        <f t="array" ref="AD34">IFERROR(PERCENTILE(IF($B$3:$B$28=$B34,IF($D$3:$D$28=AD$31,IF($F$3:$F$28&lt;&gt;"",$F$3:$F$28))),0.95),"")</f>
        <v/>
      </c>
      <c r="AE34" s="144" t="str">
        <f t="array" ref="AE34">IFERROR(PERCENTILE(IF($B$3:$B$28=$B34,IF($D$3:$D$28=AE$31,IF($F$3:$F$28&lt;&gt;"",$F$3:$F$28))),0.95),"")</f>
        <v/>
      </c>
    </row>
    <row r="35" spans="1:31" ht="15" customHeight="1" x14ac:dyDescent="0.25">
      <c r="A35" s="85">
        <f t="shared" ref="A35:A41" si="3">IF(B35="",1,0)</f>
        <v>0</v>
      </c>
      <c r="B35" s="104" t="str">
        <f t="array" ref="B35">IFERROR(INDEX($B$3:$B$28, MATCH(0,IF(ISBLANK($B$3:$B$28),1,COUNTIF($B$32:B34, $B$3:$B$28)), 0)),"")</f>
        <v>Delhi</v>
      </c>
      <c r="C35" s="105"/>
      <c r="D35" s="105"/>
      <c r="E35" s="105"/>
      <c r="F35" s="106"/>
      <c r="G35" s="144" t="str">
        <f t="array" ref="G35">IFERROR(PERCENTILE(IF($B$3:$B$28=$B35,IF($D$3:$D$28=G$31,IF($F$3:$F$28&lt;&gt;"",$F$3:$F$28))),0.95),"")</f>
        <v/>
      </c>
      <c r="H35" s="144" t="str">
        <f t="array" ref="H35">IFERROR(PERCENTILE(IF($B$3:$B$28=$B35,IF($D$3:$D$28=H$31,IF($F$3:$F$28&lt;&gt;"",$F$3:$F$28))),0.95),"")</f>
        <v/>
      </c>
      <c r="I35" s="144">
        <f t="array" ref="I35">IFERROR(PERCENTILE(IF($B$3:$B$28=$B35,IF($D$3:$D$28=I$31,IF($F$3:$F$28&lt;&gt;"",$F$3:$F$28))),0.95),"")</f>
        <v>0.44</v>
      </c>
      <c r="J35" s="144" t="str">
        <f t="array" ref="J35">IFERROR(PERCENTILE(IF($B$3:$B$28=$B35,IF($D$3:$D$28=J$31,IF($F$3:$F$28&lt;&gt;"",$F$3:$F$28))),0.95),"")</f>
        <v/>
      </c>
      <c r="K35" s="144" t="str">
        <f t="array" ref="K35">IFERROR(PERCENTILE(IF($B$3:$B$28=$B35,IF($D$3:$D$28=K$31,IF($F$3:$F$28&lt;&gt;"",$F$3:$F$28))),0.95),"")</f>
        <v/>
      </c>
      <c r="L35" s="144" t="str">
        <f t="array" ref="L35">IFERROR(PERCENTILE(IF($B$3:$B$28=$B35,IF($D$3:$D$28=L$31,IF($F$3:$F$28&lt;&gt;"",$F$3:$F$28))),0.95),"")</f>
        <v/>
      </c>
      <c r="M35" s="144">
        <f t="array" ref="M35">IFERROR(PERCENTILE(IF($B$3:$B$28=$B35,IF($D$3:$D$28=M$31,IF($F$3:$F$28&lt;&gt;"",$F$3:$F$28))),0.95),"")</f>
        <v>0.25</v>
      </c>
      <c r="N35" s="144" t="str">
        <f t="array" ref="N35">IFERROR(PERCENTILE(IF($B$3:$B$28=$B35,IF($D$3:$D$28=N$31,IF($F$3:$F$28&lt;&gt;"",$F$3:$F$28))),0.95),"")</f>
        <v/>
      </c>
      <c r="O35" s="144" t="str">
        <f t="array" ref="O35">IFERROR(PERCENTILE(IF($B$3:$B$28=$B35,IF($D$3:$D$28=O$31,IF($F$3:$F$28&lt;&gt;"",$F$3:$F$28))),0.95),"")</f>
        <v/>
      </c>
      <c r="P35" s="144" t="str">
        <f t="array" ref="P35">IFERROR(PERCENTILE(IF($B$3:$B$28=$B35,IF($D$3:$D$28=P$31,IF($F$3:$F$28&lt;&gt;"",$F$3:$F$28))),0.95),"")</f>
        <v/>
      </c>
      <c r="Q35" s="144" t="str">
        <f t="array" ref="Q35">IFERROR(PERCENTILE(IF($B$3:$B$28=$B35,IF($D$3:$D$28=Q$31,IF($F$3:$F$28&lt;&gt;"",$F$3:$F$28))),0.95),"")</f>
        <v/>
      </c>
      <c r="R35" s="144" t="str">
        <f t="array" ref="R35">IFERROR(PERCENTILE(IF($B$3:$B$28=$B35,IF($D$3:$D$28=R$31,IF($F$3:$F$28&lt;&gt;"",$F$3:$F$28))),0.95),"")</f>
        <v/>
      </c>
      <c r="S35" s="144" t="str">
        <f t="array" ref="S35">IFERROR(PERCENTILE(IF($B$3:$B$28=$B35,IF($D$3:$D$28=S$31,IF($F$3:$F$28&lt;&gt;"",$F$3:$F$28))),0.95),"")</f>
        <v/>
      </c>
      <c r="T35" s="144" t="str">
        <f t="array" ref="T35">IFERROR(PERCENTILE(IF($B$3:$B$28=$B35,IF($D$3:$D$28=T$31,IF($F$3:$F$28&lt;&gt;"",$F$3:$F$28))),0.95),"")</f>
        <v/>
      </c>
      <c r="U35" s="144" t="str">
        <f t="array" ref="U35">IFERROR(PERCENTILE(IF($B$3:$B$28=$B35,IF($D$3:$D$28=U$31,IF($F$3:$F$28&lt;&gt;"",$F$3:$F$28))),0.95),"")</f>
        <v/>
      </c>
      <c r="V35" s="144">
        <f t="array" ref="V35">IFERROR(PERCENTILE(IF($B$3:$B$28=$B35,IF($D$3:$D$28=V$31,IF($F$3:$F$28&lt;&gt;"",$F$3:$F$28))),0.95),"")</f>
        <v>0.73</v>
      </c>
      <c r="W35" s="144" t="str">
        <f t="array" ref="W35">IFERROR(PERCENTILE(IF($B$3:$B$28=$B35,IF($D$3:$D$28=W$31,IF($F$3:$F$28&lt;&gt;"",$F$3:$F$28))),0.95),"")</f>
        <v/>
      </c>
      <c r="X35" s="144" t="str">
        <f t="array" ref="X35">IFERROR(PERCENTILE(IF($B$3:$B$28=$B35,IF($D$3:$D$28=X$31,IF($F$3:$F$28&lt;&gt;"",$F$3:$F$28))),0.95),"")</f>
        <v/>
      </c>
      <c r="Y35" s="144" t="str">
        <f t="array" ref="Y35">IFERROR(PERCENTILE(IF($B$3:$B$28=$B35,IF($D$3:$D$28=Y$31,IF($F$3:$F$28&lt;&gt;"",$F$3:$F$28))),0.95),"")</f>
        <v/>
      </c>
      <c r="Z35" s="144">
        <f t="array" ref="Z35">IFERROR(PERCENTILE(IF($B$3:$B$28=$B35,IF($D$3:$D$28=Z$31,IF($F$3:$F$28&lt;&gt;"",$F$3:$F$28))),0.95),"")</f>
        <v>0.25</v>
      </c>
      <c r="AA35" s="144" t="str">
        <f t="array" ref="AA35">IFERROR(PERCENTILE(IF($B$3:$B$28=$B35,IF($D$3:$D$28=AA$31,IF($F$3:$F$28&lt;&gt;"",$F$3:$F$28))),0.95),"")</f>
        <v/>
      </c>
      <c r="AB35" s="144" t="str">
        <f t="array" ref="AB35">IFERROR(PERCENTILE(IF($B$3:$B$28=$B35,IF($D$3:$D$28=AB$31,IF($F$3:$F$28&lt;&gt;"",$F$3:$F$28))),0.95),"")</f>
        <v/>
      </c>
      <c r="AC35" s="144" t="str">
        <f t="array" ref="AC35">IFERROR(PERCENTILE(IF($B$3:$B$28=$B35,IF($D$3:$D$28=AC$31,IF($F$3:$F$28&lt;&gt;"",$F$3:$F$28))),0.95),"")</f>
        <v/>
      </c>
      <c r="AD35" s="144" t="str">
        <f t="array" ref="AD35">IFERROR(PERCENTILE(IF($B$3:$B$28=$B35,IF($D$3:$D$28=AD$31,IF($F$3:$F$28&lt;&gt;"",$F$3:$F$28))),0.95),"")</f>
        <v/>
      </c>
      <c r="AE35" s="144" t="str">
        <f t="array" ref="AE35">IFERROR(PERCENTILE(IF($B$3:$B$28=$B35,IF($D$3:$D$28=AE$31,IF($F$3:$F$28&lt;&gt;"",$F$3:$F$28))),0.95),"")</f>
        <v/>
      </c>
    </row>
    <row r="36" spans="1:31" ht="15" customHeight="1" x14ac:dyDescent="0.25">
      <c r="A36" s="85">
        <f t="shared" si="3"/>
        <v>0</v>
      </c>
      <c r="B36" s="104" t="str">
        <f t="array" ref="B36">IFERROR(INDEX($B$3:$B$28, MATCH(0,IF(ISBLANK($B$3:$B$28),1,COUNTIF($B$32:B35, $B$3:$B$28)), 0)),"")</f>
        <v>Banglore</v>
      </c>
      <c r="C36" s="105"/>
      <c r="D36" s="105"/>
      <c r="E36" s="105"/>
      <c r="F36" s="106"/>
      <c r="G36" s="144" t="str">
        <f t="array" ref="G36">IFERROR(PERCENTILE(IF($B$3:$B$28=$B36,IF($D$3:$D$28=G$31,IF($F$3:$F$28&lt;&gt;"",$F$3:$F$28))),0.95),"")</f>
        <v/>
      </c>
      <c r="H36" s="144" t="str">
        <f t="array" ref="H36">IFERROR(PERCENTILE(IF($B$3:$B$28=$B36,IF($D$3:$D$28=H$31,IF($F$3:$F$28&lt;&gt;"",$F$3:$F$28))),0.95),"")</f>
        <v/>
      </c>
      <c r="I36" s="144" t="str">
        <f t="array" ref="I36">IFERROR(PERCENTILE(IF($B$3:$B$28=$B36,IF($D$3:$D$28=I$31,IF($F$3:$F$28&lt;&gt;"",$F$3:$F$28))),0.95),"")</f>
        <v/>
      </c>
      <c r="J36" s="144">
        <f t="array" ref="J36">IFERROR(PERCENTILE(IF($B$3:$B$28=$B36,IF($D$3:$D$28=J$31,IF($F$3:$F$28&lt;&gt;"",$F$3:$F$28))),0.95),"")</f>
        <v>0.73</v>
      </c>
      <c r="K36" s="144" t="str">
        <f t="array" ref="K36">IFERROR(PERCENTILE(IF($B$3:$B$28=$B36,IF($D$3:$D$28=K$31,IF($F$3:$F$28&lt;&gt;"",$F$3:$F$28))),0.95),"")</f>
        <v/>
      </c>
      <c r="L36" s="144" t="str">
        <f t="array" ref="L36">IFERROR(PERCENTILE(IF($B$3:$B$28=$B36,IF($D$3:$D$28=L$31,IF($F$3:$F$28&lt;&gt;"",$F$3:$F$28))),0.95),"")</f>
        <v/>
      </c>
      <c r="M36" s="144" t="str">
        <f t="array" ref="M36">IFERROR(PERCENTILE(IF($B$3:$B$28=$B36,IF($D$3:$D$28=M$31,IF($F$3:$F$28&lt;&gt;"",$F$3:$F$28))),0.95),"")</f>
        <v/>
      </c>
      <c r="N36" s="144" t="str">
        <f t="array" ref="N36">IFERROR(PERCENTILE(IF($B$3:$B$28=$B36,IF($D$3:$D$28=N$31,IF($F$3:$F$28&lt;&gt;"",$F$3:$F$28))),0.95),"")</f>
        <v/>
      </c>
      <c r="O36" s="144" t="str">
        <f t="array" ref="O36">IFERROR(PERCENTILE(IF($B$3:$B$28=$B36,IF($D$3:$D$28=O$31,IF($F$3:$F$28&lt;&gt;"",$F$3:$F$28))),0.95),"")</f>
        <v/>
      </c>
      <c r="P36" s="144" t="str">
        <f t="array" ref="P36">IFERROR(PERCENTILE(IF($B$3:$B$28=$B36,IF($D$3:$D$28=P$31,IF($F$3:$F$28&lt;&gt;"",$F$3:$F$28))),0.95),"")</f>
        <v/>
      </c>
      <c r="Q36" s="144" t="str">
        <f t="array" ref="Q36">IFERROR(PERCENTILE(IF($B$3:$B$28=$B36,IF($D$3:$D$28=Q$31,IF($F$3:$F$28&lt;&gt;"",$F$3:$F$28))),0.95),"")</f>
        <v/>
      </c>
      <c r="R36" s="144" t="str">
        <f t="array" ref="R36">IFERROR(PERCENTILE(IF($B$3:$B$28=$B36,IF($D$3:$D$28=R$31,IF($F$3:$F$28&lt;&gt;"",$F$3:$F$28))),0.95),"")</f>
        <v/>
      </c>
      <c r="S36" s="144" t="str">
        <f t="array" ref="S36">IFERROR(PERCENTILE(IF($B$3:$B$28=$B36,IF($D$3:$D$28=S$31,IF($F$3:$F$28&lt;&gt;"",$F$3:$F$28))),0.95),"")</f>
        <v/>
      </c>
      <c r="T36" s="144" t="str">
        <f t="array" ref="T36">IFERROR(PERCENTILE(IF($B$3:$B$28=$B36,IF($D$3:$D$28=T$31,IF($F$3:$F$28&lt;&gt;"",$F$3:$F$28))),0.95),"")</f>
        <v/>
      </c>
      <c r="U36" s="144" t="str">
        <f t="array" ref="U36">IFERROR(PERCENTILE(IF($B$3:$B$28=$B36,IF($D$3:$D$28=U$31,IF($F$3:$F$28&lt;&gt;"",$F$3:$F$28))),0.95),"")</f>
        <v/>
      </c>
      <c r="V36" s="144" t="str">
        <f t="array" ref="V36">IFERROR(PERCENTILE(IF($B$3:$B$28=$B36,IF($D$3:$D$28=V$31,IF($F$3:$F$28&lt;&gt;"",$F$3:$F$28))),0.95),"")</f>
        <v/>
      </c>
      <c r="W36" s="144">
        <f t="array" ref="W36">IFERROR(PERCENTILE(IF($B$3:$B$28=$B36,IF($D$3:$D$28=W$31,IF($F$3:$F$28&lt;&gt;"",$F$3:$F$28))),0.95),"")</f>
        <v>0.99</v>
      </c>
      <c r="X36" s="144" t="str">
        <f t="array" ref="X36">IFERROR(PERCENTILE(IF($B$3:$B$28=$B36,IF($D$3:$D$28=X$31,IF($F$3:$F$28&lt;&gt;"",$F$3:$F$28))),0.95),"")</f>
        <v/>
      </c>
      <c r="Y36" s="144" t="str">
        <f t="array" ref="Y36">IFERROR(PERCENTILE(IF($B$3:$B$28=$B36,IF($D$3:$D$28=Y$31,IF($F$3:$F$28&lt;&gt;"",$F$3:$F$28))),0.95),"")</f>
        <v/>
      </c>
      <c r="Z36" s="144" t="str">
        <f t="array" ref="Z36">IFERROR(PERCENTILE(IF($B$3:$B$28=$B36,IF($D$3:$D$28=Z$31,IF($F$3:$F$28&lt;&gt;"",$F$3:$F$28))),0.95),"")</f>
        <v/>
      </c>
      <c r="AA36" s="144" t="str">
        <f t="array" ref="AA36">IFERROR(PERCENTILE(IF($B$3:$B$28=$B36,IF($D$3:$D$28=AA$31,IF($F$3:$F$28&lt;&gt;"",$F$3:$F$28))),0.95),"")</f>
        <v/>
      </c>
      <c r="AB36" s="144" t="str">
        <f t="array" ref="AB36">IFERROR(PERCENTILE(IF($B$3:$B$28=$B36,IF($D$3:$D$28=AB$31,IF($F$3:$F$28&lt;&gt;"",$F$3:$F$28))),0.95),"")</f>
        <v/>
      </c>
      <c r="AC36" s="144" t="str">
        <f t="array" ref="AC36">IFERROR(PERCENTILE(IF($B$3:$B$28=$B36,IF($D$3:$D$28=AC$31,IF($F$3:$F$28&lt;&gt;"",$F$3:$F$28))),0.95),"")</f>
        <v/>
      </c>
      <c r="AD36" s="144" t="str">
        <f t="array" ref="AD36">IFERROR(PERCENTILE(IF($B$3:$B$28=$B36,IF($D$3:$D$28=AD$31,IF($F$3:$F$28&lt;&gt;"",$F$3:$F$28))),0.95),"")</f>
        <v/>
      </c>
      <c r="AE36" s="144" t="str">
        <f t="array" ref="AE36">IFERROR(PERCENTILE(IF($B$3:$B$28=$B36,IF($D$3:$D$28=AE$31,IF($F$3:$F$28&lt;&gt;"",$F$3:$F$28))),0.95),"")</f>
        <v/>
      </c>
    </row>
    <row r="37" spans="1:31" ht="15" customHeight="1" x14ac:dyDescent="0.25">
      <c r="A37" s="85">
        <f t="shared" si="3"/>
        <v>0</v>
      </c>
      <c r="B37" s="104" t="str">
        <f t="array" ref="B37">IFERROR(INDEX($B$3:$B$28, MATCH(0,IF(ISBLANK($B$3:$B$28),1,COUNTIF($B$32:B36, $B$3:$B$28)), 0)),"")</f>
        <v>Chennai</v>
      </c>
      <c r="C37" s="105"/>
      <c r="D37" s="105"/>
      <c r="E37" s="105"/>
      <c r="F37" s="106"/>
      <c r="G37" s="144" t="str">
        <f t="array" ref="G37">IFERROR(PERCENTILE(IF($B$3:$B$28=$B37,IF($D$3:$D$28=G$31,IF($F$3:$F$28&lt;&gt;"",$F$3:$F$28))),0.95),"")</f>
        <v/>
      </c>
      <c r="H37" s="144" t="str">
        <f t="array" ref="H37">IFERROR(PERCENTILE(IF($B$3:$B$28=$B37,IF($D$3:$D$28=H$31,IF($F$3:$F$28&lt;&gt;"",$F$3:$F$28))),0.95),"")</f>
        <v/>
      </c>
      <c r="I37" s="144" t="str">
        <f t="array" ref="I37">IFERROR(PERCENTILE(IF($B$3:$B$28=$B37,IF($D$3:$D$28=I$31,IF($F$3:$F$28&lt;&gt;"",$F$3:$F$28))),0.95),"")</f>
        <v/>
      </c>
      <c r="J37" s="144" t="str">
        <f t="array" ref="J37">IFERROR(PERCENTILE(IF($B$3:$B$28=$B37,IF($D$3:$D$28=J$31,IF($F$3:$F$28&lt;&gt;"",$F$3:$F$28))),0.95),"")</f>
        <v/>
      </c>
      <c r="K37" s="144">
        <f t="array" ref="K37">IFERROR(PERCENTILE(IF($B$3:$B$28=$B37,IF($D$3:$D$28=K$31,IF($F$3:$F$28&lt;&gt;"",$F$3:$F$28))),0.95),"")</f>
        <v>0.99</v>
      </c>
      <c r="L37" s="144" t="str">
        <f t="array" ref="L37">IFERROR(PERCENTILE(IF($B$3:$B$28=$B37,IF($D$3:$D$28=L$31,IF($F$3:$F$28&lt;&gt;"",$F$3:$F$28))),0.95),"")</f>
        <v/>
      </c>
      <c r="M37" s="144" t="str">
        <f t="array" ref="M37">IFERROR(PERCENTILE(IF($B$3:$B$28=$B37,IF($D$3:$D$28=M$31,IF($F$3:$F$28&lt;&gt;"",$F$3:$F$28))),0.95),"")</f>
        <v/>
      </c>
      <c r="N37" s="144" t="str">
        <f t="array" ref="N37">IFERROR(PERCENTILE(IF($B$3:$B$28=$B37,IF($D$3:$D$28=N$31,IF($F$3:$F$28&lt;&gt;"",$F$3:$F$28))),0.95),"")</f>
        <v/>
      </c>
      <c r="O37" s="144" t="str">
        <f t="array" ref="O37">IFERROR(PERCENTILE(IF($B$3:$B$28=$B37,IF($D$3:$D$28=O$31,IF($F$3:$F$28&lt;&gt;"",$F$3:$F$28))),0.95),"")</f>
        <v/>
      </c>
      <c r="P37" s="144" t="str">
        <f t="array" ref="P37">IFERROR(PERCENTILE(IF($B$3:$B$28=$B37,IF($D$3:$D$28=P$31,IF($F$3:$F$28&lt;&gt;"",$F$3:$F$28))),0.95),"")</f>
        <v/>
      </c>
      <c r="Q37" s="144" t="str">
        <f t="array" ref="Q37">IFERROR(PERCENTILE(IF($B$3:$B$28=$B37,IF($D$3:$D$28=Q$31,IF($F$3:$F$28&lt;&gt;"",$F$3:$F$28))),0.95),"")</f>
        <v/>
      </c>
      <c r="R37" s="144" t="str">
        <f t="array" ref="R37">IFERROR(PERCENTILE(IF($B$3:$B$28=$B37,IF($D$3:$D$28=R$31,IF($F$3:$F$28&lt;&gt;"",$F$3:$F$28))),0.95),"")</f>
        <v/>
      </c>
      <c r="S37" s="144" t="str">
        <f t="array" ref="S37">IFERROR(PERCENTILE(IF($B$3:$B$28=$B37,IF($D$3:$D$28=S$31,IF($F$3:$F$28&lt;&gt;"",$F$3:$F$28))),0.95),"")</f>
        <v/>
      </c>
      <c r="T37" s="144" t="str">
        <f t="array" ref="T37">IFERROR(PERCENTILE(IF($B$3:$B$28=$B37,IF($D$3:$D$28=T$31,IF($F$3:$F$28&lt;&gt;"",$F$3:$F$28))),0.95),"")</f>
        <v/>
      </c>
      <c r="U37" s="144" t="str">
        <f t="array" ref="U37">IFERROR(PERCENTILE(IF($B$3:$B$28=$B37,IF($D$3:$D$28=U$31,IF($F$3:$F$28&lt;&gt;"",$F$3:$F$28))),0.95),"")</f>
        <v/>
      </c>
      <c r="V37" s="144" t="str">
        <f t="array" ref="V37">IFERROR(PERCENTILE(IF($B$3:$B$28=$B37,IF($D$3:$D$28=V$31,IF($F$3:$F$28&lt;&gt;"",$F$3:$F$28))),0.95),"")</f>
        <v/>
      </c>
      <c r="W37" s="144" t="str">
        <f t="array" ref="W37">IFERROR(PERCENTILE(IF($B$3:$B$28=$B37,IF($D$3:$D$28=W$31,IF($F$3:$F$28&lt;&gt;"",$F$3:$F$28))),0.95),"")</f>
        <v/>
      </c>
      <c r="X37" s="144">
        <f t="array" ref="X37">IFERROR(PERCENTILE(IF($B$3:$B$28=$B37,IF($D$3:$D$28=X$31,IF($F$3:$F$28&lt;&gt;"",$F$3:$F$28))),0.95),"")</f>
        <v>0.11</v>
      </c>
      <c r="Y37" s="144" t="str">
        <f t="array" ref="Y37">IFERROR(PERCENTILE(IF($B$3:$B$28=$B37,IF($D$3:$D$28=Y$31,IF($F$3:$F$28&lt;&gt;"",$F$3:$F$28))),0.95),"")</f>
        <v/>
      </c>
      <c r="Z37" s="144" t="str">
        <f t="array" ref="Z37">IFERROR(PERCENTILE(IF($B$3:$B$28=$B37,IF($D$3:$D$28=Z$31,IF($F$3:$F$28&lt;&gt;"",$F$3:$F$28))),0.95),"")</f>
        <v/>
      </c>
      <c r="AA37" s="144" t="str">
        <f t="array" ref="AA37">IFERROR(PERCENTILE(IF($B$3:$B$28=$B37,IF($D$3:$D$28=AA$31,IF($F$3:$F$28&lt;&gt;"",$F$3:$F$28))),0.95),"")</f>
        <v/>
      </c>
      <c r="AB37" s="144" t="str">
        <f t="array" ref="AB37">IFERROR(PERCENTILE(IF($B$3:$B$28=$B37,IF($D$3:$D$28=AB$31,IF($F$3:$F$28&lt;&gt;"",$F$3:$F$28))),0.95),"")</f>
        <v/>
      </c>
      <c r="AC37" s="144" t="str">
        <f t="array" ref="AC37">IFERROR(PERCENTILE(IF($B$3:$B$28=$B37,IF($D$3:$D$28=AC$31,IF($F$3:$F$28&lt;&gt;"",$F$3:$F$28))),0.95),"")</f>
        <v/>
      </c>
      <c r="AD37" s="144" t="str">
        <f t="array" ref="AD37">IFERROR(PERCENTILE(IF($B$3:$B$28=$B37,IF($D$3:$D$28=AD$31,IF($F$3:$F$28&lt;&gt;"",$F$3:$F$28))),0.95),"")</f>
        <v/>
      </c>
      <c r="AE37" s="144">
        <f t="array" ref="AE37">IFERROR(PERCENTILE(IF($B$3:$B$28=$B37,IF($D$3:$D$28=AE$31,IF($F$3:$F$28&lt;&gt;"",$F$3:$F$28))),0.95),"")</f>
        <v>0.5</v>
      </c>
    </row>
    <row r="38" spans="1:31" ht="15" customHeight="1" x14ac:dyDescent="0.25">
      <c r="A38" s="85">
        <f t="shared" si="3"/>
        <v>0</v>
      </c>
      <c r="B38" s="104" t="str">
        <f t="array" ref="B38">IFERROR(INDEX($B$3:$B$28, MATCH(0,IF(ISBLANK($B$3:$B$28),1,COUNTIF($B$32:B37, $B$3:$B$28)), 0)),"")</f>
        <v>Madhya Pradesh</v>
      </c>
      <c r="C38" s="105"/>
      <c r="D38" s="105"/>
      <c r="E38" s="105"/>
      <c r="F38" s="106"/>
      <c r="G38" s="144" t="str">
        <f t="array" ref="G38">IFERROR(PERCENTILE(IF($B$3:$B$28=$B38,IF($D$3:$D$28=G$31,IF($F$3:$F$28&lt;&gt;"",$F$3:$F$28))),0.95),"")</f>
        <v/>
      </c>
      <c r="H38" s="144" t="str">
        <f t="array" ref="H38">IFERROR(PERCENTILE(IF($B$3:$B$28=$B38,IF($D$3:$D$28=H$31,IF($F$3:$F$28&lt;&gt;"",$F$3:$F$28))),0.95),"")</f>
        <v/>
      </c>
      <c r="I38" s="144" t="str">
        <f t="array" ref="I38">IFERROR(PERCENTILE(IF($B$3:$B$28=$B38,IF($D$3:$D$28=I$31,IF($F$3:$F$28&lt;&gt;"",$F$3:$F$28))),0.95),"")</f>
        <v/>
      </c>
      <c r="J38" s="144" t="str">
        <f t="array" ref="J38">IFERROR(PERCENTILE(IF($B$3:$B$28=$B38,IF($D$3:$D$28=J$31,IF($F$3:$F$28&lt;&gt;"",$F$3:$F$28))),0.95),"")</f>
        <v/>
      </c>
      <c r="K38" s="144" t="str">
        <f t="array" ref="K38">IFERROR(PERCENTILE(IF($B$3:$B$28=$B38,IF($D$3:$D$28=K$31,IF($F$3:$F$28&lt;&gt;"",$F$3:$F$28))),0.95),"")</f>
        <v/>
      </c>
      <c r="L38" s="144" t="str">
        <f t="array" ref="L38">IFERROR(PERCENTILE(IF($B$3:$B$28=$B38,IF($D$3:$D$28=L$31,IF($F$3:$F$28&lt;&gt;"",$F$3:$F$28))),0.95),"")</f>
        <v/>
      </c>
      <c r="M38" s="144" t="str">
        <f t="array" ref="M38">IFERROR(PERCENTILE(IF($B$3:$B$28=$B38,IF($D$3:$D$28=M$31,IF($F$3:$F$28&lt;&gt;"",$F$3:$F$28))),0.95),"")</f>
        <v/>
      </c>
      <c r="N38" s="144" t="str">
        <f t="array" ref="N38">IFERROR(PERCENTILE(IF($B$3:$B$28=$B38,IF($D$3:$D$28=N$31,IF($F$3:$F$28&lt;&gt;"",$F$3:$F$28))),0.95),"")</f>
        <v/>
      </c>
      <c r="O38" s="144">
        <f t="array" ref="O38">IFERROR(PERCENTILE(IF($B$3:$B$28=$B38,IF($D$3:$D$28=O$31,IF($F$3:$F$28&lt;&gt;"",$F$3:$F$28))),0.95),"")</f>
        <v>0.33</v>
      </c>
      <c r="P38" s="144" t="str">
        <f t="array" ref="P38">IFERROR(PERCENTILE(IF($B$3:$B$28=$B38,IF($D$3:$D$28=P$31,IF($F$3:$F$28&lt;&gt;"",$F$3:$F$28))),0.95),"")</f>
        <v/>
      </c>
      <c r="Q38" s="144" t="str">
        <f t="array" ref="Q38">IFERROR(PERCENTILE(IF($B$3:$B$28=$B38,IF($D$3:$D$28=Q$31,IF($F$3:$F$28&lt;&gt;"",$F$3:$F$28))),0.95),"")</f>
        <v/>
      </c>
      <c r="R38" s="144" t="str">
        <f t="array" ref="R38">IFERROR(PERCENTILE(IF($B$3:$B$28=$B38,IF($D$3:$D$28=R$31,IF($F$3:$F$28&lt;&gt;"",$F$3:$F$28))),0.95),"")</f>
        <v/>
      </c>
      <c r="S38" s="144" t="str">
        <f t="array" ref="S38">IFERROR(PERCENTILE(IF($B$3:$B$28=$B38,IF($D$3:$D$28=S$31,IF($F$3:$F$28&lt;&gt;"",$F$3:$F$28))),0.95),"")</f>
        <v/>
      </c>
      <c r="T38" s="144" t="str">
        <f t="array" ref="T38">IFERROR(PERCENTILE(IF($B$3:$B$28=$B38,IF($D$3:$D$28=T$31,IF($F$3:$F$28&lt;&gt;"",$F$3:$F$28))),0.95),"")</f>
        <v/>
      </c>
      <c r="U38" s="144" t="str">
        <f t="array" ref="U38">IFERROR(PERCENTILE(IF($B$3:$B$28=$B38,IF($D$3:$D$28=U$31,IF($F$3:$F$28&lt;&gt;"",$F$3:$F$28))),0.95),"")</f>
        <v/>
      </c>
      <c r="V38" s="144" t="str">
        <f t="array" ref="V38">IFERROR(PERCENTILE(IF($B$3:$B$28=$B38,IF($D$3:$D$28=V$31,IF($F$3:$F$28&lt;&gt;"",$F$3:$F$28))),0.95),"")</f>
        <v/>
      </c>
      <c r="W38" s="144" t="str">
        <f t="array" ref="W38">IFERROR(PERCENTILE(IF($B$3:$B$28=$B38,IF($D$3:$D$28=W$31,IF($F$3:$F$28&lt;&gt;"",$F$3:$F$28))),0.95),"")</f>
        <v/>
      </c>
      <c r="X38" s="144" t="str">
        <f t="array" ref="X38">IFERROR(PERCENTILE(IF($B$3:$B$28=$B38,IF($D$3:$D$28=X$31,IF($F$3:$F$28&lt;&gt;"",$F$3:$F$28))),0.95),"")</f>
        <v/>
      </c>
      <c r="Y38" s="144" t="str">
        <f t="array" ref="Y38">IFERROR(PERCENTILE(IF($B$3:$B$28=$B38,IF($D$3:$D$28=Y$31,IF($F$3:$F$28&lt;&gt;"",$F$3:$F$28))),0.95),"")</f>
        <v/>
      </c>
      <c r="Z38" s="144" t="str">
        <f t="array" ref="Z38">IFERROR(PERCENTILE(IF($B$3:$B$28=$B38,IF($D$3:$D$28=Z$31,IF($F$3:$F$28&lt;&gt;"",$F$3:$F$28))),0.95),"")</f>
        <v/>
      </c>
      <c r="AA38" s="144" t="str">
        <f t="array" ref="AA38">IFERROR(PERCENTILE(IF($B$3:$B$28=$B38,IF($D$3:$D$28=AA$31,IF($F$3:$F$28&lt;&gt;"",$F$3:$F$28))),0.95),"")</f>
        <v/>
      </c>
      <c r="AB38" s="144">
        <f t="array" ref="AB38">IFERROR(PERCENTILE(IF($B$3:$B$28=$B38,IF($D$3:$D$28=AB$31,IF($F$3:$F$28&lt;&gt;"",$F$3:$F$28))),0.95),"")</f>
        <v>0.19</v>
      </c>
      <c r="AC38" s="144" t="str">
        <f t="array" ref="AC38">IFERROR(PERCENTILE(IF($B$3:$B$28=$B38,IF($D$3:$D$28=AC$31,IF($F$3:$F$28&lt;&gt;"",$F$3:$F$28))),0.95),"")</f>
        <v/>
      </c>
      <c r="AD38" s="144" t="str">
        <f t="array" ref="AD38">IFERROR(PERCENTILE(IF($B$3:$B$28=$B38,IF($D$3:$D$28=AD$31,IF($F$3:$F$28&lt;&gt;"",$F$3:$F$28))),0.95),"")</f>
        <v/>
      </c>
      <c r="AE38" s="144" t="str">
        <f t="array" ref="AE38">IFERROR(PERCENTILE(IF($B$3:$B$28=$B38,IF($D$3:$D$28=AE$31,IF($F$3:$F$28&lt;&gt;"",$F$3:$F$28))),0.95),"")</f>
        <v/>
      </c>
    </row>
    <row r="39" spans="1:31" ht="15" customHeight="1" x14ac:dyDescent="0.25">
      <c r="A39" s="85">
        <f t="shared" si="3"/>
        <v>0</v>
      </c>
      <c r="B39" s="104" t="str">
        <f t="array" ref="B39">IFERROR(INDEX($B$3:$B$28, MATCH(0,IF(ISBLANK($B$3:$B$28),1,COUNTIF($B$32:B38, $B$3:$B$28)), 0)),"")</f>
        <v>Gujrat</v>
      </c>
      <c r="C39" s="105"/>
      <c r="D39" s="105"/>
      <c r="E39" s="105"/>
      <c r="F39" s="106"/>
      <c r="G39" s="144" t="str">
        <f t="array" ref="G39">IFERROR(PERCENTILE(IF($B$3:$B$28=$B39,IF($D$3:$D$28=G$31,IF($F$3:$F$28&lt;&gt;"",$F$3:$F$28))),0.95),"")</f>
        <v/>
      </c>
      <c r="H39" s="144" t="str">
        <f t="array" ref="H39">IFERROR(PERCENTILE(IF($B$3:$B$28=$B39,IF($D$3:$D$28=H$31,IF($F$3:$F$28&lt;&gt;"",$F$3:$F$28))),0.95),"")</f>
        <v/>
      </c>
      <c r="I39" s="144" t="str">
        <f t="array" ref="I39">IFERROR(PERCENTILE(IF($B$3:$B$28=$B39,IF($D$3:$D$28=I$31,IF($F$3:$F$28&lt;&gt;"",$F$3:$F$28))),0.95),"")</f>
        <v/>
      </c>
      <c r="J39" s="144" t="str">
        <f t="array" ref="J39">IFERROR(PERCENTILE(IF($B$3:$B$28=$B39,IF($D$3:$D$28=J$31,IF($F$3:$F$28&lt;&gt;"",$F$3:$F$28))),0.95),"")</f>
        <v/>
      </c>
      <c r="K39" s="144" t="str">
        <f t="array" ref="K39">IFERROR(PERCENTILE(IF($B$3:$B$28=$B39,IF($D$3:$D$28=K$31,IF($F$3:$F$28&lt;&gt;"",$F$3:$F$28))),0.95),"")</f>
        <v/>
      </c>
      <c r="L39" s="144" t="str">
        <f t="array" ref="L39">IFERROR(PERCENTILE(IF($B$3:$B$28=$B39,IF($D$3:$D$28=L$31,IF($F$3:$F$28&lt;&gt;"",$F$3:$F$28))),0.95),"")</f>
        <v/>
      </c>
      <c r="M39" s="144" t="str">
        <f t="array" ref="M39">IFERROR(PERCENTILE(IF($B$3:$B$28=$B39,IF($D$3:$D$28=M$31,IF($F$3:$F$28&lt;&gt;"",$F$3:$F$28))),0.95),"")</f>
        <v/>
      </c>
      <c r="N39" s="144" t="str">
        <f t="array" ref="N39">IFERROR(PERCENTILE(IF($B$3:$B$28=$B39,IF($D$3:$D$28=N$31,IF($F$3:$F$28&lt;&gt;"",$F$3:$F$28))),0.95),"")</f>
        <v/>
      </c>
      <c r="O39" s="144" t="str">
        <f t="array" ref="O39">IFERROR(PERCENTILE(IF($B$3:$B$28=$B39,IF($D$3:$D$28=O$31,IF($F$3:$F$28&lt;&gt;"",$F$3:$F$28))),0.95),"")</f>
        <v/>
      </c>
      <c r="P39" s="144">
        <f t="array" ref="P39">IFERROR(PERCENTILE(IF($B$3:$B$28=$B39,IF($D$3:$D$28=P$31,IF($F$3:$F$28&lt;&gt;"",$F$3:$F$28))),0.95),"")</f>
        <v>0.19</v>
      </c>
      <c r="Q39" s="144" t="str">
        <f t="array" ref="Q39">IFERROR(PERCENTILE(IF($B$3:$B$28=$B39,IF($D$3:$D$28=Q$31,IF($F$3:$F$28&lt;&gt;"",$F$3:$F$28))),0.95),"")</f>
        <v/>
      </c>
      <c r="R39" s="144" t="str">
        <f t="array" ref="R39">IFERROR(PERCENTILE(IF($B$3:$B$28=$B39,IF($D$3:$D$28=R$31,IF($F$3:$F$28&lt;&gt;"",$F$3:$F$28))),0.95),"")</f>
        <v/>
      </c>
      <c r="S39" s="144" t="str">
        <f t="array" ref="S39">IFERROR(PERCENTILE(IF($B$3:$B$28=$B39,IF($D$3:$D$28=S$31,IF($F$3:$F$28&lt;&gt;"",$F$3:$F$28))),0.95),"")</f>
        <v/>
      </c>
      <c r="T39" s="144" t="str">
        <f t="array" ref="T39">IFERROR(PERCENTILE(IF($B$3:$B$28=$B39,IF($D$3:$D$28=T$31,IF($F$3:$F$28&lt;&gt;"",$F$3:$F$28))),0.95),"")</f>
        <v/>
      </c>
      <c r="U39" s="144" t="str">
        <f t="array" ref="U39">IFERROR(PERCENTILE(IF($B$3:$B$28=$B39,IF($D$3:$D$28=U$31,IF($F$3:$F$28&lt;&gt;"",$F$3:$F$28))),0.95),"")</f>
        <v/>
      </c>
      <c r="V39" s="144" t="str">
        <f t="array" ref="V39">IFERROR(PERCENTILE(IF($B$3:$B$28=$B39,IF($D$3:$D$28=V$31,IF($F$3:$F$28&lt;&gt;"",$F$3:$F$28))),0.95),"")</f>
        <v/>
      </c>
      <c r="W39" s="144" t="str">
        <f t="array" ref="W39">IFERROR(PERCENTILE(IF($B$3:$B$28=$B39,IF($D$3:$D$28=W$31,IF($F$3:$F$28&lt;&gt;"",$F$3:$F$28))),0.95),"")</f>
        <v/>
      </c>
      <c r="X39" s="144" t="str">
        <f t="array" ref="X39">IFERROR(PERCENTILE(IF($B$3:$B$28=$B39,IF($D$3:$D$28=X$31,IF($F$3:$F$28&lt;&gt;"",$F$3:$F$28))),0.95),"")</f>
        <v/>
      </c>
      <c r="Y39" s="144" t="str">
        <f t="array" ref="Y39">IFERROR(PERCENTILE(IF($B$3:$B$28=$B39,IF($D$3:$D$28=Y$31,IF($F$3:$F$28&lt;&gt;"",$F$3:$F$28))),0.95),"")</f>
        <v/>
      </c>
      <c r="Z39" s="144" t="str">
        <f t="array" ref="Z39">IFERROR(PERCENTILE(IF($B$3:$B$28=$B39,IF($D$3:$D$28=Z$31,IF($F$3:$F$28&lt;&gt;"",$F$3:$F$28))),0.95),"")</f>
        <v/>
      </c>
      <c r="AA39" s="144" t="str">
        <f t="array" ref="AA39">IFERROR(PERCENTILE(IF($B$3:$B$28=$B39,IF($D$3:$D$28=AA$31,IF($F$3:$F$28&lt;&gt;"",$F$3:$F$28))),0.95),"")</f>
        <v/>
      </c>
      <c r="AB39" s="144" t="str">
        <f t="array" ref="AB39">IFERROR(PERCENTILE(IF($B$3:$B$28=$B39,IF($D$3:$D$28=AB$31,IF($F$3:$F$28&lt;&gt;"",$F$3:$F$28))),0.95),"")</f>
        <v/>
      </c>
      <c r="AC39" s="144">
        <f t="array" ref="AC39">IFERROR(PERCENTILE(IF($B$3:$B$28=$B39,IF($D$3:$D$28=AC$31,IF($F$3:$F$28&lt;&gt;"",$F$3:$F$28))),0.95),"")</f>
        <v>0.5</v>
      </c>
      <c r="AD39" s="144" t="str">
        <f t="array" ref="AD39">IFERROR(PERCENTILE(IF($B$3:$B$28=$B39,IF($D$3:$D$28=AD$31,IF($F$3:$F$28&lt;&gt;"",$F$3:$F$28))),0.95),"")</f>
        <v/>
      </c>
      <c r="AE39" s="144" t="str">
        <f t="array" ref="AE39">IFERROR(PERCENTILE(IF($B$3:$B$28=$B39,IF($D$3:$D$28=AE$31,IF($F$3:$F$28&lt;&gt;"",$F$3:$F$28))),0.95),"")</f>
        <v/>
      </c>
    </row>
    <row r="40" spans="1:31" ht="15" customHeight="1" x14ac:dyDescent="0.25">
      <c r="A40" s="85">
        <f t="shared" si="3"/>
        <v>0</v>
      </c>
      <c r="B40" s="104" t="str">
        <f t="array" ref="B40">IFERROR(INDEX($B$3:$B$28, MATCH(0,IF(ISBLANK($B$3:$B$28),1,COUNTIF($B$32:B39, $B$3:$B$28)), 0)),"")</f>
        <v>Ludhiyana</v>
      </c>
      <c r="C40" s="105"/>
      <c r="D40" s="105"/>
      <c r="E40" s="105"/>
      <c r="F40" s="106"/>
      <c r="G40" s="144" t="str">
        <f t="array" ref="G40">IFERROR(PERCENTILE(IF($B$3:$B$28=$B40,IF($D$3:$D$28=G$31,IF($F$3:$F$28&lt;&gt;"",$F$3:$F$28))),0.95),"")</f>
        <v/>
      </c>
      <c r="H40" s="144" t="str">
        <f t="array" ref="H40">IFERROR(PERCENTILE(IF($B$3:$B$28=$B40,IF($D$3:$D$28=H$31,IF($F$3:$F$28&lt;&gt;"",$F$3:$F$28))),0.95),"")</f>
        <v/>
      </c>
      <c r="I40" s="144" t="str">
        <f t="array" ref="I40">IFERROR(PERCENTILE(IF($B$3:$B$28=$B40,IF($D$3:$D$28=I$31,IF($F$3:$F$28&lt;&gt;"",$F$3:$F$28))),0.95),"")</f>
        <v/>
      </c>
      <c r="J40" s="144" t="str">
        <f t="array" ref="J40">IFERROR(PERCENTILE(IF($B$3:$B$28=$B40,IF($D$3:$D$28=J$31,IF($F$3:$F$28&lt;&gt;"",$F$3:$F$28))),0.95),"")</f>
        <v/>
      </c>
      <c r="K40" s="144" t="str">
        <f t="array" ref="K40">IFERROR(PERCENTILE(IF($B$3:$B$28=$B40,IF($D$3:$D$28=K$31,IF($F$3:$F$28&lt;&gt;"",$F$3:$F$28))),0.95),"")</f>
        <v/>
      </c>
      <c r="L40" s="144" t="str">
        <f t="array" ref="L40">IFERROR(PERCENTILE(IF($B$3:$B$28=$B40,IF($D$3:$D$28=L$31,IF($F$3:$F$28&lt;&gt;"",$F$3:$F$28))),0.95),"")</f>
        <v/>
      </c>
      <c r="M40" s="144" t="str">
        <f t="array" ref="M40">IFERROR(PERCENTILE(IF($B$3:$B$28=$B40,IF($D$3:$D$28=M$31,IF($F$3:$F$28&lt;&gt;"",$F$3:$F$28))),0.95),"")</f>
        <v/>
      </c>
      <c r="N40" s="144" t="str">
        <f t="array" ref="N40">IFERROR(PERCENTILE(IF($B$3:$B$28=$B40,IF($D$3:$D$28=N$31,IF($F$3:$F$28&lt;&gt;"",$F$3:$F$28))),0.95),"")</f>
        <v/>
      </c>
      <c r="O40" s="144" t="str">
        <f t="array" ref="O40">IFERROR(PERCENTILE(IF($B$3:$B$28=$B40,IF($D$3:$D$28=O$31,IF($F$3:$F$28&lt;&gt;"",$F$3:$F$28))),0.95),"")</f>
        <v/>
      </c>
      <c r="P40" s="144" t="str">
        <f t="array" ref="P40">IFERROR(PERCENTILE(IF($B$3:$B$28=$B40,IF($D$3:$D$28=P$31,IF($F$3:$F$28&lt;&gt;"",$F$3:$F$28))),0.95),"")</f>
        <v/>
      </c>
      <c r="Q40" s="144">
        <f t="array" ref="Q40">IFERROR(PERCENTILE(IF($B$3:$B$28=$B40,IF($D$3:$D$28=Q$31,IF($F$3:$F$28&lt;&gt;"",$F$3:$F$28))),0.95),"")</f>
        <v>0.5</v>
      </c>
      <c r="R40" s="144" t="str">
        <f t="array" ref="R40">IFERROR(PERCENTILE(IF($B$3:$B$28=$B40,IF($D$3:$D$28=R$31,IF($F$3:$F$28&lt;&gt;"",$F$3:$F$28))),0.95),"")</f>
        <v/>
      </c>
      <c r="S40" s="144" t="str">
        <f t="array" ref="S40">IFERROR(PERCENTILE(IF($B$3:$B$28=$B40,IF($D$3:$D$28=S$31,IF($F$3:$F$28&lt;&gt;"",$F$3:$F$28))),0.95),"")</f>
        <v/>
      </c>
      <c r="T40" s="144" t="str">
        <f t="array" ref="T40">IFERROR(PERCENTILE(IF($B$3:$B$28=$B40,IF($D$3:$D$28=T$31,IF($F$3:$F$28&lt;&gt;"",$F$3:$F$28))),0.95),"")</f>
        <v/>
      </c>
      <c r="U40" s="144" t="str">
        <f t="array" ref="U40">IFERROR(PERCENTILE(IF($B$3:$B$28=$B40,IF($D$3:$D$28=U$31,IF($F$3:$F$28&lt;&gt;"",$F$3:$F$28))),0.95),"")</f>
        <v/>
      </c>
      <c r="V40" s="144" t="str">
        <f t="array" ref="V40">IFERROR(PERCENTILE(IF($B$3:$B$28=$B40,IF($D$3:$D$28=V$31,IF($F$3:$F$28&lt;&gt;"",$F$3:$F$28))),0.95),"")</f>
        <v/>
      </c>
      <c r="W40" s="144" t="str">
        <f t="array" ref="W40">IFERROR(PERCENTILE(IF($B$3:$B$28=$B40,IF($D$3:$D$28=W$31,IF($F$3:$F$28&lt;&gt;"",$F$3:$F$28))),0.95),"")</f>
        <v/>
      </c>
      <c r="X40" s="144" t="str">
        <f t="array" ref="X40">IFERROR(PERCENTILE(IF($B$3:$B$28=$B40,IF($D$3:$D$28=X$31,IF($F$3:$F$28&lt;&gt;"",$F$3:$F$28))),0.95),"")</f>
        <v/>
      </c>
      <c r="Y40" s="144" t="str">
        <f t="array" ref="Y40">IFERROR(PERCENTILE(IF($B$3:$B$28=$B40,IF($D$3:$D$28=Y$31,IF($F$3:$F$28&lt;&gt;"",$F$3:$F$28))),0.95),"")</f>
        <v/>
      </c>
      <c r="Z40" s="144" t="str">
        <f t="array" ref="Z40">IFERROR(PERCENTILE(IF($B$3:$B$28=$B40,IF($D$3:$D$28=Z$31,IF($F$3:$F$28&lt;&gt;"",$F$3:$F$28))),0.95),"")</f>
        <v/>
      </c>
      <c r="AA40" s="144" t="str">
        <f t="array" ref="AA40">IFERROR(PERCENTILE(IF($B$3:$B$28=$B40,IF($D$3:$D$28=AA$31,IF($F$3:$F$28&lt;&gt;"",$F$3:$F$28))),0.95),"")</f>
        <v/>
      </c>
      <c r="AB40" s="144" t="str">
        <f t="array" ref="AB40">IFERROR(PERCENTILE(IF($B$3:$B$28=$B40,IF($D$3:$D$28=AB$31,IF($F$3:$F$28&lt;&gt;"",$F$3:$F$28))),0.95),"")</f>
        <v/>
      </c>
      <c r="AC40" s="144" t="str">
        <f t="array" ref="AC40">IFERROR(PERCENTILE(IF($B$3:$B$28=$B40,IF($D$3:$D$28=AC$31,IF($F$3:$F$28&lt;&gt;"",$F$3:$F$28))),0.95),"")</f>
        <v/>
      </c>
      <c r="AD40" s="144">
        <f t="array" ref="AD40">IFERROR(PERCENTILE(IF($B$3:$B$28=$B40,IF($D$3:$D$28=AD$31,IF($F$3:$F$28&lt;&gt;"",$F$3:$F$28))),0.95),"")</f>
        <v>0.5</v>
      </c>
      <c r="AE40" s="144" t="str">
        <f t="array" ref="AE40">IFERROR(PERCENTILE(IF($B$3:$B$28=$B40,IF($D$3:$D$28=AE$31,IF($F$3:$F$28&lt;&gt;"",$F$3:$F$28))),0.95),"")</f>
        <v/>
      </c>
    </row>
    <row r="41" spans="1:31" ht="15" customHeight="1" x14ac:dyDescent="0.25">
      <c r="A41" s="85">
        <f t="shared" si="3"/>
        <v>0</v>
      </c>
      <c r="B41" s="104" t="str">
        <f t="array" ref="B41">IFERROR(INDEX($B$3:$B$28, MATCH(0,IF(ISBLANK($B$3:$B$28),1,COUNTIF($B$32:B40, $B$3:$B$28)), 0)),"")</f>
        <v>Uttar Pradesh</v>
      </c>
      <c r="C41" s="105"/>
      <c r="D41" s="105"/>
      <c r="E41" s="105"/>
      <c r="F41" s="106"/>
      <c r="G41" s="144" t="str">
        <f t="array" ref="G41">IFERROR(PERCENTILE(IF($B$3:$B$28=$B41,IF($D$3:$D$28=G$31,IF($F$3:$F$28&lt;&gt;"",$F$3:$F$28))),0.95),"")</f>
        <v/>
      </c>
      <c r="H41" s="144" t="str">
        <f t="array" ref="H41">IFERROR(PERCENTILE(IF($B$3:$B$28=$B41,IF($D$3:$D$28=H$31,IF($F$3:$F$28&lt;&gt;"",$F$3:$F$28))),0.95),"")</f>
        <v/>
      </c>
      <c r="I41" s="144" t="str">
        <f t="array" ref="I41">IFERROR(PERCENTILE(IF($B$3:$B$28=$B41,IF($D$3:$D$28=I$31,IF($F$3:$F$28&lt;&gt;"",$F$3:$F$28))),0.95),"")</f>
        <v/>
      </c>
      <c r="J41" s="144" t="str">
        <f t="array" ref="J41">IFERROR(PERCENTILE(IF($B$3:$B$28=$B41,IF($D$3:$D$28=J$31,IF($F$3:$F$28&lt;&gt;"",$F$3:$F$28))),0.95),"")</f>
        <v/>
      </c>
      <c r="K41" s="144" t="str">
        <f t="array" ref="K41">IFERROR(PERCENTILE(IF($B$3:$B$28=$B41,IF($D$3:$D$28=K$31,IF($F$3:$F$28&lt;&gt;"",$F$3:$F$28))),0.95),"")</f>
        <v/>
      </c>
      <c r="L41" s="144" t="str">
        <f t="array" ref="L41">IFERROR(PERCENTILE(IF($B$3:$B$28=$B41,IF($D$3:$D$28=L$31,IF($F$3:$F$28&lt;&gt;"",$F$3:$F$28))),0.95),"")</f>
        <v/>
      </c>
      <c r="M41" s="144" t="str">
        <f t="array" ref="M41">IFERROR(PERCENTILE(IF($B$3:$B$28=$B41,IF($D$3:$D$28=M$31,IF($F$3:$F$28&lt;&gt;"",$F$3:$F$28))),0.95),"")</f>
        <v/>
      </c>
      <c r="N41" s="144" t="str">
        <f t="array" ref="N41">IFERROR(PERCENTILE(IF($B$3:$B$28=$B41,IF($D$3:$D$28=N$31,IF($F$3:$F$28&lt;&gt;"",$F$3:$F$28))),0.95),"")</f>
        <v/>
      </c>
      <c r="O41" s="144" t="str">
        <f t="array" ref="O41">IFERROR(PERCENTILE(IF($B$3:$B$28=$B41,IF($D$3:$D$28=O$31,IF($F$3:$F$28&lt;&gt;"",$F$3:$F$28))),0.95),"")</f>
        <v/>
      </c>
      <c r="P41" s="144" t="str">
        <f t="array" ref="P41">IFERROR(PERCENTILE(IF($B$3:$B$28=$B41,IF($D$3:$D$28=P$31,IF($F$3:$F$28&lt;&gt;"",$F$3:$F$28))),0.95),"")</f>
        <v/>
      </c>
      <c r="Q41" s="144" t="str">
        <f t="array" ref="Q41">IFERROR(PERCENTILE(IF($B$3:$B$28=$B41,IF($D$3:$D$28=Q$31,IF($F$3:$F$28&lt;&gt;"",$F$3:$F$28))),0.95),"")</f>
        <v/>
      </c>
      <c r="R41" s="144">
        <f t="array" ref="R41">IFERROR(PERCENTILE(IF($B$3:$B$28=$B41,IF($D$3:$D$28=R$31,IF($F$3:$F$28&lt;&gt;"",$F$3:$F$28))),0.95),"")</f>
        <v>0.5</v>
      </c>
      <c r="S41" s="144" t="str">
        <f t="array" ref="S41">IFERROR(PERCENTILE(IF($B$3:$B$28=$B41,IF($D$3:$D$28=S$31,IF($F$3:$F$28&lt;&gt;"",$F$3:$F$28))),0.95),"")</f>
        <v/>
      </c>
      <c r="T41" s="144" t="str">
        <f t="array" ref="T41">IFERROR(PERCENTILE(IF($B$3:$B$28=$B41,IF($D$3:$D$28=T$31,IF($F$3:$F$28&lt;&gt;"",$F$3:$F$28))),0.95),"")</f>
        <v/>
      </c>
      <c r="U41" s="144" t="str">
        <f t="array" ref="U41">IFERROR(PERCENTILE(IF($B$3:$B$28=$B41,IF($D$3:$D$28=U$31,IF($F$3:$F$28&lt;&gt;"",$F$3:$F$28))),0.95),"")</f>
        <v/>
      </c>
      <c r="V41" s="144" t="str">
        <f t="array" ref="V41">IFERROR(PERCENTILE(IF($B$3:$B$28=$B41,IF($D$3:$D$28=V$31,IF($F$3:$F$28&lt;&gt;"",$F$3:$F$28))),0.95),"")</f>
        <v/>
      </c>
      <c r="W41" s="144" t="str">
        <f t="array" ref="W41">IFERROR(PERCENTILE(IF($B$3:$B$28=$B41,IF($D$3:$D$28=W$31,IF($F$3:$F$28&lt;&gt;"",$F$3:$F$28))),0.95),"")</f>
        <v/>
      </c>
      <c r="X41" s="144" t="str">
        <f t="array" ref="X41">IFERROR(PERCENTILE(IF($B$3:$B$28=$B41,IF($D$3:$D$28=X$31,IF($F$3:$F$28&lt;&gt;"",$F$3:$F$28))),0.95),"")</f>
        <v/>
      </c>
      <c r="Y41" s="144" t="str">
        <f t="array" ref="Y41">IFERROR(PERCENTILE(IF($B$3:$B$28=$B41,IF($D$3:$D$28=Y$31,IF($F$3:$F$28&lt;&gt;"",$F$3:$F$28))),0.95),"")</f>
        <v/>
      </c>
      <c r="Z41" s="144" t="str">
        <f t="array" ref="Z41">IFERROR(PERCENTILE(IF($B$3:$B$28=$B41,IF($D$3:$D$28=Z$31,IF($F$3:$F$28&lt;&gt;"",$F$3:$F$28))),0.95),"")</f>
        <v/>
      </c>
      <c r="AA41" s="144" t="str">
        <f t="array" ref="AA41">IFERROR(PERCENTILE(IF($B$3:$B$28=$B41,IF($D$3:$D$28=AA$31,IF($F$3:$F$28&lt;&gt;"",$F$3:$F$28))),0.95),"")</f>
        <v/>
      </c>
      <c r="AB41" s="144" t="str">
        <f t="array" ref="AB41">IFERROR(PERCENTILE(IF($B$3:$B$28=$B41,IF($D$3:$D$28=AB$31,IF($F$3:$F$28&lt;&gt;"",$F$3:$F$28))),0.95),"")</f>
        <v/>
      </c>
      <c r="AC41" s="144" t="str">
        <f t="array" ref="AC41">IFERROR(PERCENTILE(IF($B$3:$B$28=$B41,IF($D$3:$D$28=AC$31,IF($F$3:$F$28&lt;&gt;"",$F$3:$F$28))),0.95),"")</f>
        <v/>
      </c>
      <c r="AD41" s="144" t="str">
        <f t="array" ref="AD41">IFERROR(PERCENTILE(IF($B$3:$B$28=$B41,IF($D$3:$D$28=AD$31,IF($F$3:$F$28&lt;&gt;"",$F$3:$F$28))),0.95),"")</f>
        <v/>
      </c>
      <c r="AE41" s="144" t="str">
        <f t="array" ref="AE41">IFERROR(PERCENTILE(IF($B$3:$B$28=$B41,IF($D$3:$D$28=AE$31,IF($F$3:$F$28&lt;&gt;"",$F$3:$F$28))),0.95),"")</f>
        <v/>
      </c>
    </row>
    <row r="42" spans="1:31" ht="15" customHeight="1" x14ac:dyDescent="0.25">
      <c r="A42" s="85">
        <f t="shared" ref="A42" si="4">IF(B42="",1,0)</f>
        <v>0</v>
      </c>
      <c r="B42" s="104" t="str">
        <f t="array" ref="B42">IFERROR(INDEX($B$3:$B$28, MATCH(0,IF(ISBLANK($B$3:$B$28),1,COUNTIF($B$32:B41, $B$3:$B$28)), 0)),"")</f>
        <v>Sikkim</v>
      </c>
      <c r="C42" s="105"/>
      <c r="D42" s="105"/>
      <c r="E42" s="105"/>
      <c r="F42" s="106"/>
      <c r="G42" s="144" t="str">
        <f t="array" ref="G42">IFERROR(PERCENTILE(IF($B$3:$B$28=$B42,IF($D$3:$D$28=G$31,IF($F$3:$F$28&lt;&gt;"",$F$3:$F$28))),0.95),"")</f>
        <v/>
      </c>
      <c r="H42" s="144" t="str">
        <f t="array" ref="H42">IFERROR(PERCENTILE(IF($B$3:$B$28=$B42,IF($D$3:$D$28=H$31,IF($F$3:$F$28&lt;&gt;"",$F$3:$F$28))),0.95),"")</f>
        <v/>
      </c>
      <c r="I42" s="144" t="str">
        <f t="array" ref="I42">IFERROR(PERCENTILE(IF($B$3:$B$28=$B42,IF($D$3:$D$28=I$31,IF($F$3:$F$28&lt;&gt;"",$F$3:$F$28))),0.95),"")</f>
        <v/>
      </c>
      <c r="J42" s="144" t="str">
        <f t="array" ref="J42">IFERROR(PERCENTILE(IF($B$3:$B$28=$B42,IF($D$3:$D$28=J$31,IF($F$3:$F$28&lt;&gt;"",$F$3:$F$28))),0.95),"")</f>
        <v/>
      </c>
      <c r="K42" s="144" t="str">
        <f t="array" ref="K42">IFERROR(PERCENTILE(IF($B$3:$B$28=$B42,IF($D$3:$D$28=K$31,IF($F$3:$F$28&lt;&gt;"",$F$3:$F$28))),0.95),"")</f>
        <v/>
      </c>
      <c r="L42" s="144" t="str">
        <f t="array" ref="L42">IFERROR(PERCENTILE(IF($B$3:$B$28=$B42,IF($D$3:$D$28=L$31,IF($F$3:$F$28&lt;&gt;"",$F$3:$F$28))),0.95),"")</f>
        <v/>
      </c>
      <c r="M42" s="144" t="str">
        <f t="array" ref="M42">IFERROR(PERCENTILE(IF($B$3:$B$28=$B42,IF($D$3:$D$28=M$31,IF($F$3:$F$28&lt;&gt;"",$F$3:$F$28))),0.95),"")</f>
        <v/>
      </c>
      <c r="N42" s="144" t="str">
        <f t="array" ref="N42">IFERROR(PERCENTILE(IF($B$3:$B$28=$B42,IF($D$3:$D$28=N$31,IF($F$3:$F$28&lt;&gt;"",$F$3:$F$28))),0.95),"")</f>
        <v/>
      </c>
      <c r="O42" s="144" t="str">
        <f t="array" ref="O42">IFERROR(PERCENTILE(IF($B$3:$B$28=$B42,IF($D$3:$D$28=O$31,IF($F$3:$F$28&lt;&gt;"",$F$3:$F$28))),0.95),"")</f>
        <v/>
      </c>
      <c r="P42" s="144" t="str">
        <f t="array" ref="P42">IFERROR(PERCENTILE(IF($B$3:$B$28=$B42,IF($D$3:$D$28=P$31,IF($F$3:$F$28&lt;&gt;"",$F$3:$F$28))),0.95),"")</f>
        <v/>
      </c>
      <c r="Q42" s="144" t="str">
        <f t="array" ref="Q42">IFERROR(PERCENTILE(IF($B$3:$B$28=$B42,IF($D$3:$D$28=Q$31,IF($F$3:$F$28&lt;&gt;"",$F$3:$F$28))),0.95),"")</f>
        <v/>
      </c>
      <c r="R42" s="144" t="str">
        <f t="array" ref="R42">IFERROR(PERCENTILE(IF($B$3:$B$28=$B42,IF($D$3:$D$28=R$31,IF($F$3:$F$28&lt;&gt;"",$F$3:$F$28))),0.95),"")</f>
        <v/>
      </c>
      <c r="S42" s="144">
        <f t="array" ref="S42">IFERROR(PERCENTILE(IF($B$3:$B$28=$B42,IF($D$3:$D$28=S$31,IF($F$3:$F$28&lt;&gt;"",$F$3:$F$28))),0.95),"")</f>
        <v>0.5</v>
      </c>
      <c r="T42" s="144" t="str">
        <f t="array" ref="T42">IFERROR(PERCENTILE(IF($B$3:$B$28=$B42,IF($D$3:$D$28=T$31,IF($F$3:$F$28&lt;&gt;"",$F$3:$F$28))),0.95),"")</f>
        <v/>
      </c>
      <c r="U42" s="144" t="str">
        <f t="array" ref="U42">IFERROR(PERCENTILE(IF($B$3:$B$28=$B42,IF($D$3:$D$28=U$31,IF($F$3:$F$28&lt;&gt;"",$F$3:$F$28))),0.95),"")</f>
        <v/>
      </c>
      <c r="V42" s="144" t="str">
        <f t="array" ref="V42">IFERROR(PERCENTILE(IF($B$3:$B$28=$B42,IF($D$3:$D$28=V$31,IF($F$3:$F$28&lt;&gt;"",$F$3:$F$28))),0.95),"")</f>
        <v/>
      </c>
      <c r="W42" s="144" t="str">
        <f t="array" ref="W42">IFERROR(PERCENTILE(IF($B$3:$B$28=$B42,IF($D$3:$D$28=W$31,IF($F$3:$F$28&lt;&gt;"",$F$3:$F$28))),0.95),"")</f>
        <v/>
      </c>
      <c r="X42" s="144" t="str">
        <f t="array" ref="X42">IFERROR(PERCENTILE(IF($B$3:$B$28=$B42,IF($D$3:$D$28=X$31,IF($F$3:$F$28&lt;&gt;"",$F$3:$F$28))),0.95),"")</f>
        <v/>
      </c>
      <c r="Y42" s="144" t="str">
        <f t="array" ref="Y42">IFERROR(PERCENTILE(IF($B$3:$B$28=$B42,IF($D$3:$D$28=Y$31,IF($F$3:$F$28&lt;&gt;"",$F$3:$F$28))),0.95),"")</f>
        <v/>
      </c>
      <c r="Z42" s="144" t="str">
        <f t="array" ref="Z42">IFERROR(PERCENTILE(IF($B$3:$B$28=$B42,IF($D$3:$D$28=Z$31,IF($F$3:$F$28&lt;&gt;"",$F$3:$F$28))),0.95),"")</f>
        <v/>
      </c>
      <c r="AA42" s="144" t="str">
        <f t="array" ref="AA42">IFERROR(PERCENTILE(IF($B$3:$B$28=$B42,IF($D$3:$D$28=AA$31,IF($F$3:$F$28&lt;&gt;"",$F$3:$F$28))),0.95),"")</f>
        <v/>
      </c>
      <c r="AB42" s="144" t="str">
        <f t="array" ref="AB42">IFERROR(PERCENTILE(IF($B$3:$B$28=$B42,IF($D$3:$D$28=AB$31,IF($F$3:$F$28&lt;&gt;"",$F$3:$F$28))),0.95),"")</f>
        <v/>
      </c>
      <c r="AC42" s="144" t="str">
        <f t="array" ref="AC42">IFERROR(PERCENTILE(IF($B$3:$B$28=$B42,IF($D$3:$D$28=AC$31,IF($F$3:$F$28&lt;&gt;"",$F$3:$F$28))),0.95),"")</f>
        <v/>
      </c>
      <c r="AD42" s="144" t="str">
        <f t="array" ref="AD42">IFERROR(PERCENTILE(IF($B$3:$B$28=$B42,IF($D$3:$D$28=AD$31,IF($F$3:$F$28&lt;&gt;"",$F$3:$F$28))),0.95),"")</f>
        <v/>
      </c>
      <c r="AE42" s="144" t="str">
        <f t="array" ref="AE42">IFERROR(PERCENTILE(IF($B$3:$B$28=$B42,IF($D$3:$D$28=AE$31,IF($F$3:$F$28&lt;&gt;"",$F$3:$F$28))),0.95),"")</f>
        <v/>
      </c>
    </row>
    <row r="43" spans="1:31" ht="9" customHeight="1" x14ac:dyDescent="0.25"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</row>
    <row r="44" spans="1:31" ht="9" customHeight="1" x14ac:dyDescent="0.25">
      <c r="A44" s="85" t="s">
        <v>551</v>
      </c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</row>
    <row r="45" spans="1:31" ht="15" hidden="1" customHeight="1" x14ac:dyDescent="0.25">
      <c r="G45" s="107">
        <f t="shared" ref="G45" si="5">G31</f>
        <v>44012</v>
      </c>
      <c r="H45" s="107">
        <f t="shared" ref="H45:AE45" si="6">H31</f>
        <v>43982</v>
      </c>
      <c r="I45" s="107">
        <f t="shared" si="6"/>
        <v>43951</v>
      </c>
      <c r="J45" s="107">
        <f t="shared" si="6"/>
        <v>43921</v>
      </c>
      <c r="K45" s="107">
        <f t="shared" si="6"/>
        <v>43889</v>
      </c>
      <c r="L45" s="107">
        <f t="shared" si="6"/>
        <v>43861</v>
      </c>
      <c r="M45" s="107">
        <f t="shared" si="6"/>
        <v>43830</v>
      </c>
      <c r="N45" s="107">
        <f t="shared" si="6"/>
        <v>43799</v>
      </c>
      <c r="O45" s="107">
        <f t="shared" si="6"/>
        <v>43769</v>
      </c>
      <c r="P45" s="107">
        <f t="shared" si="6"/>
        <v>43738</v>
      </c>
      <c r="Q45" s="107">
        <f t="shared" si="6"/>
        <v>43708</v>
      </c>
      <c r="R45" s="107">
        <f t="shared" si="6"/>
        <v>43677</v>
      </c>
      <c r="S45" s="107">
        <f t="shared" si="6"/>
        <v>43646</v>
      </c>
      <c r="T45" s="107">
        <f t="shared" si="6"/>
        <v>43616</v>
      </c>
      <c r="U45" s="107">
        <f t="shared" si="6"/>
        <v>43585</v>
      </c>
      <c r="V45" s="107">
        <f t="shared" si="6"/>
        <v>43555</v>
      </c>
      <c r="W45" s="107">
        <f t="shared" si="6"/>
        <v>43524</v>
      </c>
      <c r="X45" s="107">
        <f t="shared" si="6"/>
        <v>43496</v>
      </c>
      <c r="Y45" s="107">
        <f t="shared" si="6"/>
        <v>43465</v>
      </c>
      <c r="Z45" s="107">
        <f t="shared" si="6"/>
        <v>43434</v>
      </c>
      <c r="AA45" s="107">
        <f t="shared" si="6"/>
        <v>43404</v>
      </c>
      <c r="AB45" s="107">
        <f t="shared" si="6"/>
        <v>43373</v>
      </c>
      <c r="AC45" s="107">
        <f t="shared" si="6"/>
        <v>43343</v>
      </c>
      <c r="AD45" s="107">
        <f t="shared" si="6"/>
        <v>43312</v>
      </c>
      <c r="AE45" s="107">
        <f t="shared" si="6"/>
        <v>43281</v>
      </c>
    </row>
    <row r="46" spans="1:31" ht="20.25" customHeight="1" x14ac:dyDescent="0.25">
      <c r="B46" s="108" t="s">
        <v>588</v>
      </c>
      <c r="C46" s="109"/>
      <c r="D46" s="109"/>
      <c r="E46" s="109"/>
      <c r="F46" s="110"/>
      <c r="G46" s="146">
        <f t="shared" ref="G46:AE46" si="7">IFERROR(AVERAGE(G33:G44),0)</f>
        <v>0.62</v>
      </c>
      <c r="H46" s="146">
        <f t="shared" si="7"/>
        <v>0.19</v>
      </c>
      <c r="I46" s="146">
        <f t="shared" si="7"/>
        <v>0.44</v>
      </c>
      <c r="J46" s="146">
        <f t="shared" si="7"/>
        <v>0.73</v>
      </c>
      <c r="K46" s="146">
        <f t="shared" si="7"/>
        <v>0.99</v>
      </c>
      <c r="L46" s="146">
        <f t="shared" si="7"/>
        <v>0.11</v>
      </c>
      <c r="M46" s="146">
        <f t="shared" si="7"/>
        <v>0.25</v>
      </c>
      <c r="N46" s="146">
        <f t="shared" si="7"/>
        <v>0.25</v>
      </c>
      <c r="O46" s="146">
        <f t="shared" si="7"/>
        <v>0.33</v>
      </c>
      <c r="P46" s="146">
        <f t="shared" si="7"/>
        <v>0.19</v>
      </c>
      <c r="Q46" s="146">
        <f t="shared" si="7"/>
        <v>0.5</v>
      </c>
      <c r="R46" s="146">
        <f t="shared" si="7"/>
        <v>0.5</v>
      </c>
      <c r="S46" s="146">
        <f t="shared" si="7"/>
        <v>0.5</v>
      </c>
      <c r="T46" s="146">
        <f t="shared" si="7"/>
        <v>0.19</v>
      </c>
      <c r="U46" s="146">
        <f t="shared" si="7"/>
        <v>0.44</v>
      </c>
      <c r="V46" s="146">
        <f t="shared" si="7"/>
        <v>0.73</v>
      </c>
      <c r="W46" s="146">
        <f t="shared" si="7"/>
        <v>0.99</v>
      </c>
      <c r="X46" s="146">
        <f t="shared" si="7"/>
        <v>0.11</v>
      </c>
      <c r="Y46" s="146">
        <f t="shared" si="7"/>
        <v>0.25</v>
      </c>
      <c r="Z46" s="146">
        <f t="shared" si="7"/>
        <v>0.25</v>
      </c>
      <c r="AA46" s="146">
        <f t="shared" si="7"/>
        <v>0.33</v>
      </c>
      <c r="AB46" s="146">
        <f t="shared" si="7"/>
        <v>0.19</v>
      </c>
      <c r="AC46" s="146">
        <f t="shared" si="7"/>
        <v>0.5</v>
      </c>
      <c r="AD46" s="146">
        <f t="shared" si="7"/>
        <v>0.5</v>
      </c>
      <c r="AE46" s="146">
        <f t="shared" si="7"/>
        <v>0.5</v>
      </c>
    </row>
    <row r="47" spans="1:31" ht="24.75" customHeight="1" x14ac:dyDescent="0.25"/>
    <row r="48" spans="1:31" ht="28.5" hidden="1" customHeight="1" x14ac:dyDescent="0.25">
      <c r="A48" s="85">
        <v>10</v>
      </c>
      <c r="B48" s="111" t="s">
        <v>589</v>
      </c>
      <c r="C48" s="111" t="s">
        <v>590</v>
      </c>
      <c r="D48" s="111" t="s">
        <v>591</v>
      </c>
      <c r="E48" s="112"/>
    </row>
    <row r="49" spans="1:5" ht="15" hidden="1" customHeight="1" x14ac:dyDescent="0.25">
      <c r="A49" s="113">
        <f>IFERROR(IF(D49="",1,0),1)</f>
        <v>0</v>
      </c>
      <c r="B49" s="114">
        <f>INDEX(Dates,1,E49)</f>
        <v>44012</v>
      </c>
      <c r="C49" s="114">
        <f t="shared" ref="C49" si="8">B49</f>
        <v>44012</v>
      </c>
      <c r="D49" s="115">
        <f>HLOOKUP(B49,ReadingTable,2,FALSE)</f>
        <v>0.62</v>
      </c>
      <c r="E49" s="116">
        <f>IF(E48="",7,E48+1)</f>
        <v>7</v>
      </c>
    </row>
    <row r="50" spans="1:5" hidden="1" x14ac:dyDescent="0.25"/>
    <row r="51" spans="1:5" ht="24" hidden="1" x14ac:dyDescent="0.25">
      <c r="B51" s="117" t="s">
        <v>586</v>
      </c>
      <c r="C51" s="117" t="s">
        <v>592</v>
      </c>
    </row>
    <row r="52" spans="1:5" hidden="1" x14ac:dyDescent="0.25">
      <c r="B52" s="118">
        <f t="array" ref="B52">SUM(IF($D$3:$D$28&lt;&gt;"",1/COUNTIF($D$3:$D$28, $D$3:$D$28), 0))</f>
        <v>25</v>
      </c>
      <c r="C52" s="118">
        <f t="array" ref="C52">SUM(IF($B$3:$B$28&lt;&gt;"",1/COUNTIF($B$3:$B$28, $B$3:$B$28), 0))</f>
        <v>10</v>
      </c>
    </row>
    <row r="53" spans="1:5" hidden="1" x14ac:dyDescent="0.25"/>
    <row r="54" spans="1:5" ht="25.5" hidden="1" x14ac:dyDescent="0.25">
      <c r="B54" s="111" t="s">
        <v>597</v>
      </c>
    </row>
    <row r="55" spans="1:5" ht="15" hidden="1" x14ac:dyDescent="0.25">
      <c r="A55" s="28"/>
      <c r="B55" s="48"/>
      <c r="C55" s="48"/>
      <c r="D55" s="84"/>
      <c r="E55" s="119"/>
    </row>
  </sheetData>
  <sheetProtection algorithmName="SHA-512" hashValue="Obvu6v6LuOsYdeBigqdvUSvohJ7Irin1BQ61atsM48Zm7mc84LdI6Y2Y+gQrhjpMTdeb6rtW0SkAyA4XVxl1jg==" saltValue="VeYvNvQdiQ3GvoUkiaU19g==" spinCount="100000" sheet="1" objects="1" scenarios="1"/>
  <autoFilter ref="B2:F4" xr:uid="{00000000-0009-0000-0000-000006000000}"/>
  <mergeCells count="1">
    <mergeCell ref="B30:B32"/>
  </mergeCells>
  <dataValidations count="4">
    <dataValidation type="decimal" allowBlank="1" showInputMessage="1" showErrorMessage="1" error="Please enter a valid reading." sqref="D55" xr:uid="{00000000-0002-0000-0600-000000000000}">
      <formula1>0</formula1>
      <formula2>99999999</formula2>
    </dataValidation>
    <dataValidation type="date" allowBlank="1" showInputMessage="1" showErrorMessage="1" error="Please enter a valid date in mm/dd/yyyy format." sqref="B55:C55" xr:uid="{00000000-0002-0000-0600-000001000000}">
      <formula1>1</formula1>
      <formula2>73051</formula2>
    </dataValidation>
    <dataValidation type="date" allowBlank="1" showInputMessage="1" showErrorMessage="1" error="Please enter a valid date in mm/dd/yyyy format." sqref="D3:D27" xr:uid="{00000000-0002-0000-0600-000002000000}">
      <formula1>1</formula1>
      <formula2>2958464</formula2>
    </dataValidation>
    <dataValidation type="time" allowBlank="1" showInputMessage="1" showErrorMessage="1" error="Please enter a valid time in hh:mm format." sqref="E3:E27" xr:uid="{00000000-0002-0000-0600-000003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35" r:id="rId4" name="Button 27">
              <controlPr defaultSize="0" print="0" autoFill="0" autoPict="0" macro="[0]!refreshSummary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5" name="Button 28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6" name="Button 29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34"/>
  <sheetViews>
    <sheetView zoomScaleNormal="100" workbookViewId="0"/>
  </sheetViews>
  <sheetFormatPr defaultColWidth="9.140625" defaultRowHeight="15" x14ac:dyDescent="0.25"/>
  <cols>
    <col min="1" max="1" width="2.42578125" style="8" customWidth="1"/>
    <col min="2" max="4" width="20.7109375" style="46" customWidth="1"/>
    <col min="5" max="5" width="3.7109375" style="46" customWidth="1"/>
    <col min="6" max="16384" width="9.140625" style="46"/>
  </cols>
  <sheetData>
    <row r="1" spans="1:5" x14ac:dyDescent="0.25">
      <c r="A1" s="6" t="s">
        <v>603</v>
      </c>
      <c r="B1" s="45"/>
      <c r="C1" s="45"/>
      <c r="D1" s="45"/>
      <c r="E1" s="45"/>
    </row>
    <row r="2" spans="1:5" x14ac:dyDescent="0.25">
      <c r="A2" s="6" t="s">
        <v>603</v>
      </c>
      <c r="B2" s="277" t="s">
        <v>570</v>
      </c>
      <c r="C2" s="278"/>
      <c r="D2" s="41" t="s">
        <v>629</v>
      </c>
      <c r="E2" s="45"/>
    </row>
    <row r="3" spans="1:5" x14ac:dyDescent="0.25">
      <c r="A3" s="6" t="s">
        <v>603</v>
      </c>
      <c r="B3" s="275" t="s">
        <v>700</v>
      </c>
      <c r="C3" s="276"/>
      <c r="D3" s="41" t="s">
        <v>630</v>
      </c>
      <c r="E3" s="45"/>
    </row>
    <row r="4" spans="1:5" x14ac:dyDescent="0.25">
      <c r="A4" s="6" t="s">
        <v>603</v>
      </c>
      <c r="B4" s="44" t="s">
        <v>571</v>
      </c>
      <c r="C4" s="27"/>
      <c r="D4" s="41" t="s">
        <v>604</v>
      </c>
      <c r="E4" s="45"/>
    </row>
    <row r="5" spans="1:5" s="3" customFormat="1" ht="20.45" customHeight="1" x14ac:dyDescent="0.25">
      <c r="A5" s="6"/>
      <c r="B5" s="217" t="s">
        <v>635</v>
      </c>
      <c r="C5" s="153"/>
      <c r="D5" s="216"/>
      <c r="E5" s="1"/>
    </row>
    <row r="6" spans="1:5" ht="33.75" customHeight="1" x14ac:dyDescent="0.25">
      <c r="A6" s="6">
        <v>34</v>
      </c>
      <c r="B6" s="4" t="s">
        <v>549</v>
      </c>
      <c r="C6" s="4" t="s">
        <v>550</v>
      </c>
      <c r="D6" s="4" t="str">
        <f>CONCATENATE("Highest TVOC Reading 
","(",D4,")")</f>
        <v>Highest TVOC Reading 
(ug/m3)</v>
      </c>
      <c r="E6" s="45"/>
    </row>
    <row r="7" spans="1:5" ht="15" customHeight="1" x14ac:dyDescent="0.25">
      <c r="A7" s="51">
        <f>IFERROR(IF(D7="",1,0),1)</f>
        <v>0</v>
      </c>
      <c r="B7" s="66">
        <f t="shared" ref="B7:B31" si="0">INDEX(DatesVOC,1,E7)</f>
        <v>44012</v>
      </c>
      <c r="C7" s="66">
        <f t="shared" ref="C7" si="1">B7</f>
        <v>44012</v>
      </c>
      <c r="D7" s="67">
        <f t="array" ref="D7">HLOOKUP(B7,ReadingTableVOC,2,FALSE)</f>
        <v>2654</v>
      </c>
      <c r="E7" s="82">
        <f>IF(E6="",8,E6+1)</f>
        <v>8</v>
      </c>
    </row>
    <row r="8" spans="1:5" ht="15" customHeight="1" x14ac:dyDescent="0.25">
      <c r="A8" s="51">
        <f t="shared" ref="A8:A31" si="2">IFERROR(IF(D8="",1,0),1)</f>
        <v>0</v>
      </c>
      <c r="B8" s="66">
        <f t="shared" si="0"/>
        <v>43982</v>
      </c>
      <c r="C8" s="66">
        <f t="shared" ref="C8:C31" si="3">B8</f>
        <v>43982</v>
      </c>
      <c r="D8" s="67">
        <f t="array" ref="D8">HLOOKUP(B8,ReadingTableVOC,2,FALSE)</f>
        <v>1173</v>
      </c>
      <c r="E8" s="82">
        <f t="shared" ref="E8:E31" si="4">IF(E7="",8,E7+1)</f>
        <v>9</v>
      </c>
    </row>
    <row r="9" spans="1:5" ht="15" customHeight="1" x14ac:dyDescent="0.25">
      <c r="A9" s="51">
        <f t="shared" si="2"/>
        <v>0</v>
      </c>
      <c r="B9" s="66">
        <f t="shared" si="0"/>
        <v>43951</v>
      </c>
      <c r="C9" s="66">
        <f t="shared" si="3"/>
        <v>43951</v>
      </c>
      <c r="D9" s="67">
        <f t="array" ref="D9">HLOOKUP(B9,ReadingTableVOC,2,FALSE)</f>
        <v>1098</v>
      </c>
      <c r="E9" s="82">
        <f t="shared" si="4"/>
        <v>10</v>
      </c>
    </row>
    <row r="10" spans="1:5" ht="15" customHeight="1" x14ac:dyDescent="0.25">
      <c r="A10" s="51">
        <f t="shared" si="2"/>
        <v>0</v>
      </c>
      <c r="B10" s="66">
        <f t="shared" si="0"/>
        <v>43921</v>
      </c>
      <c r="C10" s="66">
        <f t="shared" si="3"/>
        <v>43921</v>
      </c>
      <c r="D10" s="67">
        <f t="array" ref="D10">HLOOKUP(B10,ReadingTableVOC,2,FALSE)</f>
        <v>986</v>
      </c>
      <c r="E10" s="82">
        <f t="shared" si="4"/>
        <v>11</v>
      </c>
    </row>
    <row r="11" spans="1:5" ht="15" customHeight="1" x14ac:dyDescent="0.25">
      <c r="A11" s="51">
        <f t="shared" si="2"/>
        <v>0</v>
      </c>
      <c r="B11" s="66">
        <f t="shared" si="0"/>
        <v>43889</v>
      </c>
      <c r="C11" s="66">
        <f t="shared" si="3"/>
        <v>43889</v>
      </c>
      <c r="D11" s="67">
        <f t="array" ref="D11">HLOOKUP(B11,ReadingTableVOC,2,FALSE)</f>
        <v>1212</v>
      </c>
      <c r="E11" s="82">
        <f t="shared" si="4"/>
        <v>12</v>
      </c>
    </row>
    <row r="12" spans="1:5" ht="15" customHeight="1" x14ac:dyDescent="0.25">
      <c r="A12" s="51">
        <f t="shared" si="2"/>
        <v>0</v>
      </c>
      <c r="B12" s="66">
        <f t="shared" si="0"/>
        <v>43861</v>
      </c>
      <c r="C12" s="66">
        <f t="shared" si="3"/>
        <v>43861</v>
      </c>
      <c r="D12" s="67">
        <f t="array" ref="D12">HLOOKUP(B12,ReadingTableVOC,2,FALSE)</f>
        <v>1993</v>
      </c>
      <c r="E12" s="82">
        <f t="shared" si="4"/>
        <v>13</v>
      </c>
    </row>
    <row r="13" spans="1:5" ht="15" customHeight="1" x14ac:dyDescent="0.25">
      <c r="A13" s="51">
        <f t="shared" si="2"/>
        <v>0</v>
      </c>
      <c r="B13" s="66">
        <f t="shared" si="0"/>
        <v>43830</v>
      </c>
      <c r="C13" s="66">
        <f t="shared" si="3"/>
        <v>43830</v>
      </c>
      <c r="D13" s="67">
        <f t="array" ref="D13">HLOOKUP(B13,ReadingTableVOC,2,FALSE)</f>
        <v>2323</v>
      </c>
      <c r="E13" s="82">
        <f t="shared" si="4"/>
        <v>14</v>
      </c>
    </row>
    <row r="14" spans="1:5" ht="15" customHeight="1" x14ac:dyDescent="0.25">
      <c r="A14" s="51">
        <f t="shared" si="2"/>
        <v>0</v>
      </c>
      <c r="B14" s="66">
        <f t="shared" si="0"/>
        <v>43799</v>
      </c>
      <c r="C14" s="66">
        <f t="shared" si="3"/>
        <v>43799</v>
      </c>
      <c r="D14" s="67">
        <f t="array" ref="D14">HLOOKUP(B14,ReadingTableVOC,2,FALSE)</f>
        <v>2566</v>
      </c>
      <c r="E14" s="82">
        <f t="shared" si="4"/>
        <v>15</v>
      </c>
    </row>
    <row r="15" spans="1:5" ht="15" customHeight="1" x14ac:dyDescent="0.25">
      <c r="A15" s="51">
        <f t="shared" si="2"/>
        <v>0</v>
      </c>
      <c r="B15" s="66">
        <f t="shared" si="0"/>
        <v>43769</v>
      </c>
      <c r="C15" s="66">
        <f t="shared" si="3"/>
        <v>43769</v>
      </c>
      <c r="D15" s="67">
        <f t="array" ref="D15">HLOOKUP(B15,ReadingTableVOC,2,FALSE)</f>
        <v>2577</v>
      </c>
      <c r="E15" s="82">
        <f t="shared" si="4"/>
        <v>16</v>
      </c>
    </row>
    <row r="16" spans="1:5" ht="15" customHeight="1" x14ac:dyDescent="0.25">
      <c r="A16" s="51">
        <f t="shared" si="2"/>
        <v>0</v>
      </c>
      <c r="B16" s="66">
        <f t="shared" si="0"/>
        <v>43738</v>
      </c>
      <c r="C16" s="66">
        <f t="shared" si="3"/>
        <v>43738</v>
      </c>
      <c r="D16" s="67">
        <f t="array" ref="D16">HLOOKUP(B16,ReadingTableVOC,2,FALSE)</f>
        <v>2756</v>
      </c>
      <c r="E16" s="82">
        <f t="shared" si="4"/>
        <v>17</v>
      </c>
    </row>
    <row r="17" spans="1:5" ht="15" customHeight="1" x14ac:dyDescent="0.25">
      <c r="A17" s="51">
        <f t="shared" si="2"/>
        <v>0</v>
      </c>
      <c r="B17" s="66">
        <f t="shared" si="0"/>
        <v>43708</v>
      </c>
      <c r="C17" s="66">
        <f t="shared" si="3"/>
        <v>43708</v>
      </c>
      <c r="D17" s="67">
        <f t="array" ref="D17">HLOOKUP(B17,ReadingTableVOC,2,FALSE)</f>
        <v>2677</v>
      </c>
      <c r="E17" s="82">
        <f t="shared" si="4"/>
        <v>18</v>
      </c>
    </row>
    <row r="18" spans="1:5" ht="15" customHeight="1" x14ac:dyDescent="0.25">
      <c r="A18" s="51">
        <f t="shared" si="2"/>
        <v>0</v>
      </c>
      <c r="B18" s="66">
        <f t="shared" si="0"/>
        <v>43677</v>
      </c>
      <c r="C18" s="66">
        <f t="shared" si="3"/>
        <v>43677</v>
      </c>
      <c r="D18" s="67">
        <f t="array" ref="D18">HLOOKUP(B18,ReadingTableVOC,2,FALSE)</f>
        <v>1232</v>
      </c>
      <c r="E18" s="82">
        <f t="shared" si="4"/>
        <v>19</v>
      </c>
    </row>
    <row r="19" spans="1:5" ht="15" customHeight="1" x14ac:dyDescent="0.25">
      <c r="A19" s="51">
        <f t="shared" si="2"/>
        <v>0</v>
      </c>
      <c r="B19" s="66">
        <f t="shared" si="0"/>
        <v>43646</v>
      </c>
      <c r="C19" s="66">
        <f t="shared" si="3"/>
        <v>43646</v>
      </c>
      <c r="D19" s="67">
        <f t="array" ref="D19">HLOOKUP(B19,ReadingTableVOC,2,FALSE)</f>
        <v>3221</v>
      </c>
      <c r="E19" s="82">
        <f t="shared" si="4"/>
        <v>20</v>
      </c>
    </row>
    <row r="20" spans="1:5" ht="15" customHeight="1" x14ac:dyDescent="0.25">
      <c r="A20" s="51">
        <f t="shared" si="2"/>
        <v>0</v>
      </c>
      <c r="B20" s="66">
        <f t="shared" si="0"/>
        <v>43616</v>
      </c>
      <c r="C20" s="66">
        <f t="shared" si="3"/>
        <v>43616</v>
      </c>
      <c r="D20" s="67">
        <f t="array" ref="D20">HLOOKUP(B20,ReadingTableVOC,2,FALSE)</f>
        <v>1173</v>
      </c>
      <c r="E20" s="82">
        <f t="shared" si="4"/>
        <v>21</v>
      </c>
    </row>
    <row r="21" spans="1:5" ht="15" customHeight="1" x14ac:dyDescent="0.25">
      <c r="A21" s="51">
        <f t="shared" si="2"/>
        <v>0</v>
      </c>
      <c r="B21" s="66">
        <f t="shared" si="0"/>
        <v>43585</v>
      </c>
      <c r="C21" s="66">
        <f t="shared" si="3"/>
        <v>43585</v>
      </c>
      <c r="D21" s="67">
        <f t="array" ref="D21">HLOOKUP(B21,ReadingTableVOC,2,FALSE)</f>
        <v>1098</v>
      </c>
      <c r="E21" s="82">
        <f t="shared" si="4"/>
        <v>22</v>
      </c>
    </row>
    <row r="22" spans="1:5" ht="15" customHeight="1" x14ac:dyDescent="0.25">
      <c r="A22" s="51">
        <f t="shared" si="2"/>
        <v>0</v>
      </c>
      <c r="B22" s="66">
        <f t="shared" si="0"/>
        <v>43555</v>
      </c>
      <c r="C22" s="66">
        <f t="shared" si="3"/>
        <v>43555</v>
      </c>
      <c r="D22" s="67">
        <f t="array" ref="D22">HLOOKUP(B22,ReadingTableVOC,2,FALSE)</f>
        <v>986</v>
      </c>
      <c r="E22" s="82">
        <f t="shared" si="4"/>
        <v>23</v>
      </c>
    </row>
    <row r="23" spans="1:5" ht="15" customHeight="1" x14ac:dyDescent="0.25">
      <c r="A23" s="51">
        <f t="shared" si="2"/>
        <v>0</v>
      </c>
      <c r="B23" s="66">
        <f t="shared" si="0"/>
        <v>43524</v>
      </c>
      <c r="C23" s="66">
        <f t="shared" si="3"/>
        <v>43524</v>
      </c>
      <c r="D23" s="67">
        <f t="array" ref="D23">HLOOKUP(B23,ReadingTableVOC,2,FALSE)</f>
        <v>1212</v>
      </c>
      <c r="E23" s="82">
        <f t="shared" si="4"/>
        <v>24</v>
      </c>
    </row>
    <row r="24" spans="1:5" ht="15" customHeight="1" x14ac:dyDescent="0.25">
      <c r="A24" s="51">
        <f t="shared" si="2"/>
        <v>0</v>
      </c>
      <c r="B24" s="66">
        <f t="shared" si="0"/>
        <v>43496</v>
      </c>
      <c r="C24" s="66">
        <f t="shared" si="3"/>
        <v>43496</v>
      </c>
      <c r="D24" s="67">
        <f t="array" ref="D24">HLOOKUP(B24,ReadingTableVOC,2,FALSE)</f>
        <v>1993</v>
      </c>
      <c r="E24" s="82">
        <f t="shared" si="4"/>
        <v>25</v>
      </c>
    </row>
    <row r="25" spans="1:5" ht="15" customHeight="1" x14ac:dyDescent="0.25">
      <c r="A25" s="51">
        <f t="shared" si="2"/>
        <v>0</v>
      </c>
      <c r="B25" s="66">
        <f t="shared" si="0"/>
        <v>43465</v>
      </c>
      <c r="C25" s="66">
        <f t="shared" si="3"/>
        <v>43465</v>
      </c>
      <c r="D25" s="67">
        <f t="array" ref="D25">HLOOKUP(B25,ReadingTableVOC,2,FALSE)</f>
        <v>2323</v>
      </c>
      <c r="E25" s="82">
        <f t="shared" si="4"/>
        <v>26</v>
      </c>
    </row>
    <row r="26" spans="1:5" ht="15" customHeight="1" x14ac:dyDescent="0.25">
      <c r="A26" s="51">
        <f t="shared" si="2"/>
        <v>0</v>
      </c>
      <c r="B26" s="66">
        <f t="shared" si="0"/>
        <v>43434</v>
      </c>
      <c r="C26" s="66">
        <f t="shared" si="3"/>
        <v>43434</v>
      </c>
      <c r="D26" s="67">
        <f t="array" ref="D26">HLOOKUP(B26,ReadingTableVOC,2,FALSE)</f>
        <v>2566</v>
      </c>
      <c r="E26" s="82">
        <f t="shared" si="4"/>
        <v>27</v>
      </c>
    </row>
    <row r="27" spans="1:5" ht="15" customHeight="1" x14ac:dyDescent="0.25">
      <c r="A27" s="51">
        <f t="shared" si="2"/>
        <v>0</v>
      </c>
      <c r="B27" s="66">
        <f t="shared" si="0"/>
        <v>43404</v>
      </c>
      <c r="C27" s="66">
        <f t="shared" si="3"/>
        <v>43404</v>
      </c>
      <c r="D27" s="67">
        <f t="array" ref="D27">HLOOKUP(B27,ReadingTableVOC,2,FALSE)</f>
        <v>2577</v>
      </c>
      <c r="E27" s="82">
        <f t="shared" si="4"/>
        <v>28</v>
      </c>
    </row>
    <row r="28" spans="1:5" ht="15" customHeight="1" x14ac:dyDescent="0.25">
      <c r="A28" s="51">
        <f t="shared" si="2"/>
        <v>0</v>
      </c>
      <c r="B28" s="66">
        <f t="shared" si="0"/>
        <v>43373</v>
      </c>
      <c r="C28" s="66">
        <f t="shared" si="3"/>
        <v>43373</v>
      </c>
      <c r="D28" s="67">
        <f t="array" ref="D28">HLOOKUP(B28,ReadingTableVOC,2,FALSE)</f>
        <v>2756</v>
      </c>
      <c r="E28" s="82">
        <f t="shared" si="4"/>
        <v>29</v>
      </c>
    </row>
    <row r="29" spans="1:5" ht="15" customHeight="1" x14ac:dyDescent="0.25">
      <c r="A29" s="51">
        <f t="shared" si="2"/>
        <v>0</v>
      </c>
      <c r="B29" s="66">
        <f t="shared" si="0"/>
        <v>43343</v>
      </c>
      <c r="C29" s="66">
        <f t="shared" si="3"/>
        <v>43343</v>
      </c>
      <c r="D29" s="67">
        <f t="array" ref="D29">HLOOKUP(B29,ReadingTableVOC,2,FALSE)</f>
        <v>2677</v>
      </c>
      <c r="E29" s="82">
        <f t="shared" si="4"/>
        <v>30</v>
      </c>
    </row>
    <row r="30" spans="1:5" ht="15" customHeight="1" x14ac:dyDescent="0.25">
      <c r="A30" s="51">
        <f t="shared" si="2"/>
        <v>0</v>
      </c>
      <c r="B30" s="66">
        <f t="shared" si="0"/>
        <v>43312</v>
      </c>
      <c r="C30" s="66">
        <f t="shared" si="3"/>
        <v>43312</v>
      </c>
      <c r="D30" s="67">
        <f t="array" ref="D30">HLOOKUP(B30,ReadingTableVOC,2,FALSE)</f>
        <v>1232</v>
      </c>
      <c r="E30" s="82">
        <f t="shared" si="4"/>
        <v>31</v>
      </c>
    </row>
    <row r="31" spans="1:5" ht="15" customHeight="1" x14ac:dyDescent="0.25">
      <c r="A31" s="51">
        <f t="shared" si="2"/>
        <v>0</v>
      </c>
      <c r="B31" s="66">
        <f t="shared" si="0"/>
        <v>43281</v>
      </c>
      <c r="C31" s="66">
        <f t="shared" si="3"/>
        <v>43281</v>
      </c>
      <c r="D31" s="67">
        <f t="array" ref="D31">HLOOKUP(B31,ReadingTableVOC,2,FALSE)</f>
        <v>3221</v>
      </c>
      <c r="E31" s="82">
        <f t="shared" si="4"/>
        <v>32</v>
      </c>
    </row>
    <row r="32" spans="1:5" ht="15" customHeight="1" x14ac:dyDescent="0.25">
      <c r="A32" s="6" t="s">
        <v>551</v>
      </c>
      <c r="B32" s="47"/>
      <c r="C32" s="47"/>
      <c r="D32" s="47"/>
      <c r="E32" s="45"/>
    </row>
    <row r="33" spans="1:5" ht="15" hidden="1" customHeight="1" x14ac:dyDescent="0.25">
      <c r="A33" s="6"/>
      <c r="B33" s="47"/>
      <c r="C33" s="47"/>
      <c r="D33" s="47"/>
      <c r="E33" s="45"/>
    </row>
    <row r="34" spans="1:5" ht="33.6" customHeight="1" x14ac:dyDescent="0.25">
      <c r="A34" s="6" t="s">
        <v>551</v>
      </c>
      <c r="B34" s="47"/>
      <c r="C34" s="47"/>
      <c r="D34" s="47"/>
      <c r="E34" s="45"/>
    </row>
  </sheetData>
  <sheetProtection algorithmName="SHA-512" hashValue="fVsQzp7zD7/vsv2mk+AhD0zoclgEx+AQw2gU1N0SBK3vgboVrWEHou9xB6IfWLNa6Rc4eZR8/1a0mqjLlWY12Q==" saltValue="nbCJNPGJ4CNbPqbOxwfkyg==" spinCount="100000" sheet="1" objects="1" scenarios="1"/>
  <mergeCells count="2">
    <mergeCell ref="B3:C3"/>
    <mergeCell ref="B2:C2"/>
  </mergeCells>
  <dataValidations count="3">
    <dataValidation allowBlank="1" showInputMessage="1" showErrorMessage="1" error="Please enter a valid date in mm/dd/yyyy format." sqref="B32:D34" xr:uid="{00000000-0002-0000-0700-000000000000}"/>
    <dataValidation type="decimal" allowBlank="1" showInputMessage="1" showErrorMessage="1" error="Please enter a valid reading." sqref="D7:D31" xr:uid="{00000000-0002-0000-0700-000001000000}">
      <formula1>0</formula1>
      <formula2>99999999</formula2>
    </dataValidation>
    <dataValidation type="date" allowBlank="1" showInputMessage="1" showErrorMessage="1" error="Please enter a valid date in mm/dd/yyyy format." sqref="B7:C31" xr:uid="{00000000-0002-0000-0700-000002000000}">
      <formula1>1</formula1>
      <formula2>73051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Button 3">
              <controlPr defaultSize="0" print="0" autoFill="0" autoPict="0" macro="[0]!refreshColVOC">
                <anchor moveWithCells="1">
                  <from>
                    <xdr:col>1</xdr:col>
                    <xdr:colOff>19050</xdr:colOff>
                    <xdr:row>33</xdr:row>
                    <xdr:rowOff>28575</xdr:rowOff>
                  </from>
                  <to>
                    <xdr:col>2</xdr:col>
                    <xdr:colOff>466725</xdr:colOff>
                    <xdr:row>33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Button 4">
              <controlPr defaultSize="0" print="0" autoFill="0" autoPict="0" macro="[0]!revertButtonVOC">
                <anchor moveWithCells="1">
                  <from>
                    <xdr:col>2</xdr:col>
                    <xdr:colOff>542925</xdr:colOff>
                    <xdr:row>33</xdr:row>
                    <xdr:rowOff>352425</xdr:rowOff>
                  </from>
                  <to>
                    <xdr:col>3</xdr:col>
                    <xdr:colOff>990600</xdr:colOff>
                    <xdr:row>35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AF53"/>
  <sheetViews>
    <sheetView showGridLines="0" zoomScale="90" zoomScaleNormal="90" workbookViewId="0">
      <pane ySplit="2" topLeftCell="A29" activePane="bottomLeft" state="frozen"/>
      <selection pane="bottomLeft"/>
    </sheetView>
  </sheetViews>
  <sheetFormatPr defaultColWidth="14.7109375" defaultRowHeight="12.75" x14ac:dyDescent="0.25"/>
  <cols>
    <col min="1" max="1" width="4.28515625" style="52" customWidth="1"/>
    <col min="2" max="2" width="18.7109375" style="53" customWidth="1"/>
    <col min="3" max="16384" width="14.7109375" style="53"/>
  </cols>
  <sheetData>
    <row r="1" spans="1:8" ht="36" customHeight="1" x14ac:dyDescent="0.25">
      <c r="A1" s="52" t="s">
        <v>603</v>
      </c>
      <c r="B1" s="54" t="s">
        <v>633</v>
      </c>
    </row>
    <row r="2" spans="1:8" ht="33.75" customHeight="1" x14ac:dyDescent="0.25">
      <c r="A2" s="52" t="s">
        <v>603</v>
      </c>
      <c r="B2" s="55" t="s">
        <v>583</v>
      </c>
      <c r="C2" s="56" t="s">
        <v>708</v>
      </c>
      <c r="D2" s="57" t="s">
        <v>584</v>
      </c>
      <c r="E2" s="58" t="s">
        <v>598</v>
      </c>
      <c r="F2" s="120" t="s">
        <v>599</v>
      </c>
      <c r="G2" s="59" t="s">
        <v>602</v>
      </c>
    </row>
    <row r="3" spans="1:8" x14ac:dyDescent="0.25">
      <c r="B3" s="122" t="s">
        <v>731</v>
      </c>
      <c r="C3" s="260">
        <v>43983</v>
      </c>
      <c r="D3" s="142">
        <v>44012</v>
      </c>
      <c r="E3" s="151">
        <v>0.375</v>
      </c>
      <c r="F3" s="152">
        <v>0.5</v>
      </c>
      <c r="G3" s="143">
        <v>2654</v>
      </c>
    </row>
    <row r="4" spans="1:8" x14ac:dyDescent="0.25">
      <c r="B4" s="122" t="s">
        <v>732</v>
      </c>
      <c r="C4" s="260">
        <v>43952</v>
      </c>
      <c r="D4" s="142">
        <v>43982</v>
      </c>
      <c r="E4" s="151">
        <v>0.41666666666666669</v>
      </c>
      <c r="F4" s="152">
        <v>0.5</v>
      </c>
      <c r="G4" s="143">
        <v>1173</v>
      </c>
      <c r="H4" s="60"/>
    </row>
    <row r="5" spans="1:8" x14ac:dyDescent="0.25">
      <c r="B5" s="122" t="s">
        <v>735</v>
      </c>
      <c r="C5" s="260">
        <v>43922</v>
      </c>
      <c r="D5" s="142">
        <v>43951</v>
      </c>
      <c r="E5" s="151">
        <v>0.45833333333333331</v>
      </c>
      <c r="F5" s="152">
        <v>0.5</v>
      </c>
      <c r="G5" s="143">
        <v>1098</v>
      </c>
      <c r="H5" s="60"/>
    </row>
    <row r="6" spans="1:8" x14ac:dyDescent="0.25">
      <c r="B6" s="122" t="s">
        <v>736</v>
      </c>
      <c r="C6" s="260">
        <v>43891</v>
      </c>
      <c r="D6" s="142">
        <v>43921</v>
      </c>
      <c r="E6" s="151">
        <v>0.10416666666666667</v>
      </c>
      <c r="F6" s="152">
        <v>0.18958333333333333</v>
      </c>
      <c r="G6" s="143">
        <v>986</v>
      </c>
      <c r="H6" s="60"/>
    </row>
    <row r="7" spans="1:8" x14ac:dyDescent="0.25">
      <c r="B7" s="122" t="s">
        <v>737</v>
      </c>
      <c r="C7" s="260">
        <v>43862</v>
      </c>
      <c r="D7" s="142">
        <v>43889</v>
      </c>
      <c r="E7" s="151">
        <v>0.14583333333333334</v>
      </c>
      <c r="F7" s="152">
        <v>0.3298611111111111</v>
      </c>
      <c r="G7" s="143">
        <v>1212</v>
      </c>
      <c r="H7" s="60"/>
    </row>
    <row r="8" spans="1:8" x14ac:dyDescent="0.25">
      <c r="B8" s="122" t="s">
        <v>732</v>
      </c>
      <c r="C8" s="260">
        <v>43831</v>
      </c>
      <c r="D8" s="142">
        <v>43861</v>
      </c>
      <c r="E8" s="151">
        <v>8.3333333333333329E-2</v>
      </c>
      <c r="F8" s="152">
        <v>0.25</v>
      </c>
      <c r="G8" s="143">
        <v>1993</v>
      </c>
      <c r="H8" s="60"/>
    </row>
    <row r="9" spans="1:8" x14ac:dyDescent="0.25">
      <c r="B9" s="122" t="s">
        <v>735</v>
      </c>
      <c r="C9" s="260">
        <v>43800</v>
      </c>
      <c r="D9" s="142">
        <v>43830</v>
      </c>
      <c r="E9" s="151">
        <v>0.125</v>
      </c>
      <c r="F9" s="152">
        <v>0.25</v>
      </c>
      <c r="G9" s="143">
        <v>2323</v>
      </c>
      <c r="H9" s="60"/>
    </row>
    <row r="10" spans="1:8" x14ac:dyDescent="0.25">
      <c r="B10" s="122" t="s">
        <v>731</v>
      </c>
      <c r="C10" s="260">
        <v>43770</v>
      </c>
      <c r="D10" s="142">
        <v>43799</v>
      </c>
      <c r="E10" s="151">
        <v>0.29166666666666669</v>
      </c>
      <c r="F10" s="152">
        <v>0.5</v>
      </c>
      <c r="G10" s="143">
        <v>2566</v>
      </c>
      <c r="H10" s="60"/>
    </row>
    <row r="11" spans="1:8" x14ac:dyDescent="0.25">
      <c r="B11" s="122" t="s">
        <v>738</v>
      </c>
      <c r="C11" s="260">
        <v>43739</v>
      </c>
      <c r="D11" s="142">
        <v>43769</v>
      </c>
      <c r="E11" s="151">
        <v>0.45833333333333331</v>
      </c>
      <c r="F11" s="152">
        <v>0.5</v>
      </c>
      <c r="G11" s="143">
        <v>2577</v>
      </c>
      <c r="H11" s="60"/>
    </row>
    <row r="12" spans="1:8" x14ac:dyDescent="0.25">
      <c r="B12" s="122" t="s">
        <v>739</v>
      </c>
      <c r="C12" s="260">
        <v>43709</v>
      </c>
      <c r="D12" s="142">
        <v>43738</v>
      </c>
      <c r="E12" s="151">
        <v>0.10416666666666667</v>
      </c>
      <c r="F12" s="152">
        <v>0.18958333333333333</v>
      </c>
      <c r="G12" s="143">
        <v>2756</v>
      </c>
      <c r="H12" s="60"/>
    </row>
    <row r="13" spans="1:8" x14ac:dyDescent="0.25">
      <c r="B13" s="122" t="s">
        <v>740</v>
      </c>
      <c r="C13" s="260">
        <v>43678</v>
      </c>
      <c r="D13" s="142">
        <v>43708</v>
      </c>
      <c r="E13" s="151">
        <v>0.14583333333333334</v>
      </c>
      <c r="F13" s="152">
        <v>0.3298611111111111</v>
      </c>
      <c r="G13" s="143">
        <v>2677</v>
      </c>
      <c r="H13" s="60"/>
    </row>
    <row r="14" spans="1:8" x14ac:dyDescent="0.25">
      <c r="B14" s="122" t="s">
        <v>741</v>
      </c>
      <c r="C14" s="260">
        <v>43647</v>
      </c>
      <c r="D14" s="142">
        <v>43677</v>
      </c>
      <c r="E14" s="151">
        <v>8.3333333333333329E-2</v>
      </c>
      <c r="F14" s="152">
        <v>0.25</v>
      </c>
      <c r="G14" s="143">
        <v>1232</v>
      </c>
      <c r="H14" s="60"/>
    </row>
    <row r="15" spans="1:8" x14ac:dyDescent="0.25">
      <c r="B15" s="122" t="s">
        <v>742</v>
      </c>
      <c r="C15" s="260">
        <v>43617</v>
      </c>
      <c r="D15" s="142">
        <v>43646</v>
      </c>
      <c r="E15" s="151">
        <v>0.125</v>
      </c>
      <c r="F15" s="152">
        <v>0.25</v>
      </c>
      <c r="G15" s="143">
        <v>3221</v>
      </c>
      <c r="H15" s="60"/>
    </row>
    <row r="16" spans="1:8" x14ac:dyDescent="0.25">
      <c r="B16" s="122" t="s">
        <v>731</v>
      </c>
      <c r="C16" s="260">
        <v>43586</v>
      </c>
      <c r="D16" s="142">
        <v>43616</v>
      </c>
      <c r="E16" s="151">
        <v>0.375</v>
      </c>
      <c r="F16" s="152">
        <v>0.5</v>
      </c>
      <c r="G16" s="143">
        <v>1173</v>
      </c>
      <c r="H16" s="60"/>
    </row>
    <row r="17" spans="1:32" x14ac:dyDescent="0.25">
      <c r="B17" s="122" t="s">
        <v>732</v>
      </c>
      <c r="C17" s="260">
        <v>43556</v>
      </c>
      <c r="D17" s="142">
        <v>43585</v>
      </c>
      <c r="E17" s="151">
        <v>0.41666666666666669</v>
      </c>
      <c r="F17" s="152">
        <v>0.5</v>
      </c>
      <c r="G17" s="143">
        <v>1098</v>
      </c>
      <c r="H17" s="60"/>
    </row>
    <row r="18" spans="1:32" x14ac:dyDescent="0.25">
      <c r="B18" s="122" t="s">
        <v>735</v>
      </c>
      <c r="C18" s="260">
        <v>43525</v>
      </c>
      <c r="D18" s="142">
        <v>43555</v>
      </c>
      <c r="E18" s="151">
        <v>0.45833333333333331</v>
      </c>
      <c r="F18" s="152">
        <v>0.5</v>
      </c>
      <c r="G18" s="143">
        <v>986</v>
      </c>
      <c r="H18" s="60"/>
    </row>
    <row r="19" spans="1:32" x14ac:dyDescent="0.25">
      <c r="B19" s="122" t="s">
        <v>736</v>
      </c>
      <c r="C19" s="260">
        <v>43497</v>
      </c>
      <c r="D19" s="142">
        <v>43524</v>
      </c>
      <c r="E19" s="151">
        <v>0.10416666666666667</v>
      </c>
      <c r="F19" s="152">
        <v>0.18958333333333333</v>
      </c>
      <c r="G19" s="143">
        <v>1212</v>
      </c>
      <c r="H19" s="60"/>
    </row>
    <row r="20" spans="1:32" x14ac:dyDescent="0.25">
      <c r="B20" s="122" t="s">
        <v>737</v>
      </c>
      <c r="C20" s="260">
        <v>43466</v>
      </c>
      <c r="D20" s="142">
        <v>43496</v>
      </c>
      <c r="E20" s="151">
        <v>0.14583333333333334</v>
      </c>
      <c r="F20" s="152">
        <v>0.3298611111111111</v>
      </c>
      <c r="G20" s="143">
        <v>1993</v>
      </c>
      <c r="H20" s="60"/>
    </row>
    <row r="21" spans="1:32" x14ac:dyDescent="0.25">
      <c r="B21" s="122" t="s">
        <v>732</v>
      </c>
      <c r="C21" s="260">
        <v>43435</v>
      </c>
      <c r="D21" s="142">
        <v>43465</v>
      </c>
      <c r="E21" s="151">
        <v>8.3333333333333329E-2</v>
      </c>
      <c r="F21" s="152">
        <v>0.25</v>
      </c>
      <c r="G21" s="143">
        <v>2323</v>
      </c>
      <c r="H21" s="60"/>
    </row>
    <row r="22" spans="1:32" x14ac:dyDescent="0.25">
      <c r="B22" s="122" t="s">
        <v>735</v>
      </c>
      <c r="C22" s="260">
        <v>43405</v>
      </c>
      <c r="D22" s="142">
        <v>43434</v>
      </c>
      <c r="E22" s="151">
        <v>0.125</v>
      </c>
      <c r="F22" s="152">
        <v>0.25</v>
      </c>
      <c r="G22" s="143">
        <v>2566</v>
      </c>
      <c r="H22" s="60"/>
    </row>
    <row r="23" spans="1:32" x14ac:dyDescent="0.25">
      <c r="B23" s="122" t="s">
        <v>731</v>
      </c>
      <c r="C23" s="260">
        <v>43374</v>
      </c>
      <c r="D23" s="142">
        <v>43404</v>
      </c>
      <c r="E23" s="151">
        <v>0.29166666666666669</v>
      </c>
      <c r="F23" s="152">
        <v>0.5</v>
      </c>
      <c r="G23" s="143">
        <v>2577</v>
      </c>
      <c r="H23" s="60"/>
    </row>
    <row r="24" spans="1:32" x14ac:dyDescent="0.25">
      <c r="B24" s="122" t="s">
        <v>738</v>
      </c>
      <c r="C24" s="260">
        <v>43344</v>
      </c>
      <c r="D24" s="142">
        <v>43373</v>
      </c>
      <c r="E24" s="151">
        <v>0.45833333333333331</v>
      </c>
      <c r="F24" s="152">
        <v>0.5</v>
      </c>
      <c r="G24" s="143">
        <v>2756</v>
      </c>
      <c r="H24" s="60"/>
    </row>
    <row r="25" spans="1:32" x14ac:dyDescent="0.25">
      <c r="B25" s="122" t="s">
        <v>739</v>
      </c>
      <c r="C25" s="260">
        <v>43313</v>
      </c>
      <c r="D25" s="142">
        <v>43343</v>
      </c>
      <c r="E25" s="151">
        <v>0.10416666666666667</v>
      </c>
      <c r="F25" s="152">
        <v>0.18958333333333333</v>
      </c>
      <c r="G25" s="143">
        <v>2677</v>
      </c>
      <c r="H25" s="60"/>
    </row>
    <row r="26" spans="1:32" x14ac:dyDescent="0.25">
      <c r="B26" s="122" t="s">
        <v>740</v>
      </c>
      <c r="C26" s="260">
        <v>43282</v>
      </c>
      <c r="D26" s="142">
        <v>43312</v>
      </c>
      <c r="E26" s="151">
        <v>0.14583333333333334</v>
      </c>
      <c r="F26" s="152">
        <v>0.3298611111111111</v>
      </c>
      <c r="G26" s="143">
        <v>1232</v>
      </c>
      <c r="H26" s="60"/>
    </row>
    <row r="27" spans="1:32" x14ac:dyDescent="0.25">
      <c r="B27" s="122" t="s">
        <v>737</v>
      </c>
      <c r="C27" s="260">
        <v>43252</v>
      </c>
      <c r="D27" s="142">
        <v>43281</v>
      </c>
      <c r="E27" s="151">
        <v>8.3333333333333329E-2</v>
      </c>
      <c r="F27" s="152">
        <v>0.25</v>
      </c>
      <c r="G27" s="143">
        <v>3221</v>
      </c>
      <c r="H27" s="60"/>
    </row>
    <row r="28" spans="1:32" ht="39" customHeight="1" x14ac:dyDescent="0.25"/>
    <row r="29" spans="1:32" s="73" customFormat="1" ht="51" customHeight="1" x14ac:dyDescent="0.2">
      <c r="A29" s="52" t="s">
        <v>593</v>
      </c>
      <c r="B29" s="54" t="s">
        <v>587</v>
      </c>
      <c r="G29" s="74"/>
      <c r="H29" s="83">
        <f t="shared" ref="H29" si="0">IF(H31="",1,0)</f>
        <v>0</v>
      </c>
      <c r="I29" s="83">
        <f t="shared" ref="I29:AF29" si="1">IF(I31="",1,0)</f>
        <v>0</v>
      </c>
      <c r="J29" s="83">
        <f t="shared" si="1"/>
        <v>0</v>
      </c>
      <c r="K29" s="83">
        <f t="shared" si="1"/>
        <v>0</v>
      </c>
      <c r="L29" s="83">
        <f t="shared" si="1"/>
        <v>0</v>
      </c>
      <c r="M29" s="83">
        <f t="shared" si="1"/>
        <v>0</v>
      </c>
      <c r="N29" s="83">
        <f t="shared" si="1"/>
        <v>0</v>
      </c>
      <c r="O29" s="83">
        <f t="shared" si="1"/>
        <v>0</v>
      </c>
      <c r="P29" s="83">
        <f t="shared" si="1"/>
        <v>0</v>
      </c>
      <c r="Q29" s="83">
        <f t="shared" si="1"/>
        <v>0</v>
      </c>
      <c r="R29" s="83">
        <f t="shared" si="1"/>
        <v>0</v>
      </c>
      <c r="S29" s="83">
        <f t="shared" si="1"/>
        <v>0</v>
      </c>
      <c r="T29" s="83">
        <f t="shared" si="1"/>
        <v>0</v>
      </c>
      <c r="U29" s="83">
        <f t="shared" si="1"/>
        <v>0</v>
      </c>
      <c r="V29" s="83">
        <f t="shared" si="1"/>
        <v>0</v>
      </c>
      <c r="W29" s="83">
        <f t="shared" si="1"/>
        <v>0</v>
      </c>
      <c r="X29" s="83">
        <f t="shared" si="1"/>
        <v>0</v>
      </c>
      <c r="Y29" s="83">
        <f t="shared" si="1"/>
        <v>0</v>
      </c>
      <c r="Z29" s="83">
        <f t="shared" si="1"/>
        <v>0</v>
      </c>
      <c r="AA29" s="83">
        <f t="shared" si="1"/>
        <v>0</v>
      </c>
      <c r="AB29" s="83">
        <f t="shared" si="1"/>
        <v>0</v>
      </c>
      <c r="AC29" s="83">
        <f t="shared" si="1"/>
        <v>0</v>
      </c>
      <c r="AD29" s="83">
        <f t="shared" si="1"/>
        <v>0</v>
      </c>
      <c r="AE29" s="83">
        <f t="shared" si="1"/>
        <v>0</v>
      </c>
      <c r="AF29" s="83">
        <f t="shared" si="1"/>
        <v>0</v>
      </c>
    </row>
    <row r="30" spans="1:32" ht="21" customHeight="1" x14ac:dyDescent="0.25">
      <c r="A30" s="52" t="s">
        <v>603</v>
      </c>
      <c r="B30" s="282" t="s">
        <v>583</v>
      </c>
      <c r="C30" s="75"/>
      <c r="D30" s="75"/>
      <c r="E30" s="75"/>
      <c r="F30" s="75"/>
      <c r="G30" s="76"/>
      <c r="H30" s="61" t="s">
        <v>584</v>
      </c>
      <c r="I30" s="61" t="s">
        <v>584</v>
      </c>
      <c r="J30" s="61" t="s">
        <v>584</v>
      </c>
      <c r="K30" s="61" t="s">
        <v>584</v>
      </c>
      <c r="L30" s="61" t="s">
        <v>584</v>
      </c>
      <c r="M30" s="61" t="s">
        <v>584</v>
      </c>
      <c r="N30" s="61" t="s">
        <v>584</v>
      </c>
      <c r="O30" s="61" t="s">
        <v>584</v>
      </c>
      <c r="P30" s="61" t="s">
        <v>584</v>
      </c>
      <c r="Q30" s="61" t="s">
        <v>584</v>
      </c>
      <c r="R30" s="61" t="s">
        <v>584</v>
      </c>
      <c r="S30" s="61" t="s">
        <v>584</v>
      </c>
      <c r="T30" s="61" t="s">
        <v>584</v>
      </c>
      <c r="U30" s="61" t="s">
        <v>584</v>
      </c>
      <c r="V30" s="61" t="s">
        <v>584</v>
      </c>
      <c r="W30" s="61" t="s">
        <v>584</v>
      </c>
      <c r="X30" s="61" t="s">
        <v>584</v>
      </c>
      <c r="Y30" s="61" t="s">
        <v>584</v>
      </c>
      <c r="Z30" s="61" t="s">
        <v>584</v>
      </c>
      <c r="AA30" s="61" t="s">
        <v>584</v>
      </c>
      <c r="AB30" s="61" t="s">
        <v>584</v>
      </c>
      <c r="AC30" s="61" t="s">
        <v>584</v>
      </c>
      <c r="AD30" s="61" t="s">
        <v>584</v>
      </c>
      <c r="AE30" s="61" t="s">
        <v>584</v>
      </c>
      <c r="AF30" s="61" t="s">
        <v>584</v>
      </c>
    </row>
    <row r="31" spans="1:32" ht="15" customHeight="1" x14ac:dyDescent="0.25">
      <c r="A31" s="52" t="s">
        <v>603</v>
      </c>
      <c r="B31" s="283"/>
      <c r="C31" s="77"/>
      <c r="D31" s="77"/>
      <c r="E31" s="77"/>
      <c r="F31" s="77"/>
      <c r="G31" s="78"/>
      <c r="H31" s="231">
        <f t="array" ref="H31">IFERROR(INDEX($D$3:$D$28, MATCH(0,IF(ISBLANK($D$3:$D$28),1,COUNTIF($G$31:G31, $D$3:$D$28)), 0)),"")</f>
        <v>44012</v>
      </c>
      <c r="I31" s="231">
        <f t="array" ref="I31">IFERROR(INDEX($D$3:$D$28, MATCH(0,IF(ISBLANK($D$3:$D$28),1,COUNTIF($G$31:H31, $D$3:$D$28)), 0)),"")</f>
        <v>43982</v>
      </c>
      <c r="J31" s="231">
        <f t="array" ref="J31">IFERROR(INDEX($D$3:$D$28, MATCH(0,IF(ISBLANK($D$3:$D$28),1,COUNTIF($G$31:I31, $D$3:$D$28)), 0)),"")</f>
        <v>43951</v>
      </c>
      <c r="K31" s="231">
        <f t="array" ref="K31">IFERROR(INDEX($D$3:$D$28, MATCH(0,IF(ISBLANK($D$3:$D$28),1,COUNTIF($G$31:J31, $D$3:$D$28)), 0)),"")</f>
        <v>43921</v>
      </c>
      <c r="L31" s="231">
        <f t="array" ref="L31">IFERROR(INDEX($D$3:$D$28, MATCH(0,IF(ISBLANK($D$3:$D$28),1,COUNTIF($G$31:K31, $D$3:$D$28)), 0)),"")</f>
        <v>43889</v>
      </c>
      <c r="M31" s="231">
        <f t="array" ref="M31">IFERROR(INDEX($D$3:$D$28, MATCH(0,IF(ISBLANK($D$3:$D$28),1,COUNTIF($G$31:L31, $D$3:$D$28)), 0)),"")</f>
        <v>43861</v>
      </c>
      <c r="N31" s="231">
        <f t="array" ref="N31">IFERROR(INDEX($D$3:$D$28, MATCH(0,IF(ISBLANK($D$3:$D$28),1,COUNTIF($G$31:M31, $D$3:$D$28)), 0)),"")</f>
        <v>43830</v>
      </c>
      <c r="O31" s="231">
        <f t="array" ref="O31">IFERROR(INDEX($D$3:$D$28, MATCH(0,IF(ISBLANK($D$3:$D$28),1,COUNTIF($G$31:N31, $D$3:$D$28)), 0)),"")</f>
        <v>43799</v>
      </c>
      <c r="P31" s="231">
        <f t="array" ref="P31">IFERROR(INDEX($D$3:$D$28, MATCH(0,IF(ISBLANK($D$3:$D$28),1,COUNTIF($G$31:O31, $D$3:$D$28)), 0)),"")</f>
        <v>43769</v>
      </c>
      <c r="Q31" s="231">
        <f t="array" ref="Q31">IFERROR(INDEX($D$3:$D$28, MATCH(0,IF(ISBLANK($D$3:$D$28),1,COUNTIF($G$31:P31, $D$3:$D$28)), 0)),"")</f>
        <v>43738</v>
      </c>
      <c r="R31" s="231">
        <f t="array" ref="R31">IFERROR(INDEX($D$3:$D$28, MATCH(0,IF(ISBLANK($D$3:$D$28),1,COUNTIF($G$31:Q31, $D$3:$D$28)), 0)),"")</f>
        <v>43708</v>
      </c>
      <c r="S31" s="231">
        <f t="array" ref="S31">IFERROR(INDEX($D$3:$D$28, MATCH(0,IF(ISBLANK($D$3:$D$28),1,COUNTIF($G$31:R31, $D$3:$D$28)), 0)),"")</f>
        <v>43677</v>
      </c>
      <c r="T31" s="231">
        <f t="array" ref="T31">IFERROR(INDEX($D$3:$D$28, MATCH(0,IF(ISBLANK($D$3:$D$28),1,COUNTIF($G$31:S31, $D$3:$D$28)), 0)),"")</f>
        <v>43646</v>
      </c>
      <c r="U31" s="231">
        <f t="array" ref="U31">IFERROR(INDEX($D$3:$D$28, MATCH(0,IF(ISBLANK($D$3:$D$28),1,COUNTIF($G$31:T31, $D$3:$D$28)), 0)),"")</f>
        <v>43616</v>
      </c>
      <c r="V31" s="231">
        <f t="array" ref="V31">IFERROR(INDEX($D$3:$D$28, MATCH(0,IF(ISBLANK($D$3:$D$28),1,COUNTIF($G$31:U31, $D$3:$D$28)), 0)),"")</f>
        <v>43585</v>
      </c>
      <c r="W31" s="231">
        <f t="array" ref="W31">IFERROR(INDEX($D$3:$D$28, MATCH(0,IF(ISBLANK($D$3:$D$28),1,COUNTIF($G$31:V31, $D$3:$D$28)), 0)),"")</f>
        <v>43555</v>
      </c>
      <c r="X31" s="231">
        <f t="array" ref="X31">IFERROR(INDEX($D$3:$D$28, MATCH(0,IF(ISBLANK($D$3:$D$28),1,COUNTIF($G$31:W31, $D$3:$D$28)), 0)),"")</f>
        <v>43524</v>
      </c>
      <c r="Y31" s="231">
        <f t="array" ref="Y31">IFERROR(INDEX($D$3:$D$28, MATCH(0,IF(ISBLANK($D$3:$D$28),1,COUNTIF($G$31:X31, $D$3:$D$28)), 0)),"")</f>
        <v>43496</v>
      </c>
      <c r="Z31" s="231">
        <f t="array" ref="Z31">IFERROR(INDEX($D$3:$D$28, MATCH(0,IF(ISBLANK($D$3:$D$28),1,COUNTIF($G$31:Y31, $D$3:$D$28)), 0)),"")</f>
        <v>43465</v>
      </c>
      <c r="AA31" s="231">
        <f t="array" ref="AA31">IFERROR(INDEX($D$3:$D$28, MATCH(0,IF(ISBLANK($D$3:$D$28),1,COUNTIF($G$31:Z31, $D$3:$D$28)), 0)),"")</f>
        <v>43434</v>
      </c>
      <c r="AB31" s="231">
        <f t="array" ref="AB31">IFERROR(INDEX($D$3:$D$28, MATCH(0,IF(ISBLANK($D$3:$D$28),1,COUNTIF($G$31:AA31, $D$3:$D$28)), 0)),"")</f>
        <v>43404</v>
      </c>
      <c r="AC31" s="231">
        <f t="array" ref="AC31">IFERROR(INDEX($D$3:$D$28, MATCH(0,IF(ISBLANK($D$3:$D$28),1,COUNTIF($G$31:AB31, $D$3:$D$28)), 0)),"")</f>
        <v>43373</v>
      </c>
      <c r="AD31" s="231">
        <f t="array" ref="AD31">IFERROR(INDEX($D$3:$D$28, MATCH(0,IF(ISBLANK($D$3:$D$28),1,COUNTIF($G$31:AC31, $D$3:$D$28)), 0)),"")</f>
        <v>43343</v>
      </c>
      <c r="AE31" s="231">
        <f t="array" ref="AE31">IFERROR(INDEX($D$3:$D$28, MATCH(0,IF(ISBLANK($D$3:$D$28),1,COUNTIF($G$31:AD31, $D$3:$D$28)), 0)),"")</f>
        <v>43312</v>
      </c>
      <c r="AF31" s="231">
        <f t="array" ref="AF31">IFERROR(INDEX($D$3:$D$28, MATCH(0,IF(ISBLANK($D$3:$D$28),1,COUNTIF($G$31:AE31, $D$3:$D$28)), 0)),"")</f>
        <v>43281</v>
      </c>
    </row>
    <row r="32" spans="1:32" ht="27.75" customHeight="1" x14ac:dyDescent="0.25">
      <c r="A32" s="52" t="s">
        <v>603</v>
      </c>
      <c r="B32" s="284"/>
      <c r="C32" s="79"/>
      <c r="D32" s="79"/>
      <c r="E32" s="79"/>
      <c r="F32" s="79"/>
      <c r="G32" s="80"/>
      <c r="H32" s="121" t="s">
        <v>600</v>
      </c>
      <c r="I32" s="121" t="s">
        <v>600</v>
      </c>
      <c r="J32" s="121" t="s">
        <v>600</v>
      </c>
      <c r="K32" s="121" t="s">
        <v>600</v>
      </c>
      <c r="L32" s="121" t="s">
        <v>600</v>
      </c>
      <c r="M32" s="121" t="s">
        <v>600</v>
      </c>
      <c r="N32" s="121" t="s">
        <v>600</v>
      </c>
      <c r="O32" s="121" t="s">
        <v>600</v>
      </c>
      <c r="P32" s="121" t="s">
        <v>600</v>
      </c>
      <c r="Q32" s="121" t="s">
        <v>600</v>
      </c>
      <c r="R32" s="121" t="s">
        <v>600</v>
      </c>
      <c r="S32" s="121" t="s">
        <v>600</v>
      </c>
      <c r="T32" s="121" t="s">
        <v>600</v>
      </c>
      <c r="U32" s="121" t="s">
        <v>600</v>
      </c>
      <c r="V32" s="121" t="s">
        <v>600</v>
      </c>
      <c r="W32" s="121" t="s">
        <v>600</v>
      </c>
      <c r="X32" s="121" t="s">
        <v>600</v>
      </c>
      <c r="Y32" s="121" t="s">
        <v>600</v>
      </c>
      <c r="Z32" s="121" t="s">
        <v>600</v>
      </c>
      <c r="AA32" s="121" t="s">
        <v>600</v>
      </c>
      <c r="AB32" s="121" t="s">
        <v>600</v>
      </c>
      <c r="AC32" s="121" t="s">
        <v>600</v>
      </c>
      <c r="AD32" s="121" t="s">
        <v>600</v>
      </c>
      <c r="AE32" s="121" t="s">
        <v>600</v>
      </c>
      <c r="AF32" s="121" t="s">
        <v>600</v>
      </c>
    </row>
    <row r="33" spans="1:32" ht="15" customHeight="1" x14ac:dyDescent="0.25">
      <c r="A33" s="52">
        <f>IF(B33="",1,0)</f>
        <v>0</v>
      </c>
      <c r="B33" s="62" t="str">
        <f t="array" ref="B33">IFERROR(INDEX($B$3:$B$28, MATCH(0,IF(ISBLANK($B$3:$B$28),1,COUNTIF($B$32:B32, $B$3:$B$28)), 0)),"")</f>
        <v>Goa</v>
      </c>
      <c r="C33" s="63"/>
      <c r="D33" s="63"/>
      <c r="E33" s="63"/>
      <c r="F33" s="63"/>
      <c r="G33" s="72"/>
      <c r="H33" s="147">
        <f t="array" ref="H33">IFERROR(AVERAGE(IF($B$3:$B$28=$B33,IF($D$3:$D$28=H$31,IF($G$3:$G$28&lt;&gt;"",$G$3:$G$28)))),"")</f>
        <v>2654</v>
      </c>
      <c r="I33" s="147" t="str">
        <f t="array" ref="I33">IFERROR(AVERAGE(IF($B$3:$B$28=$B33,IF($D$3:$D$28=I$31,IF($G$3:$G$28&lt;&gt;"",$G$3:$G$28)))),"")</f>
        <v/>
      </c>
      <c r="J33" s="147" t="str">
        <f t="array" ref="J33">IFERROR(AVERAGE(IF($B$3:$B$28=$B33,IF($D$3:$D$28=J$31,IF($G$3:$G$28&lt;&gt;"",$G$3:$G$28)))),"")</f>
        <v/>
      </c>
      <c r="K33" s="147" t="str">
        <f t="array" ref="K33">IFERROR(AVERAGE(IF($B$3:$B$28=$B33,IF($D$3:$D$28=K$31,IF($G$3:$G$28&lt;&gt;"",$G$3:$G$28)))),"")</f>
        <v/>
      </c>
      <c r="L33" s="147" t="str">
        <f t="array" ref="L33">IFERROR(AVERAGE(IF($B$3:$B$28=$B33,IF($D$3:$D$28=L$31,IF($G$3:$G$28&lt;&gt;"",$G$3:$G$28)))),"")</f>
        <v/>
      </c>
      <c r="M33" s="147" t="str">
        <f t="array" ref="M33">IFERROR(AVERAGE(IF($B$3:$B$28=$B33,IF($D$3:$D$28=M$31,IF($G$3:$G$28&lt;&gt;"",$G$3:$G$28)))),"")</f>
        <v/>
      </c>
      <c r="N33" s="147" t="str">
        <f t="array" ref="N33">IFERROR(AVERAGE(IF($B$3:$B$28=$B33,IF($D$3:$D$28=N$31,IF($G$3:$G$28&lt;&gt;"",$G$3:$G$28)))),"")</f>
        <v/>
      </c>
      <c r="O33" s="147">
        <f t="array" ref="O33">IFERROR(AVERAGE(IF($B$3:$B$28=$B33,IF($D$3:$D$28=O$31,IF($G$3:$G$28&lt;&gt;"",$G$3:$G$28)))),"")</f>
        <v>2566</v>
      </c>
      <c r="P33" s="147" t="str">
        <f t="array" ref="P33">IFERROR(AVERAGE(IF($B$3:$B$28=$B33,IF($D$3:$D$28=P$31,IF($G$3:$G$28&lt;&gt;"",$G$3:$G$28)))),"")</f>
        <v/>
      </c>
      <c r="Q33" s="147" t="str">
        <f t="array" ref="Q33">IFERROR(AVERAGE(IF($B$3:$B$28=$B33,IF($D$3:$D$28=Q$31,IF($G$3:$G$28&lt;&gt;"",$G$3:$G$28)))),"")</f>
        <v/>
      </c>
      <c r="R33" s="147" t="str">
        <f t="array" ref="R33">IFERROR(AVERAGE(IF($B$3:$B$28=$B33,IF($D$3:$D$28=R$31,IF($G$3:$G$28&lt;&gt;"",$G$3:$G$28)))),"")</f>
        <v/>
      </c>
      <c r="S33" s="147" t="str">
        <f t="array" ref="S33">IFERROR(AVERAGE(IF($B$3:$B$28=$B33,IF($D$3:$D$28=S$31,IF($G$3:$G$28&lt;&gt;"",$G$3:$G$28)))),"")</f>
        <v/>
      </c>
      <c r="T33" s="147" t="str">
        <f t="array" ref="T33">IFERROR(AVERAGE(IF($B$3:$B$28=$B33,IF($D$3:$D$28=T$31,IF($G$3:$G$28&lt;&gt;"",$G$3:$G$28)))),"")</f>
        <v/>
      </c>
      <c r="U33" s="147">
        <f t="array" ref="U33">IFERROR(AVERAGE(IF($B$3:$B$28=$B33,IF($D$3:$D$28=U$31,IF($G$3:$G$28&lt;&gt;"",$G$3:$G$28)))),"")</f>
        <v>1173</v>
      </c>
      <c r="V33" s="147" t="str">
        <f t="array" ref="V33">IFERROR(AVERAGE(IF($B$3:$B$28=$B33,IF($D$3:$D$28=V$31,IF($G$3:$G$28&lt;&gt;"",$G$3:$G$28)))),"")</f>
        <v/>
      </c>
      <c r="W33" s="147" t="str">
        <f t="array" ref="W33">IFERROR(AVERAGE(IF($B$3:$B$28=$B33,IF($D$3:$D$28=W$31,IF($G$3:$G$28&lt;&gt;"",$G$3:$G$28)))),"")</f>
        <v/>
      </c>
      <c r="X33" s="147" t="str">
        <f t="array" ref="X33">IFERROR(AVERAGE(IF($B$3:$B$28=$B33,IF($D$3:$D$28=X$31,IF($G$3:$G$28&lt;&gt;"",$G$3:$G$28)))),"")</f>
        <v/>
      </c>
      <c r="Y33" s="147" t="str">
        <f t="array" ref="Y33">IFERROR(AVERAGE(IF($B$3:$B$28=$B33,IF($D$3:$D$28=Y$31,IF($G$3:$G$28&lt;&gt;"",$G$3:$G$28)))),"")</f>
        <v/>
      </c>
      <c r="Z33" s="147" t="str">
        <f t="array" ref="Z33">IFERROR(AVERAGE(IF($B$3:$B$28=$B33,IF($D$3:$D$28=Z$31,IF($G$3:$G$28&lt;&gt;"",$G$3:$G$28)))),"")</f>
        <v/>
      </c>
      <c r="AA33" s="147" t="str">
        <f t="array" ref="AA33">IFERROR(AVERAGE(IF($B$3:$B$28=$B33,IF($D$3:$D$28=AA$31,IF($G$3:$G$28&lt;&gt;"",$G$3:$G$28)))),"")</f>
        <v/>
      </c>
      <c r="AB33" s="147">
        <f t="array" ref="AB33">IFERROR(AVERAGE(IF($B$3:$B$28=$B33,IF($D$3:$D$28=AB$31,IF($G$3:$G$28&lt;&gt;"",$G$3:$G$28)))),"")</f>
        <v>2577</v>
      </c>
      <c r="AC33" s="147" t="str">
        <f t="array" ref="AC33">IFERROR(AVERAGE(IF($B$3:$B$28=$B33,IF($D$3:$D$28=AC$31,IF($G$3:$G$28&lt;&gt;"",$G$3:$G$28)))),"")</f>
        <v/>
      </c>
      <c r="AD33" s="147" t="str">
        <f t="array" ref="AD33">IFERROR(AVERAGE(IF($B$3:$B$28=$B33,IF($D$3:$D$28=AD$31,IF($G$3:$G$28&lt;&gt;"",$G$3:$G$28)))),"")</f>
        <v/>
      </c>
      <c r="AE33" s="147" t="str">
        <f t="array" ref="AE33">IFERROR(AVERAGE(IF($B$3:$B$28=$B33,IF($D$3:$D$28=AE$31,IF($G$3:$G$28&lt;&gt;"",$G$3:$G$28)))),"")</f>
        <v/>
      </c>
      <c r="AF33" s="147" t="str">
        <f t="array" ref="AF33">IFERROR(AVERAGE(IF($B$3:$B$28=$B33,IF($D$3:$D$28=AF$31,IF($G$3:$G$28&lt;&gt;"",$G$3:$G$28)))),"")</f>
        <v/>
      </c>
    </row>
    <row r="34" spans="1:32" ht="15" customHeight="1" x14ac:dyDescent="0.25">
      <c r="A34" s="52">
        <f t="shared" ref="A34" si="2">IF(B34="",1,0)</f>
        <v>0</v>
      </c>
      <c r="B34" s="62" t="str">
        <f t="array" ref="B34">IFERROR(INDEX($B$3:$B$28, MATCH(0,IF(ISBLANK($B$3:$B$28),1,COUNTIF($B$32:B33, $B$3:$B$28)), 0)),"")</f>
        <v>Hyd</v>
      </c>
      <c r="C34" s="63"/>
      <c r="D34" s="63"/>
      <c r="E34" s="63"/>
      <c r="F34" s="63"/>
      <c r="G34" s="72"/>
      <c r="H34" s="147" t="str">
        <f t="array" ref="H34">IFERROR(AVERAGE(IF($B$3:$B$28=$B34,IF($D$3:$D$28=H$31,IF($G$3:$G$28&lt;&gt;"",$G$3:$G$28)))),"")</f>
        <v/>
      </c>
      <c r="I34" s="147">
        <f t="array" ref="I34">IFERROR(AVERAGE(IF($B$3:$B$28=$B34,IF($D$3:$D$28=I$31,IF($G$3:$G$28&lt;&gt;"",$G$3:$G$28)))),"")</f>
        <v>1173</v>
      </c>
      <c r="J34" s="147" t="str">
        <f t="array" ref="J34">IFERROR(AVERAGE(IF($B$3:$B$28=$B34,IF($D$3:$D$28=J$31,IF($G$3:$G$28&lt;&gt;"",$G$3:$G$28)))),"")</f>
        <v/>
      </c>
      <c r="K34" s="147" t="str">
        <f t="array" ref="K34">IFERROR(AVERAGE(IF($B$3:$B$28=$B34,IF($D$3:$D$28=K$31,IF($G$3:$G$28&lt;&gt;"",$G$3:$G$28)))),"")</f>
        <v/>
      </c>
      <c r="L34" s="147" t="str">
        <f t="array" ref="L34">IFERROR(AVERAGE(IF($B$3:$B$28=$B34,IF($D$3:$D$28=L$31,IF($G$3:$G$28&lt;&gt;"",$G$3:$G$28)))),"")</f>
        <v/>
      </c>
      <c r="M34" s="147">
        <f t="array" ref="M34">IFERROR(AVERAGE(IF($B$3:$B$28=$B34,IF($D$3:$D$28=M$31,IF($G$3:$G$28&lt;&gt;"",$G$3:$G$28)))),"")</f>
        <v>1993</v>
      </c>
      <c r="N34" s="147" t="str">
        <f t="array" ref="N34">IFERROR(AVERAGE(IF($B$3:$B$28=$B34,IF($D$3:$D$28=N$31,IF($G$3:$G$28&lt;&gt;"",$G$3:$G$28)))),"")</f>
        <v/>
      </c>
      <c r="O34" s="147" t="str">
        <f t="array" ref="O34">IFERROR(AVERAGE(IF($B$3:$B$28=$B34,IF($D$3:$D$28=O$31,IF($G$3:$G$28&lt;&gt;"",$G$3:$G$28)))),"")</f>
        <v/>
      </c>
      <c r="P34" s="147" t="str">
        <f t="array" ref="P34">IFERROR(AVERAGE(IF($B$3:$B$28=$B34,IF($D$3:$D$28=P$31,IF($G$3:$G$28&lt;&gt;"",$G$3:$G$28)))),"")</f>
        <v/>
      </c>
      <c r="Q34" s="147" t="str">
        <f t="array" ref="Q34">IFERROR(AVERAGE(IF($B$3:$B$28=$B34,IF($D$3:$D$28=Q$31,IF($G$3:$G$28&lt;&gt;"",$G$3:$G$28)))),"")</f>
        <v/>
      </c>
      <c r="R34" s="147" t="str">
        <f t="array" ref="R34">IFERROR(AVERAGE(IF($B$3:$B$28=$B34,IF($D$3:$D$28=R$31,IF($G$3:$G$28&lt;&gt;"",$G$3:$G$28)))),"")</f>
        <v/>
      </c>
      <c r="S34" s="147" t="str">
        <f t="array" ref="S34">IFERROR(AVERAGE(IF($B$3:$B$28=$B34,IF($D$3:$D$28=S$31,IF($G$3:$G$28&lt;&gt;"",$G$3:$G$28)))),"")</f>
        <v/>
      </c>
      <c r="T34" s="147" t="str">
        <f t="array" ref="T34">IFERROR(AVERAGE(IF($B$3:$B$28=$B34,IF($D$3:$D$28=T$31,IF($G$3:$G$28&lt;&gt;"",$G$3:$G$28)))),"")</f>
        <v/>
      </c>
      <c r="U34" s="147" t="str">
        <f t="array" ref="U34">IFERROR(AVERAGE(IF($B$3:$B$28=$B34,IF($D$3:$D$28=U$31,IF($G$3:$G$28&lt;&gt;"",$G$3:$G$28)))),"")</f>
        <v/>
      </c>
      <c r="V34" s="147">
        <f t="array" ref="V34">IFERROR(AVERAGE(IF($B$3:$B$28=$B34,IF($D$3:$D$28=V$31,IF($G$3:$G$28&lt;&gt;"",$G$3:$G$28)))),"")</f>
        <v>1098</v>
      </c>
      <c r="W34" s="147" t="str">
        <f t="array" ref="W34">IFERROR(AVERAGE(IF($B$3:$B$28=$B34,IF($D$3:$D$28=W$31,IF($G$3:$G$28&lt;&gt;"",$G$3:$G$28)))),"")</f>
        <v/>
      </c>
      <c r="X34" s="147" t="str">
        <f t="array" ref="X34">IFERROR(AVERAGE(IF($B$3:$B$28=$B34,IF($D$3:$D$28=X$31,IF($G$3:$G$28&lt;&gt;"",$G$3:$G$28)))),"")</f>
        <v/>
      </c>
      <c r="Y34" s="147" t="str">
        <f t="array" ref="Y34">IFERROR(AVERAGE(IF($B$3:$B$28=$B34,IF($D$3:$D$28=Y$31,IF($G$3:$G$28&lt;&gt;"",$G$3:$G$28)))),"")</f>
        <v/>
      </c>
      <c r="Z34" s="147">
        <f t="array" ref="Z34">IFERROR(AVERAGE(IF($B$3:$B$28=$B34,IF($D$3:$D$28=Z$31,IF($G$3:$G$28&lt;&gt;"",$G$3:$G$28)))),"")</f>
        <v>2323</v>
      </c>
      <c r="AA34" s="147" t="str">
        <f t="array" ref="AA34">IFERROR(AVERAGE(IF($B$3:$B$28=$B34,IF($D$3:$D$28=AA$31,IF($G$3:$G$28&lt;&gt;"",$G$3:$G$28)))),"")</f>
        <v/>
      </c>
      <c r="AB34" s="147" t="str">
        <f t="array" ref="AB34">IFERROR(AVERAGE(IF($B$3:$B$28=$B34,IF($D$3:$D$28=AB$31,IF($G$3:$G$28&lt;&gt;"",$G$3:$G$28)))),"")</f>
        <v/>
      </c>
      <c r="AC34" s="147" t="str">
        <f t="array" ref="AC34">IFERROR(AVERAGE(IF($B$3:$B$28=$B34,IF($D$3:$D$28=AC$31,IF($G$3:$G$28&lt;&gt;"",$G$3:$G$28)))),"")</f>
        <v/>
      </c>
      <c r="AD34" s="147" t="str">
        <f t="array" ref="AD34">IFERROR(AVERAGE(IF($B$3:$B$28=$B34,IF($D$3:$D$28=AD$31,IF($G$3:$G$28&lt;&gt;"",$G$3:$G$28)))),"")</f>
        <v/>
      </c>
      <c r="AE34" s="147" t="str">
        <f t="array" ref="AE34">IFERROR(AVERAGE(IF($B$3:$B$28=$B34,IF($D$3:$D$28=AE$31,IF($G$3:$G$28&lt;&gt;"",$G$3:$G$28)))),"")</f>
        <v/>
      </c>
      <c r="AF34" s="147" t="str">
        <f t="array" ref="AF34">IFERROR(AVERAGE(IF($B$3:$B$28=$B34,IF($D$3:$D$28=AF$31,IF($G$3:$G$28&lt;&gt;"",$G$3:$G$28)))),"")</f>
        <v/>
      </c>
    </row>
    <row r="35" spans="1:32" ht="15" customHeight="1" x14ac:dyDescent="0.25">
      <c r="A35" s="52">
        <f t="shared" ref="A35:A37" si="3">IF(B35="",1,0)</f>
        <v>0</v>
      </c>
      <c r="B35" s="62" t="str">
        <f t="array" ref="B35">IFERROR(INDEX($B$3:$B$28, MATCH(0,IF(ISBLANK($B$3:$B$28),1,COUNTIF($B$32:B34, $B$3:$B$28)), 0)),"")</f>
        <v>Delhi</v>
      </c>
      <c r="C35" s="63"/>
      <c r="D35" s="63"/>
      <c r="E35" s="63"/>
      <c r="F35" s="63"/>
      <c r="G35" s="72"/>
      <c r="H35" s="147" t="str">
        <f t="array" ref="H35">IFERROR(AVERAGE(IF($B$3:$B$28=$B35,IF($D$3:$D$28=H$31,IF($G$3:$G$28&lt;&gt;"",$G$3:$G$28)))),"")</f>
        <v/>
      </c>
      <c r="I35" s="147" t="str">
        <f t="array" ref="I35">IFERROR(AVERAGE(IF($B$3:$B$28=$B35,IF($D$3:$D$28=I$31,IF($G$3:$G$28&lt;&gt;"",$G$3:$G$28)))),"")</f>
        <v/>
      </c>
      <c r="J35" s="147">
        <f t="array" ref="J35">IFERROR(AVERAGE(IF($B$3:$B$28=$B35,IF($D$3:$D$28=J$31,IF($G$3:$G$28&lt;&gt;"",$G$3:$G$28)))),"")</f>
        <v>1098</v>
      </c>
      <c r="K35" s="147" t="str">
        <f t="array" ref="K35">IFERROR(AVERAGE(IF($B$3:$B$28=$B35,IF($D$3:$D$28=K$31,IF($G$3:$G$28&lt;&gt;"",$G$3:$G$28)))),"")</f>
        <v/>
      </c>
      <c r="L35" s="147" t="str">
        <f t="array" ref="L35">IFERROR(AVERAGE(IF($B$3:$B$28=$B35,IF($D$3:$D$28=L$31,IF($G$3:$G$28&lt;&gt;"",$G$3:$G$28)))),"")</f>
        <v/>
      </c>
      <c r="M35" s="147" t="str">
        <f t="array" ref="M35">IFERROR(AVERAGE(IF($B$3:$B$28=$B35,IF($D$3:$D$28=M$31,IF($G$3:$G$28&lt;&gt;"",$G$3:$G$28)))),"")</f>
        <v/>
      </c>
      <c r="N35" s="147">
        <f t="array" ref="N35">IFERROR(AVERAGE(IF($B$3:$B$28=$B35,IF($D$3:$D$28=N$31,IF($G$3:$G$28&lt;&gt;"",$G$3:$G$28)))),"")</f>
        <v>2323</v>
      </c>
      <c r="O35" s="147" t="str">
        <f t="array" ref="O35">IFERROR(AVERAGE(IF($B$3:$B$28=$B35,IF($D$3:$D$28=O$31,IF($G$3:$G$28&lt;&gt;"",$G$3:$G$28)))),"")</f>
        <v/>
      </c>
      <c r="P35" s="147" t="str">
        <f t="array" ref="P35">IFERROR(AVERAGE(IF($B$3:$B$28=$B35,IF($D$3:$D$28=P$31,IF($G$3:$G$28&lt;&gt;"",$G$3:$G$28)))),"")</f>
        <v/>
      </c>
      <c r="Q35" s="147" t="str">
        <f t="array" ref="Q35">IFERROR(AVERAGE(IF($B$3:$B$28=$B35,IF($D$3:$D$28=Q$31,IF($G$3:$G$28&lt;&gt;"",$G$3:$G$28)))),"")</f>
        <v/>
      </c>
      <c r="R35" s="147" t="str">
        <f t="array" ref="R35">IFERROR(AVERAGE(IF($B$3:$B$28=$B35,IF($D$3:$D$28=R$31,IF($G$3:$G$28&lt;&gt;"",$G$3:$G$28)))),"")</f>
        <v/>
      </c>
      <c r="S35" s="147" t="str">
        <f t="array" ref="S35">IFERROR(AVERAGE(IF($B$3:$B$28=$B35,IF($D$3:$D$28=S$31,IF($G$3:$G$28&lt;&gt;"",$G$3:$G$28)))),"")</f>
        <v/>
      </c>
      <c r="T35" s="147" t="str">
        <f t="array" ref="T35">IFERROR(AVERAGE(IF($B$3:$B$28=$B35,IF($D$3:$D$28=T$31,IF($G$3:$G$28&lt;&gt;"",$G$3:$G$28)))),"")</f>
        <v/>
      </c>
      <c r="U35" s="147" t="str">
        <f t="array" ref="U35">IFERROR(AVERAGE(IF($B$3:$B$28=$B35,IF($D$3:$D$28=U$31,IF($G$3:$G$28&lt;&gt;"",$G$3:$G$28)))),"")</f>
        <v/>
      </c>
      <c r="V35" s="147" t="str">
        <f t="array" ref="V35">IFERROR(AVERAGE(IF($B$3:$B$28=$B35,IF($D$3:$D$28=V$31,IF($G$3:$G$28&lt;&gt;"",$G$3:$G$28)))),"")</f>
        <v/>
      </c>
      <c r="W35" s="147">
        <f t="array" ref="W35">IFERROR(AVERAGE(IF($B$3:$B$28=$B35,IF($D$3:$D$28=W$31,IF($G$3:$G$28&lt;&gt;"",$G$3:$G$28)))),"")</f>
        <v>986</v>
      </c>
      <c r="X35" s="147" t="str">
        <f t="array" ref="X35">IFERROR(AVERAGE(IF($B$3:$B$28=$B35,IF($D$3:$D$28=X$31,IF($G$3:$G$28&lt;&gt;"",$G$3:$G$28)))),"")</f>
        <v/>
      </c>
      <c r="Y35" s="147" t="str">
        <f t="array" ref="Y35">IFERROR(AVERAGE(IF($B$3:$B$28=$B35,IF($D$3:$D$28=Y$31,IF($G$3:$G$28&lt;&gt;"",$G$3:$G$28)))),"")</f>
        <v/>
      </c>
      <c r="Z35" s="147" t="str">
        <f t="array" ref="Z35">IFERROR(AVERAGE(IF($B$3:$B$28=$B35,IF($D$3:$D$28=Z$31,IF($G$3:$G$28&lt;&gt;"",$G$3:$G$28)))),"")</f>
        <v/>
      </c>
      <c r="AA35" s="147">
        <f t="array" ref="AA35">IFERROR(AVERAGE(IF($B$3:$B$28=$B35,IF($D$3:$D$28=AA$31,IF($G$3:$G$28&lt;&gt;"",$G$3:$G$28)))),"")</f>
        <v>2566</v>
      </c>
      <c r="AB35" s="147" t="str">
        <f t="array" ref="AB35">IFERROR(AVERAGE(IF($B$3:$B$28=$B35,IF($D$3:$D$28=AB$31,IF($G$3:$G$28&lt;&gt;"",$G$3:$G$28)))),"")</f>
        <v/>
      </c>
      <c r="AC35" s="147" t="str">
        <f t="array" ref="AC35">IFERROR(AVERAGE(IF($B$3:$B$28=$B35,IF($D$3:$D$28=AC$31,IF($G$3:$G$28&lt;&gt;"",$G$3:$G$28)))),"")</f>
        <v/>
      </c>
      <c r="AD35" s="147" t="str">
        <f t="array" ref="AD35">IFERROR(AVERAGE(IF($B$3:$B$28=$B35,IF($D$3:$D$28=AD$31,IF($G$3:$G$28&lt;&gt;"",$G$3:$G$28)))),"")</f>
        <v/>
      </c>
      <c r="AE35" s="147" t="str">
        <f t="array" ref="AE35">IFERROR(AVERAGE(IF($B$3:$B$28=$B35,IF($D$3:$D$28=AE$31,IF($G$3:$G$28&lt;&gt;"",$G$3:$G$28)))),"")</f>
        <v/>
      </c>
      <c r="AF35" s="147" t="str">
        <f t="array" ref="AF35">IFERROR(AVERAGE(IF($B$3:$B$28=$B35,IF($D$3:$D$28=AF$31,IF($G$3:$G$28&lt;&gt;"",$G$3:$G$28)))),"")</f>
        <v/>
      </c>
    </row>
    <row r="36" spans="1:32" ht="15" customHeight="1" x14ac:dyDescent="0.25">
      <c r="A36" s="52">
        <f t="shared" si="3"/>
        <v>0</v>
      </c>
      <c r="B36" s="62" t="str">
        <f t="array" ref="B36">IFERROR(INDEX($B$3:$B$28, MATCH(0,IF(ISBLANK($B$3:$B$28),1,COUNTIF($B$32:B35, $B$3:$B$28)), 0)),"")</f>
        <v>Banglore</v>
      </c>
      <c r="C36" s="63"/>
      <c r="D36" s="63"/>
      <c r="E36" s="63"/>
      <c r="F36" s="63"/>
      <c r="G36" s="72"/>
      <c r="H36" s="147" t="str">
        <f t="array" ref="H36">IFERROR(AVERAGE(IF($B$3:$B$28=$B36,IF($D$3:$D$28=H$31,IF($G$3:$G$28&lt;&gt;"",$G$3:$G$28)))),"")</f>
        <v/>
      </c>
      <c r="I36" s="147" t="str">
        <f t="array" ref="I36">IFERROR(AVERAGE(IF($B$3:$B$28=$B36,IF($D$3:$D$28=I$31,IF($G$3:$G$28&lt;&gt;"",$G$3:$G$28)))),"")</f>
        <v/>
      </c>
      <c r="J36" s="147" t="str">
        <f t="array" ref="J36">IFERROR(AVERAGE(IF($B$3:$B$28=$B36,IF($D$3:$D$28=J$31,IF($G$3:$G$28&lt;&gt;"",$G$3:$G$28)))),"")</f>
        <v/>
      </c>
      <c r="K36" s="147">
        <f t="array" ref="K36">IFERROR(AVERAGE(IF($B$3:$B$28=$B36,IF($D$3:$D$28=K$31,IF($G$3:$G$28&lt;&gt;"",$G$3:$G$28)))),"")</f>
        <v>986</v>
      </c>
      <c r="L36" s="147" t="str">
        <f t="array" ref="L36">IFERROR(AVERAGE(IF($B$3:$B$28=$B36,IF($D$3:$D$28=L$31,IF($G$3:$G$28&lt;&gt;"",$G$3:$G$28)))),"")</f>
        <v/>
      </c>
      <c r="M36" s="147" t="str">
        <f t="array" ref="M36">IFERROR(AVERAGE(IF($B$3:$B$28=$B36,IF($D$3:$D$28=M$31,IF($G$3:$G$28&lt;&gt;"",$G$3:$G$28)))),"")</f>
        <v/>
      </c>
      <c r="N36" s="147" t="str">
        <f t="array" ref="N36">IFERROR(AVERAGE(IF($B$3:$B$28=$B36,IF($D$3:$D$28=N$31,IF($G$3:$G$28&lt;&gt;"",$G$3:$G$28)))),"")</f>
        <v/>
      </c>
      <c r="O36" s="147" t="str">
        <f t="array" ref="O36">IFERROR(AVERAGE(IF($B$3:$B$28=$B36,IF($D$3:$D$28=O$31,IF($G$3:$G$28&lt;&gt;"",$G$3:$G$28)))),"")</f>
        <v/>
      </c>
      <c r="P36" s="147" t="str">
        <f t="array" ref="P36">IFERROR(AVERAGE(IF($B$3:$B$28=$B36,IF($D$3:$D$28=P$31,IF($G$3:$G$28&lt;&gt;"",$G$3:$G$28)))),"")</f>
        <v/>
      </c>
      <c r="Q36" s="147" t="str">
        <f t="array" ref="Q36">IFERROR(AVERAGE(IF($B$3:$B$28=$B36,IF($D$3:$D$28=Q$31,IF($G$3:$G$28&lt;&gt;"",$G$3:$G$28)))),"")</f>
        <v/>
      </c>
      <c r="R36" s="147" t="str">
        <f t="array" ref="R36">IFERROR(AVERAGE(IF($B$3:$B$28=$B36,IF($D$3:$D$28=R$31,IF($G$3:$G$28&lt;&gt;"",$G$3:$G$28)))),"")</f>
        <v/>
      </c>
      <c r="S36" s="147" t="str">
        <f t="array" ref="S36">IFERROR(AVERAGE(IF($B$3:$B$28=$B36,IF($D$3:$D$28=S$31,IF($G$3:$G$28&lt;&gt;"",$G$3:$G$28)))),"")</f>
        <v/>
      </c>
      <c r="T36" s="147" t="str">
        <f t="array" ref="T36">IFERROR(AVERAGE(IF($B$3:$B$28=$B36,IF($D$3:$D$28=T$31,IF($G$3:$G$28&lt;&gt;"",$G$3:$G$28)))),"")</f>
        <v/>
      </c>
      <c r="U36" s="147" t="str">
        <f t="array" ref="U36">IFERROR(AVERAGE(IF($B$3:$B$28=$B36,IF($D$3:$D$28=U$31,IF($G$3:$G$28&lt;&gt;"",$G$3:$G$28)))),"")</f>
        <v/>
      </c>
      <c r="V36" s="147" t="str">
        <f t="array" ref="V36">IFERROR(AVERAGE(IF($B$3:$B$28=$B36,IF($D$3:$D$28=V$31,IF($G$3:$G$28&lt;&gt;"",$G$3:$G$28)))),"")</f>
        <v/>
      </c>
      <c r="W36" s="147" t="str">
        <f t="array" ref="W36">IFERROR(AVERAGE(IF($B$3:$B$28=$B36,IF($D$3:$D$28=W$31,IF($G$3:$G$28&lt;&gt;"",$G$3:$G$28)))),"")</f>
        <v/>
      </c>
      <c r="X36" s="147">
        <f t="array" ref="X36">IFERROR(AVERAGE(IF($B$3:$B$28=$B36,IF($D$3:$D$28=X$31,IF($G$3:$G$28&lt;&gt;"",$G$3:$G$28)))),"")</f>
        <v>1212</v>
      </c>
      <c r="Y36" s="147" t="str">
        <f t="array" ref="Y36">IFERROR(AVERAGE(IF($B$3:$B$28=$B36,IF($D$3:$D$28=Y$31,IF($G$3:$G$28&lt;&gt;"",$G$3:$G$28)))),"")</f>
        <v/>
      </c>
      <c r="Z36" s="147" t="str">
        <f t="array" ref="Z36">IFERROR(AVERAGE(IF($B$3:$B$28=$B36,IF($D$3:$D$28=Z$31,IF($G$3:$G$28&lt;&gt;"",$G$3:$G$28)))),"")</f>
        <v/>
      </c>
      <c r="AA36" s="147" t="str">
        <f t="array" ref="AA36">IFERROR(AVERAGE(IF($B$3:$B$28=$B36,IF($D$3:$D$28=AA$31,IF($G$3:$G$28&lt;&gt;"",$G$3:$G$28)))),"")</f>
        <v/>
      </c>
      <c r="AB36" s="147" t="str">
        <f t="array" ref="AB36">IFERROR(AVERAGE(IF($B$3:$B$28=$B36,IF($D$3:$D$28=AB$31,IF($G$3:$G$28&lt;&gt;"",$G$3:$G$28)))),"")</f>
        <v/>
      </c>
      <c r="AC36" s="147" t="str">
        <f t="array" ref="AC36">IFERROR(AVERAGE(IF($B$3:$B$28=$B36,IF($D$3:$D$28=AC$31,IF($G$3:$G$28&lt;&gt;"",$G$3:$G$28)))),"")</f>
        <v/>
      </c>
      <c r="AD36" s="147" t="str">
        <f t="array" ref="AD36">IFERROR(AVERAGE(IF($B$3:$B$28=$B36,IF($D$3:$D$28=AD$31,IF($G$3:$G$28&lt;&gt;"",$G$3:$G$28)))),"")</f>
        <v/>
      </c>
      <c r="AE36" s="147" t="str">
        <f t="array" ref="AE36">IFERROR(AVERAGE(IF($B$3:$B$28=$B36,IF($D$3:$D$28=AE$31,IF($G$3:$G$28&lt;&gt;"",$G$3:$G$28)))),"")</f>
        <v/>
      </c>
      <c r="AF36" s="147" t="str">
        <f t="array" ref="AF36">IFERROR(AVERAGE(IF($B$3:$B$28=$B36,IF($D$3:$D$28=AF$31,IF($G$3:$G$28&lt;&gt;"",$G$3:$G$28)))),"")</f>
        <v/>
      </c>
    </row>
    <row r="37" spans="1:32" ht="15" customHeight="1" x14ac:dyDescent="0.25">
      <c r="A37" s="52">
        <f t="shared" si="3"/>
        <v>0</v>
      </c>
      <c r="B37" s="62" t="str">
        <f t="array" ref="B37">IFERROR(INDEX($B$3:$B$28, MATCH(0,IF(ISBLANK($B$3:$B$28),1,COUNTIF($B$32:B36, $B$3:$B$28)), 0)),"")</f>
        <v>Chennai</v>
      </c>
      <c r="C37" s="63"/>
      <c r="D37" s="63"/>
      <c r="E37" s="63"/>
      <c r="F37" s="63"/>
      <c r="G37" s="72"/>
      <c r="H37" s="147" t="str">
        <f t="array" ref="H37">IFERROR(AVERAGE(IF($B$3:$B$28=$B37,IF($D$3:$D$28=H$31,IF($G$3:$G$28&lt;&gt;"",$G$3:$G$28)))),"")</f>
        <v/>
      </c>
      <c r="I37" s="147" t="str">
        <f t="array" ref="I37">IFERROR(AVERAGE(IF($B$3:$B$28=$B37,IF($D$3:$D$28=I$31,IF($G$3:$G$28&lt;&gt;"",$G$3:$G$28)))),"")</f>
        <v/>
      </c>
      <c r="J37" s="147" t="str">
        <f t="array" ref="J37">IFERROR(AVERAGE(IF($B$3:$B$28=$B37,IF($D$3:$D$28=J$31,IF($G$3:$G$28&lt;&gt;"",$G$3:$G$28)))),"")</f>
        <v/>
      </c>
      <c r="K37" s="147" t="str">
        <f t="array" ref="K37">IFERROR(AVERAGE(IF($B$3:$B$28=$B37,IF($D$3:$D$28=K$31,IF($G$3:$G$28&lt;&gt;"",$G$3:$G$28)))),"")</f>
        <v/>
      </c>
      <c r="L37" s="147">
        <f t="array" ref="L37">IFERROR(AVERAGE(IF($B$3:$B$28=$B37,IF($D$3:$D$28=L$31,IF($G$3:$G$28&lt;&gt;"",$G$3:$G$28)))),"")</f>
        <v>1212</v>
      </c>
      <c r="M37" s="147" t="str">
        <f t="array" ref="M37">IFERROR(AVERAGE(IF($B$3:$B$28=$B37,IF($D$3:$D$28=M$31,IF($G$3:$G$28&lt;&gt;"",$G$3:$G$28)))),"")</f>
        <v/>
      </c>
      <c r="N37" s="147" t="str">
        <f t="array" ref="N37">IFERROR(AVERAGE(IF($B$3:$B$28=$B37,IF($D$3:$D$28=N$31,IF($G$3:$G$28&lt;&gt;"",$G$3:$G$28)))),"")</f>
        <v/>
      </c>
      <c r="O37" s="147" t="str">
        <f t="array" ref="O37">IFERROR(AVERAGE(IF($B$3:$B$28=$B37,IF($D$3:$D$28=O$31,IF($G$3:$G$28&lt;&gt;"",$G$3:$G$28)))),"")</f>
        <v/>
      </c>
      <c r="P37" s="147" t="str">
        <f t="array" ref="P37">IFERROR(AVERAGE(IF($B$3:$B$28=$B37,IF($D$3:$D$28=P$31,IF($G$3:$G$28&lt;&gt;"",$G$3:$G$28)))),"")</f>
        <v/>
      </c>
      <c r="Q37" s="147" t="str">
        <f t="array" ref="Q37">IFERROR(AVERAGE(IF($B$3:$B$28=$B37,IF($D$3:$D$28=Q$31,IF($G$3:$G$28&lt;&gt;"",$G$3:$G$28)))),"")</f>
        <v/>
      </c>
      <c r="R37" s="147" t="str">
        <f t="array" ref="R37">IFERROR(AVERAGE(IF($B$3:$B$28=$B37,IF($D$3:$D$28=R$31,IF($G$3:$G$28&lt;&gt;"",$G$3:$G$28)))),"")</f>
        <v/>
      </c>
      <c r="S37" s="147" t="str">
        <f t="array" ref="S37">IFERROR(AVERAGE(IF($B$3:$B$28=$B37,IF($D$3:$D$28=S$31,IF($G$3:$G$28&lt;&gt;"",$G$3:$G$28)))),"")</f>
        <v/>
      </c>
      <c r="T37" s="147" t="str">
        <f t="array" ref="T37">IFERROR(AVERAGE(IF($B$3:$B$28=$B37,IF($D$3:$D$28=T$31,IF($G$3:$G$28&lt;&gt;"",$G$3:$G$28)))),"")</f>
        <v/>
      </c>
      <c r="U37" s="147" t="str">
        <f t="array" ref="U37">IFERROR(AVERAGE(IF($B$3:$B$28=$B37,IF($D$3:$D$28=U$31,IF($G$3:$G$28&lt;&gt;"",$G$3:$G$28)))),"")</f>
        <v/>
      </c>
      <c r="V37" s="147" t="str">
        <f t="array" ref="V37">IFERROR(AVERAGE(IF($B$3:$B$28=$B37,IF($D$3:$D$28=V$31,IF($G$3:$G$28&lt;&gt;"",$G$3:$G$28)))),"")</f>
        <v/>
      </c>
      <c r="W37" s="147" t="str">
        <f t="array" ref="W37">IFERROR(AVERAGE(IF($B$3:$B$28=$B37,IF($D$3:$D$28=W$31,IF($G$3:$G$28&lt;&gt;"",$G$3:$G$28)))),"")</f>
        <v/>
      </c>
      <c r="X37" s="147" t="str">
        <f t="array" ref="X37">IFERROR(AVERAGE(IF($B$3:$B$28=$B37,IF($D$3:$D$28=X$31,IF($G$3:$G$28&lt;&gt;"",$G$3:$G$28)))),"")</f>
        <v/>
      </c>
      <c r="Y37" s="147">
        <f t="array" ref="Y37">IFERROR(AVERAGE(IF($B$3:$B$28=$B37,IF($D$3:$D$28=Y$31,IF($G$3:$G$28&lt;&gt;"",$G$3:$G$28)))),"")</f>
        <v>1993</v>
      </c>
      <c r="Z37" s="147" t="str">
        <f t="array" ref="Z37">IFERROR(AVERAGE(IF($B$3:$B$28=$B37,IF($D$3:$D$28=Z$31,IF($G$3:$G$28&lt;&gt;"",$G$3:$G$28)))),"")</f>
        <v/>
      </c>
      <c r="AA37" s="147" t="str">
        <f t="array" ref="AA37">IFERROR(AVERAGE(IF($B$3:$B$28=$B37,IF($D$3:$D$28=AA$31,IF($G$3:$G$28&lt;&gt;"",$G$3:$G$28)))),"")</f>
        <v/>
      </c>
      <c r="AB37" s="147" t="str">
        <f t="array" ref="AB37">IFERROR(AVERAGE(IF($B$3:$B$28=$B37,IF($D$3:$D$28=AB$31,IF($G$3:$G$28&lt;&gt;"",$G$3:$G$28)))),"")</f>
        <v/>
      </c>
      <c r="AC37" s="147" t="str">
        <f t="array" ref="AC37">IFERROR(AVERAGE(IF($B$3:$B$28=$B37,IF($D$3:$D$28=AC$31,IF($G$3:$G$28&lt;&gt;"",$G$3:$G$28)))),"")</f>
        <v/>
      </c>
      <c r="AD37" s="147" t="str">
        <f t="array" ref="AD37">IFERROR(AVERAGE(IF($B$3:$B$28=$B37,IF($D$3:$D$28=AD$31,IF($G$3:$G$28&lt;&gt;"",$G$3:$G$28)))),"")</f>
        <v/>
      </c>
      <c r="AE37" s="147" t="str">
        <f t="array" ref="AE37">IFERROR(AVERAGE(IF($B$3:$B$28=$B37,IF($D$3:$D$28=AE$31,IF($G$3:$G$28&lt;&gt;"",$G$3:$G$28)))),"")</f>
        <v/>
      </c>
      <c r="AF37" s="147">
        <f t="array" ref="AF37">IFERROR(AVERAGE(IF($B$3:$B$28=$B37,IF($D$3:$D$28=AF$31,IF($G$3:$G$28&lt;&gt;"",$G$3:$G$28)))),"")</f>
        <v>3221</v>
      </c>
    </row>
    <row r="38" spans="1:32" ht="15" customHeight="1" x14ac:dyDescent="0.25">
      <c r="A38" s="52">
        <f t="shared" ref="A38:A42" si="4">IF(B38="",1,0)</f>
        <v>0</v>
      </c>
      <c r="B38" s="62" t="str">
        <f t="array" ref="B38">IFERROR(INDEX($B$3:$B$28, MATCH(0,IF(ISBLANK($B$3:$B$28),1,COUNTIF($B$32:B37, $B$3:$B$28)), 0)),"")</f>
        <v>Madhya Pradesh</v>
      </c>
      <c r="C38" s="63"/>
      <c r="D38" s="63"/>
      <c r="E38" s="63"/>
      <c r="F38" s="63"/>
      <c r="G38" s="72"/>
      <c r="H38" s="147" t="str">
        <f t="array" ref="H38">IFERROR(AVERAGE(IF($B$3:$B$28=$B38,IF($D$3:$D$28=H$31,IF($G$3:$G$28&lt;&gt;"",$G$3:$G$28)))),"")</f>
        <v/>
      </c>
      <c r="I38" s="147" t="str">
        <f t="array" ref="I38">IFERROR(AVERAGE(IF($B$3:$B$28=$B38,IF($D$3:$D$28=I$31,IF($G$3:$G$28&lt;&gt;"",$G$3:$G$28)))),"")</f>
        <v/>
      </c>
      <c r="J38" s="147" t="str">
        <f t="array" ref="J38">IFERROR(AVERAGE(IF($B$3:$B$28=$B38,IF($D$3:$D$28=J$31,IF($G$3:$G$28&lt;&gt;"",$G$3:$G$28)))),"")</f>
        <v/>
      </c>
      <c r="K38" s="147" t="str">
        <f t="array" ref="K38">IFERROR(AVERAGE(IF($B$3:$B$28=$B38,IF($D$3:$D$28=K$31,IF($G$3:$G$28&lt;&gt;"",$G$3:$G$28)))),"")</f>
        <v/>
      </c>
      <c r="L38" s="147" t="str">
        <f t="array" ref="L38">IFERROR(AVERAGE(IF($B$3:$B$28=$B38,IF($D$3:$D$28=L$31,IF($G$3:$G$28&lt;&gt;"",$G$3:$G$28)))),"")</f>
        <v/>
      </c>
      <c r="M38" s="147" t="str">
        <f t="array" ref="M38">IFERROR(AVERAGE(IF($B$3:$B$28=$B38,IF($D$3:$D$28=M$31,IF($G$3:$G$28&lt;&gt;"",$G$3:$G$28)))),"")</f>
        <v/>
      </c>
      <c r="N38" s="147" t="str">
        <f t="array" ref="N38">IFERROR(AVERAGE(IF($B$3:$B$28=$B38,IF($D$3:$D$28=N$31,IF($G$3:$G$28&lt;&gt;"",$G$3:$G$28)))),"")</f>
        <v/>
      </c>
      <c r="O38" s="147" t="str">
        <f t="array" ref="O38">IFERROR(AVERAGE(IF($B$3:$B$28=$B38,IF($D$3:$D$28=O$31,IF($G$3:$G$28&lt;&gt;"",$G$3:$G$28)))),"")</f>
        <v/>
      </c>
      <c r="P38" s="147">
        <f t="array" ref="P38">IFERROR(AVERAGE(IF($B$3:$B$28=$B38,IF($D$3:$D$28=P$31,IF($G$3:$G$28&lt;&gt;"",$G$3:$G$28)))),"")</f>
        <v>2577</v>
      </c>
      <c r="Q38" s="147" t="str">
        <f t="array" ref="Q38">IFERROR(AVERAGE(IF($B$3:$B$28=$B38,IF($D$3:$D$28=Q$31,IF($G$3:$G$28&lt;&gt;"",$G$3:$G$28)))),"")</f>
        <v/>
      </c>
      <c r="R38" s="147" t="str">
        <f t="array" ref="R38">IFERROR(AVERAGE(IF($B$3:$B$28=$B38,IF($D$3:$D$28=R$31,IF($G$3:$G$28&lt;&gt;"",$G$3:$G$28)))),"")</f>
        <v/>
      </c>
      <c r="S38" s="147" t="str">
        <f t="array" ref="S38">IFERROR(AVERAGE(IF($B$3:$B$28=$B38,IF($D$3:$D$28=S$31,IF($G$3:$G$28&lt;&gt;"",$G$3:$G$28)))),"")</f>
        <v/>
      </c>
      <c r="T38" s="147" t="str">
        <f t="array" ref="T38">IFERROR(AVERAGE(IF($B$3:$B$28=$B38,IF($D$3:$D$28=T$31,IF($G$3:$G$28&lt;&gt;"",$G$3:$G$28)))),"")</f>
        <v/>
      </c>
      <c r="U38" s="147" t="str">
        <f t="array" ref="U38">IFERROR(AVERAGE(IF($B$3:$B$28=$B38,IF($D$3:$D$28=U$31,IF($G$3:$G$28&lt;&gt;"",$G$3:$G$28)))),"")</f>
        <v/>
      </c>
      <c r="V38" s="147" t="str">
        <f t="array" ref="V38">IFERROR(AVERAGE(IF($B$3:$B$28=$B38,IF($D$3:$D$28=V$31,IF($G$3:$G$28&lt;&gt;"",$G$3:$G$28)))),"")</f>
        <v/>
      </c>
      <c r="W38" s="147" t="str">
        <f t="array" ref="W38">IFERROR(AVERAGE(IF($B$3:$B$28=$B38,IF($D$3:$D$28=W$31,IF($G$3:$G$28&lt;&gt;"",$G$3:$G$28)))),"")</f>
        <v/>
      </c>
      <c r="X38" s="147" t="str">
        <f t="array" ref="X38">IFERROR(AVERAGE(IF($B$3:$B$28=$B38,IF($D$3:$D$28=X$31,IF($G$3:$G$28&lt;&gt;"",$G$3:$G$28)))),"")</f>
        <v/>
      </c>
      <c r="Y38" s="147" t="str">
        <f t="array" ref="Y38">IFERROR(AVERAGE(IF($B$3:$B$28=$B38,IF($D$3:$D$28=Y$31,IF($G$3:$G$28&lt;&gt;"",$G$3:$G$28)))),"")</f>
        <v/>
      </c>
      <c r="Z38" s="147" t="str">
        <f t="array" ref="Z38">IFERROR(AVERAGE(IF($B$3:$B$28=$B38,IF($D$3:$D$28=Z$31,IF($G$3:$G$28&lt;&gt;"",$G$3:$G$28)))),"")</f>
        <v/>
      </c>
      <c r="AA38" s="147" t="str">
        <f t="array" ref="AA38">IFERROR(AVERAGE(IF($B$3:$B$28=$B38,IF($D$3:$D$28=AA$31,IF($G$3:$G$28&lt;&gt;"",$G$3:$G$28)))),"")</f>
        <v/>
      </c>
      <c r="AB38" s="147" t="str">
        <f t="array" ref="AB38">IFERROR(AVERAGE(IF($B$3:$B$28=$B38,IF($D$3:$D$28=AB$31,IF($G$3:$G$28&lt;&gt;"",$G$3:$G$28)))),"")</f>
        <v/>
      </c>
      <c r="AC38" s="147">
        <f t="array" ref="AC38">IFERROR(AVERAGE(IF($B$3:$B$28=$B38,IF($D$3:$D$28=AC$31,IF($G$3:$G$28&lt;&gt;"",$G$3:$G$28)))),"")</f>
        <v>2756</v>
      </c>
      <c r="AD38" s="147" t="str">
        <f t="array" ref="AD38">IFERROR(AVERAGE(IF($B$3:$B$28=$B38,IF($D$3:$D$28=AD$31,IF($G$3:$G$28&lt;&gt;"",$G$3:$G$28)))),"")</f>
        <v/>
      </c>
      <c r="AE38" s="147" t="str">
        <f t="array" ref="AE38">IFERROR(AVERAGE(IF($B$3:$B$28=$B38,IF($D$3:$D$28=AE$31,IF($G$3:$G$28&lt;&gt;"",$G$3:$G$28)))),"")</f>
        <v/>
      </c>
      <c r="AF38" s="147" t="str">
        <f t="array" ref="AF38">IFERROR(AVERAGE(IF($B$3:$B$28=$B38,IF($D$3:$D$28=AF$31,IF($G$3:$G$28&lt;&gt;"",$G$3:$G$28)))),"")</f>
        <v/>
      </c>
    </row>
    <row r="39" spans="1:32" ht="15" customHeight="1" x14ac:dyDescent="0.25">
      <c r="A39" s="52">
        <f t="shared" si="4"/>
        <v>0</v>
      </c>
      <c r="B39" s="62" t="str">
        <f t="array" ref="B39">IFERROR(INDEX($B$3:$B$28, MATCH(0,IF(ISBLANK($B$3:$B$28),1,COUNTIF($B$32:B38, $B$3:$B$28)), 0)),"")</f>
        <v>Gujrat</v>
      </c>
      <c r="C39" s="63"/>
      <c r="D39" s="63"/>
      <c r="E39" s="63"/>
      <c r="F39" s="63"/>
      <c r="G39" s="72"/>
      <c r="H39" s="147" t="str">
        <f t="array" ref="H39">IFERROR(AVERAGE(IF($B$3:$B$28=$B39,IF($D$3:$D$28=H$31,IF($G$3:$G$28&lt;&gt;"",$G$3:$G$28)))),"")</f>
        <v/>
      </c>
      <c r="I39" s="147" t="str">
        <f t="array" ref="I39">IFERROR(AVERAGE(IF($B$3:$B$28=$B39,IF($D$3:$D$28=I$31,IF($G$3:$G$28&lt;&gt;"",$G$3:$G$28)))),"")</f>
        <v/>
      </c>
      <c r="J39" s="147" t="str">
        <f t="array" ref="J39">IFERROR(AVERAGE(IF($B$3:$B$28=$B39,IF($D$3:$D$28=J$31,IF($G$3:$G$28&lt;&gt;"",$G$3:$G$28)))),"")</f>
        <v/>
      </c>
      <c r="K39" s="147" t="str">
        <f t="array" ref="K39">IFERROR(AVERAGE(IF($B$3:$B$28=$B39,IF($D$3:$D$28=K$31,IF($G$3:$G$28&lt;&gt;"",$G$3:$G$28)))),"")</f>
        <v/>
      </c>
      <c r="L39" s="147" t="str">
        <f t="array" ref="L39">IFERROR(AVERAGE(IF($B$3:$B$28=$B39,IF($D$3:$D$28=L$31,IF($G$3:$G$28&lt;&gt;"",$G$3:$G$28)))),"")</f>
        <v/>
      </c>
      <c r="M39" s="147" t="str">
        <f t="array" ref="M39">IFERROR(AVERAGE(IF($B$3:$B$28=$B39,IF($D$3:$D$28=M$31,IF($G$3:$G$28&lt;&gt;"",$G$3:$G$28)))),"")</f>
        <v/>
      </c>
      <c r="N39" s="147" t="str">
        <f t="array" ref="N39">IFERROR(AVERAGE(IF($B$3:$B$28=$B39,IF($D$3:$D$28=N$31,IF($G$3:$G$28&lt;&gt;"",$G$3:$G$28)))),"")</f>
        <v/>
      </c>
      <c r="O39" s="147" t="str">
        <f t="array" ref="O39">IFERROR(AVERAGE(IF($B$3:$B$28=$B39,IF($D$3:$D$28=O$31,IF($G$3:$G$28&lt;&gt;"",$G$3:$G$28)))),"")</f>
        <v/>
      </c>
      <c r="P39" s="147" t="str">
        <f t="array" ref="P39">IFERROR(AVERAGE(IF($B$3:$B$28=$B39,IF($D$3:$D$28=P$31,IF($G$3:$G$28&lt;&gt;"",$G$3:$G$28)))),"")</f>
        <v/>
      </c>
      <c r="Q39" s="147">
        <f t="array" ref="Q39">IFERROR(AVERAGE(IF($B$3:$B$28=$B39,IF($D$3:$D$28=Q$31,IF($G$3:$G$28&lt;&gt;"",$G$3:$G$28)))),"")</f>
        <v>2756</v>
      </c>
      <c r="R39" s="147" t="str">
        <f t="array" ref="R39">IFERROR(AVERAGE(IF($B$3:$B$28=$B39,IF($D$3:$D$28=R$31,IF($G$3:$G$28&lt;&gt;"",$G$3:$G$28)))),"")</f>
        <v/>
      </c>
      <c r="S39" s="147" t="str">
        <f t="array" ref="S39">IFERROR(AVERAGE(IF($B$3:$B$28=$B39,IF($D$3:$D$28=S$31,IF($G$3:$G$28&lt;&gt;"",$G$3:$G$28)))),"")</f>
        <v/>
      </c>
      <c r="T39" s="147" t="str">
        <f t="array" ref="T39">IFERROR(AVERAGE(IF($B$3:$B$28=$B39,IF($D$3:$D$28=T$31,IF($G$3:$G$28&lt;&gt;"",$G$3:$G$28)))),"")</f>
        <v/>
      </c>
      <c r="U39" s="147" t="str">
        <f t="array" ref="U39">IFERROR(AVERAGE(IF($B$3:$B$28=$B39,IF($D$3:$D$28=U$31,IF($G$3:$G$28&lt;&gt;"",$G$3:$G$28)))),"")</f>
        <v/>
      </c>
      <c r="V39" s="147" t="str">
        <f t="array" ref="V39">IFERROR(AVERAGE(IF($B$3:$B$28=$B39,IF($D$3:$D$28=V$31,IF($G$3:$G$28&lt;&gt;"",$G$3:$G$28)))),"")</f>
        <v/>
      </c>
      <c r="W39" s="147" t="str">
        <f t="array" ref="W39">IFERROR(AVERAGE(IF($B$3:$B$28=$B39,IF($D$3:$D$28=W$31,IF($G$3:$G$28&lt;&gt;"",$G$3:$G$28)))),"")</f>
        <v/>
      </c>
      <c r="X39" s="147" t="str">
        <f t="array" ref="X39">IFERROR(AVERAGE(IF($B$3:$B$28=$B39,IF($D$3:$D$28=X$31,IF($G$3:$G$28&lt;&gt;"",$G$3:$G$28)))),"")</f>
        <v/>
      </c>
      <c r="Y39" s="147" t="str">
        <f t="array" ref="Y39">IFERROR(AVERAGE(IF($B$3:$B$28=$B39,IF($D$3:$D$28=Y$31,IF($G$3:$G$28&lt;&gt;"",$G$3:$G$28)))),"")</f>
        <v/>
      </c>
      <c r="Z39" s="147" t="str">
        <f t="array" ref="Z39">IFERROR(AVERAGE(IF($B$3:$B$28=$B39,IF($D$3:$D$28=Z$31,IF($G$3:$G$28&lt;&gt;"",$G$3:$G$28)))),"")</f>
        <v/>
      </c>
      <c r="AA39" s="147" t="str">
        <f t="array" ref="AA39">IFERROR(AVERAGE(IF($B$3:$B$28=$B39,IF($D$3:$D$28=AA$31,IF($G$3:$G$28&lt;&gt;"",$G$3:$G$28)))),"")</f>
        <v/>
      </c>
      <c r="AB39" s="147" t="str">
        <f t="array" ref="AB39">IFERROR(AVERAGE(IF($B$3:$B$28=$B39,IF($D$3:$D$28=AB$31,IF($G$3:$G$28&lt;&gt;"",$G$3:$G$28)))),"")</f>
        <v/>
      </c>
      <c r="AC39" s="147" t="str">
        <f t="array" ref="AC39">IFERROR(AVERAGE(IF($B$3:$B$28=$B39,IF($D$3:$D$28=AC$31,IF($G$3:$G$28&lt;&gt;"",$G$3:$G$28)))),"")</f>
        <v/>
      </c>
      <c r="AD39" s="147">
        <f t="array" ref="AD39">IFERROR(AVERAGE(IF($B$3:$B$28=$B39,IF($D$3:$D$28=AD$31,IF($G$3:$G$28&lt;&gt;"",$G$3:$G$28)))),"")</f>
        <v>2677</v>
      </c>
      <c r="AE39" s="147" t="str">
        <f t="array" ref="AE39">IFERROR(AVERAGE(IF($B$3:$B$28=$B39,IF($D$3:$D$28=AE$31,IF($G$3:$G$28&lt;&gt;"",$G$3:$G$28)))),"")</f>
        <v/>
      </c>
      <c r="AF39" s="147" t="str">
        <f t="array" ref="AF39">IFERROR(AVERAGE(IF($B$3:$B$28=$B39,IF($D$3:$D$28=AF$31,IF($G$3:$G$28&lt;&gt;"",$G$3:$G$28)))),"")</f>
        <v/>
      </c>
    </row>
    <row r="40" spans="1:32" ht="15" customHeight="1" x14ac:dyDescent="0.25">
      <c r="A40" s="52">
        <f t="shared" si="4"/>
        <v>0</v>
      </c>
      <c r="B40" s="62" t="str">
        <f t="array" ref="B40">IFERROR(INDEX($B$3:$B$28, MATCH(0,IF(ISBLANK($B$3:$B$28),1,COUNTIF($B$32:B39, $B$3:$B$28)), 0)),"")</f>
        <v>Ludhiyana</v>
      </c>
      <c r="C40" s="63"/>
      <c r="D40" s="63"/>
      <c r="E40" s="63"/>
      <c r="F40" s="63"/>
      <c r="G40" s="72"/>
      <c r="H40" s="147" t="str">
        <f t="array" ref="H40">IFERROR(AVERAGE(IF($B$3:$B$28=$B40,IF($D$3:$D$28=H$31,IF($G$3:$G$28&lt;&gt;"",$G$3:$G$28)))),"")</f>
        <v/>
      </c>
      <c r="I40" s="147" t="str">
        <f t="array" ref="I40">IFERROR(AVERAGE(IF($B$3:$B$28=$B40,IF($D$3:$D$28=I$31,IF($G$3:$G$28&lt;&gt;"",$G$3:$G$28)))),"")</f>
        <v/>
      </c>
      <c r="J40" s="147" t="str">
        <f t="array" ref="J40">IFERROR(AVERAGE(IF($B$3:$B$28=$B40,IF($D$3:$D$28=J$31,IF($G$3:$G$28&lt;&gt;"",$G$3:$G$28)))),"")</f>
        <v/>
      </c>
      <c r="K40" s="147" t="str">
        <f t="array" ref="K40">IFERROR(AVERAGE(IF($B$3:$B$28=$B40,IF($D$3:$D$28=K$31,IF($G$3:$G$28&lt;&gt;"",$G$3:$G$28)))),"")</f>
        <v/>
      </c>
      <c r="L40" s="147" t="str">
        <f t="array" ref="L40">IFERROR(AVERAGE(IF($B$3:$B$28=$B40,IF($D$3:$D$28=L$31,IF($G$3:$G$28&lt;&gt;"",$G$3:$G$28)))),"")</f>
        <v/>
      </c>
      <c r="M40" s="147" t="str">
        <f t="array" ref="M40">IFERROR(AVERAGE(IF($B$3:$B$28=$B40,IF($D$3:$D$28=M$31,IF($G$3:$G$28&lt;&gt;"",$G$3:$G$28)))),"")</f>
        <v/>
      </c>
      <c r="N40" s="147" t="str">
        <f t="array" ref="N40">IFERROR(AVERAGE(IF($B$3:$B$28=$B40,IF($D$3:$D$28=N$31,IF($G$3:$G$28&lt;&gt;"",$G$3:$G$28)))),"")</f>
        <v/>
      </c>
      <c r="O40" s="147" t="str">
        <f t="array" ref="O40">IFERROR(AVERAGE(IF($B$3:$B$28=$B40,IF($D$3:$D$28=O$31,IF($G$3:$G$28&lt;&gt;"",$G$3:$G$28)))),"")</f>
        <v/>
      </c>
      <c r="P40" s="147" t="str">
        <f t="array" ref="P40">IFERROR(AVERAGE(IF($B$3:$B$28=$B40,IF($D$3:$D$28=P$31,IF($G$3:$G$28&lt;&gt;"",$G$3:$G$28)))),"")</f>
        <v/>
      </c>
      <c r="Q40" s="147" t="str">
        <f t="array" ref="Q40">IFERROR(AVERAGE(IF($B$3:$B$28=$B40,IF($D$3:$D$28=Q$31,IF($G$3:$G$28&lt;&gt;"",$G$3:$G$28)))),"")</f>
        <v/>
      </c>
      <c r="R40" s="147">
        <f t="array" ref="R40">IFERROR(AVERAGE(IF($B$3:$B$28=$B40,IF($D$3:$D$28=R$31,IF($G$3:$G$28&lt;&gt;"",$G$3:$G$28)))),"")</f>
        <v>2677</v>
      </c>
      <c r="S40" s="147" t="str">
        <f t="array" ref="S40">IFERROR(AVERAGE(IF($B$3:$B$28=$B40,IF($D$3:$D$28=S$31,IF($G$3:$G$28&lt;&gt;"",$G$3:$G$28)))),"")</f>
        <v/>
      </c>
      <c r="T40" s="147" t="str">
        <f t="array" ref="T40">IFERROR(AVERAGE(IF($B$3:$B$28=$B40,IF($D$3:$D$28=T$31,IF($G$3:$G$28&lt;&gt;"",$G$3:$G$28)))),"")</f>
        <v/>
      </c>
      <c r="U40" s="147" t="str">
        <f t="array" ref="U40">IFERROR(AVERAGE(IF($B$3:$B$28=$B40,IF($D$3:$D$28=U$31,IF($G$3:$G$28&lt;&gt;"",$G$3:$G$28)))),"")</f>
        <v/>
      </c>
      <c r="V40" s="147" t="str">
        <f t="array" ref="V40">IFERROR(AVERAGE(IF($B$3:$B$28=$B40,IF($D$3:$D$28=V$31,IF($G$3:$G$28&lt;&gt;"",$G$3:$G$28)))),"")</f>
        <v/>
      </c>
      <c r="W40" s="147" t="str">
        <f t="array" ref="W40">IFERROR(AVERAGE(IF($B$3:$B$28=$B40,IF($D$3:$D$28=W$31,IF($G$3:$G$28&lt;&gt;"",$G$3:$G$28)))),"")</f>
        <v/>
      </c>
      <c r="X40" s="147" t="str">
        <f t="array" ref="X40">IFERROR(AVERAGE(IF($B$3:$B$28=$B40,IF($D$3:$D$28=X$31,IF($G$3:$G$28&lt;&gt;"",$G$3:$G$28)))),"")</f>
        <v/>
      </c>
      <c r="Y40" s="147" t="str">
        <f t="array" ref="Y40">IFERROR(AVERAGE(IF($B$3:$B$28=$B40,IF($D$3:$D$28=Y$31,IF($G$3:$G$28&lt;&gt;"",$G$3:$G$28)))),"")</f>
        <v/>
      </c>
      <c r="Z40" s="147" t="str">
        <f t="array" ref="Z40">IFERROR(AVERAGE(IF($B$3:$B$28=$B40,IF($D$3:$D$28=Z$31,IF($G$3:$G$28&lt;&gt;"",$G$3:$G$28)))),"")</f>
        <v/>
      </c>
      <c r="AA40" s="147" t="str">
        <f t="array" ref="AA40">IFERROR(AVERAGE(IF($B$3:$B$28=$B40,IF($D$3:$D$28=AA$31,IF($G$3:$G$28&lt;&gt;"",$G$3:$G$28)))),"")</f>
        <v/>
      </c>
      <c r="AB40" s="147" t="str">
        <f t="array" ref="AB40">IFERROR(AVERAGE(IF($B$3:$B$28=$B40,IF($D$3:$D$28=AB$31,IF($G$3:$G$28&lt;&gt;"",$G$3:$G$28)))),"")</f>
        <v/>
      </c>
      <c r="AC40" s="147" t="str">
        <f t="array" ref="AC40">IFERROR(AVERAGE(IF($B$3:$B$28=$B40,IF($D$3:$D$28=AC$31,IF($G$3:$G$28&lt;&gt;"",$G$3:$G$28)))),"")</f>
        <v/>
      </c>
      <c r="AD40" s="147" t="str">
        <f t="array" ref="AD40">IFERROR(AVERAGE(IF($B$3:$B$28=$B40,IF($D$3:$D$28=AD$31,IF($G$3:$G$28&lt;&gt;"",$G$3:$G$28)))),"")</f>
        <v/>
      </c>
      <c r="AE40" s="147">
        <f t="array" ref="AE40">IFERROR(AVERAGE(IF($B$3:$B$28=$B40,IF($D$3:$D$28=AE$31,IF($G$3:$G$28&lt;&gt;"",$G$3:$G$28)))),"")</f>
        <v>1232</v>
      </c>
      <c r="AF40" s="147" t="str">
        <f t="array" ref="AF40">IFERROR(AVERAGE(IF($B$3:$B$28=$B40,IF($D$3:$D$28=AF$31,IF($G$3:$G$28&lt;&gt;"",$G$3:$G$28)))),"")</f>
        <v/>
      </c>
    </row>
    <row r="41" spans="1:32" ht="15" customHeight="1" x14ac:dyDescent="0.25">
      <c r="A41" s="52">
        <f t="shared" si="4"/>
        <v>0</v>
      </c>
      <c r="B41" s="62" t="str">
        <f t="array" ref="B41">IFERROR(INDEX($B$3:$B$28, MATCH(0,IF(ISBLANK($B$3:$B$28),1,COUNTIF($B$32:B40, $B$3:$B$28)), 0)),"")</f>
        <v>Uttar Pradesh</v>
      </c>
      <c r="C41" s="63"/>
      <c r="D41" s="63"/>
      <c r="E41" s="63"/>
      <c r="F41" s="63"/>
      <c r="G41" s="72"/>
      <c r="H41" s="147" t="str">
        <f t="array" ref="H41">IFERROR(AVERAGE(IF($B$3:$B$28=$B41,IF($D$3:$D$28=H$31,IF($G$3:$G$28&lt;&gt;"",$G$3:$G$28)))),"")</f>
        <v/>
      </c>
      <c r="I41" s="147" t="str">
        <f t="array" ref="I41">IFERROR(AVERAGE(IF($B$3:$B$28=$B41,IF($D$3:$D$28=I$31,IF($G$3:$G$28&lt;&gt;"",$G$3:$G$28)))),"")</f>
        <v/>
      </c>
      <c r="J41" s="147" t="str">
        <f t="array" ref="J41">IFERROR(AVERAGE(IF($B$3:$B$28=$B41,IF($D$3:$D$28=J$31,IF($G$3:$G$28&lt;&gt;"",$G$3:$G$28)))),"")</f>
        <v/>
      </c>
      <c r="K41" s="147" t="str">
        <f t="array" ref="K41">IFERROR(AVERAGE(IF($B$3:$B$28=$B41,IF($D$3:$D$28=K$31,IF($G$3:$G$28&lt;&gt;"",$G$3:$G$28)))),"")</f>
        <v/>
      </c>
      <c r="L41" s="147" t="str">
        <f t="array" ref="L41">IFERROR(AVERAGE(IF($B$3:$B$28=$B41,IF($D$3:$D$28=L$31,IF($G$3:$G$28&lt;&gt;"",$G$3:$G$28)))),"")</f>
        <v/>
      </c>
      <c r="M41" s="147" t="str">
        <f t="array" ref="M41">IFERROR(AVERAGE(IF($B$3:$B$28=$B41,IF($D$3:$D$28=M$31,IF($G$3:$G$28&lt;&gt;"",$G$3:$G$28)))),"")</f>
        <v/>
      </c>
      <c r="N41" s="147" t="str">
        <f t="array" ref="N41">IFERROR(AVERAGE(IF($B$3:$B$28=$B41,IF($D$3:$D$28=N$31,IF($G$3:$G$28&lt;&gt;"",$G$3:$G$28)))),"")</f>
        <v/>
      </c>
      <c r="O41" s="147" t="str">
        <f t="array" ref="O41">IFERROR(AVERAGE(IF($B$3:$B$28=$B41,IF($D$3:$D$28=O$31,IF($G$3:$G$28&lt;&gt;"",$G$3:$G$28)))),"")</f>
        <v/>
      </c>
      <c r="P41" s="147" t="str">
        <f t="array" ref="P41">IFERROR(AVERAGE(IF($B$3:$B$28=$B41,IF($D$3:$D$28=P$31,IF($G$3:$G$28&lt;&gt;"",$G$3:$G$28)))),"")</f>
        <v/>
      </c>
      <c r="Q41" s="147" t="str">
        <f t="array" ref="Q41">IFERROR(AVERAGE(IF($B$3:$B$28=$B41,IF($D$3:$D$28=Q$31,IF($G$3:$G$28&lt;&gt;"",$G$3:$G$28)))),"")</f>
        <v/>
      </c>
      <c r="R41" s="147" t="str">
        <f t="array" ref="R41">IFERROR(AVERAGE(IF($B$3:$B$28=$B41,IF($D$3:$D$28=R$31,IF($G$3:$G$28&lt;&gt;"",$G$3:$G$28)))),"")</f>
        <v/>
      </c>
      <c r="S41" s="147">
        <f t="array" ref="S41">IFERROR(AVERAGE(IF($B$3:$B$28=$B41,IF($D$3:$D$28=S$31,IF($G$3:$G$28&lt;&gt;"",$G$3:$G$28)))),"")</f>
        <v>1232</v>
      </c>
      <c r="T41" s="147" t="str">
        <f t="array" ref="T41">IFERROR(AVERAGE(IF($B$3:$B$28=$B41,IF($D$3:$D$28=T$31,IF($G$3:$G$28&lt;&gt;"",$G$3:$G$28)))),"")</f>
        <v/>
      </c>
      <c r="U41" s="147" t="str">
        <f t="array" ref="U41">IFERROR(AVERAGE(IF($B$3:$B$28=$B41,IF($D$3:$D$28=U$31,IF($G$3:$G$28&lt;&gt;"",$G$3:$G$28)))),"")</f>
        <v/>
      </c>
      <c r="V41" s="147" t="str">
        <f t="array" ref="V41">IFERROR(AVERAGE(IF($B$3:$B$28=$B41,IF($D$3:$D$28=V$31,IF($G$3:$G$28&lt;&gt;"",$G$3:$G$28)))),"")</f>
        <v/>
      </c>
      <c r="W41" s="147" t="str">
        <f t="array" ref="W41">IFERROR(AVERAGE(IF($B$3:$B$28=$B41,IF($D$3:$D$28=W$31,IF($G$3:$G$28&lt;&gt;"",$G$3:$G$28)))),"")</f>
        <v/>
      </c>
      <c r="X41" s="147" t="str">
        <f t="array" ref="X41">IFERROR(AVERAGE(IF($B$3:$B$28=$B41,IF($D$3:$D$28=X$31,IF($G$3:$G$28&lt;&gt;"",$G$3:$G$28)))),"")</f>
        <v/>
      </c>
      <c r="Y41" s="147" t="str">
        <f t="array" ref="Y41">IFERROR(AVERAGE(IF($B$3:$B$28=$B41,IF($D$3:$D$28=Y$31,IF($G$3:$G$28&lt;&gt;"",$G$3:$G$28)))),"")</f>
        <v/>
      </c>
      <c r="Z41" s="147" t="str">
        <f t="array" ref="Z41">IFERROR(AVERAGE(IF($B$3:$B$28=$B41,IF($D$3:$D$28=Z$31,IF($G$3:$G$28&lt;&gt;"",$G$3:$G$28)))),"")</f>
        <v/>
      </c>
      <c r="AA41" s="147" t="str">
        <f t="array" ref="AA41">IFERROR(AVERAGE(IF($B$3:$B$28=$B41,IF($D$3:$D$28=AA$31,IF($G$3:$G$28&lt;&gt;"",$G$3:$G$28)))),"")</f>
        <v/>
      </c>
      <c r="AB41" s="147" t="str">
        <f t="array" ref="AB41">IFERROR(AVERAGE(IF($B$3:$B$28=$B41,IF($D$3:$D$28=AB$31,IF($G$3:$G$28&lt;&gt;"",$G$3:$G$28)))),"")</f>
        <v/>
      </c>
      <c r="AC41" s="147" t="str">
        <f t="array" ref="AC41">IFERROR(AVERAGE(IF($B$3:$B$28=$B41,IF($D$3:$D$28=AC$31,IF($G$3:$G$28&lt;&gt;"",$G$3:$G$28)))),"")</f>
        <v/>
      </c>
      <c r="AD41" s="147" t="str">
        <f t="array" ref="AD41">IFERROR(AVERAGE(IF($B$3:$B$28=$B41,IF($D$3:$D$28=AD$31,IF($G$3:$G$28&lt;&gt;"",$G$3:$G$28)))),"")</f>
        <v/>
      </c>
      <c r="AE41" s="147" t="str">
        <f t="array" ref="AE41">IFERROR(AVERAGE(IF($B$3:$B$28=$B41,IF($D$3:$D$28=AE$31,IF($G$3:$G$28&lt;&gt;"",$G$3:$G$28)))),"")</f>
        <v/>
      </c>
      <c r="AF41" s="147" t="str">
        <f t="array" ref="AF41">IFERROR(AVERAGE(IF($B$3:$B$28=$B41,IF($D$3:$D$28=AF$31,IF($G$3:$G$28&lt;&gt;"",$G$3:$G$28)))),"")</f>
        <v/>
      </c>
    </row>
    <row r="42" spans="1:32" ht="15" customHeight="1" x14ac:dyDescent="0.25">
      <c r="A42" s="52">
        <f t="shared" si="4"/>
        <v>0</v>
      </c>
      <c r="B42" s="62" t="str">
        <f t="array" ref="B42">IFERROR(INDEX($B$3:$B$28, MATCH(0,IF(ISBLANK($B$3:$B$28),1,COUNTIF($B$32:B41, $B$3:$B$28)), 0)),"")</f>
        <v>Sikkim</v>
      </c>
      <c r="C42" s="63"/>
      <c r="D42" s="63"/>
      <c r="E42" s="63"/>
      <c r="F42" s="63"/>
      <c r="G42" s="72"/>
      <c r="H42" s="147" t="str">
        <f t="array" ref="H42">IFERROR(AVERAGE(IF($B$3:$B$28=$B42,IF($D$3:$D$28=H$31,IF($G$3:$G$28&lt;&gt;"",$G$3:$G$28)))),"")</f>
        <v/>
      </c>
      <c r="I42" s="147" t="str">
        <f t="array" ref="I42">IFERROR(AVERAGE(IF($B$3:$B$28=$B42,IF($D$3:$D$28=I$31,IF($G$3:$G$28&lt;&gt;"",$G$3:$G$28)))),"")</f>
        <v/>
      </c>
      <c r="J42" s="147" t="str">
        <f t="array" ref="J42">IFERROR(AVERAGE(IF($B$3:$B$28=$B42,IF($D$3:$D$28=J$31,IF($G$3:$G$28&lt;&gt;"",$G$3:$G$28)))),"")</f>
        <v/>
      </c>
      <c r="K42" s="147" t="str">
        <f t="array" ref="K42">IFERROR(AVERAGE(IF($B$3:$B$28=$B42,IF($D$3:$D$28=K$31,IF($G$3:$G$28&lt;&gt;"",$G$3:$G$28)))),"")</f>
        <v/>
      </c>
      <c r="L42" s="147" t="str">
        <f t="array" ref="L42">IFERROR(AVERAGE(IF($B$3:$B$28=$B42,IF($D$3:$D$28=L$31,IF($G$3:$G$28&lt;&gt;"",$G$3:$G$28)))),"")</f>
        <v/>
      </c>
      <c r="M42" s="147" t="str">
        <f t="array" ref="M42">IFERROR(AVERAGE(IF($B$3:$B$28=$B42,IF($D$3:$D$28=M$31,IF($G$3:$G$28&lt;&gt;"",$G$3:$G$28)))),"")</f>
        <v/>
      </c>
      <c r="N42" s="147" t="str">
        <f t="array" ref="N42">IFERROR(AVERAGE(IF($B$3:$B$28=$B42,IF($D$3:$D$28=N$31,IF($G$3:$G$28&lt;&gt;"",$G$3:$G$28)))),"")</f>
        <v/>
      </c>
      <c r="O42" s="147" t="str">
        <f t="array" ref="O42">IFERROR(AVERAGE(IF($B$3:$B$28=$B42,IF($D$3:$D$28=O$31,IF($G$3:$G$28&lt;&gt;"",$G$3:$G$28)))),"")</f>
        <v/>
      </c>
      <c r="P42" s="147" t="str">
        <f t="array" ref="P42">IFERROR(AVERAGE(IF($B$3:$B$28=$B42,IF($D$3:$D$28=P$31,IF($G$3:$G$28&lt;&gt;"",$G$3:$G$28)))),"")</f>
        <v/>
      </c>
      <c r="Q42" s="147" t="str">
        <f t="array" ref="Q42">IFERROR(AVERAGE(IF($B$3:$B$28=$B42,IF($D$3:$D$28=Q$31,IF($G$3:$G$28&lt;&gt;"",$G$3:$G$28)))),"")</f>
        <v/>
      </c>
      <c r="R42" s="147" t="str">
        <f t="array" ref="R42">IFERROR(AVERAGE(IF($B$3:$B$28=$B42,IF($D$3:$D$28=R$31,IF($G$3:$G$28&lt;&gt;"",$G$3:$G$28)))),"")</f>
        <v/>
      </c>
      <c r="S42" s="147" t="str">
        <f t="array" ref="S42">IFERROR(AVERAGE(IF($B$3:$B$28=$B42,IF($D$3:$D$28=S$31,IF($G$3:$G$28&lt;&gt;"",$G$3:$G$28)))),"")</f>
        <v/>
      </c>
      <c r="T42" s="147">
        <f t="array" ref="T42">IFERROR(AVERAGE(IF($B$3:$B$28=$B42,IF($D$3:$D$28=T$31,IF($G$3:$G$28&lt;&gt;"",$G$3:$G$28)))),"")</f>
        <v>3221</v>
      </c>
      <c r="U42" s="147" t="str">
        <f t="array" ref="U42">IFERROR(AVERAGE(IF($B$3:$B$28=$B42,IF($D$3:$D$28=U$31,IF($G$3:$G$28&lt;&gt;"",$G$3:$G$28)))),"")</f>
        <v/>
      </c>
      <c r="V42" s="147" t="str">
        <f t="array" ref="V42">IFERROR(AVERAGE(IF($B$3:$B$28=$B42,IF($D$3:$D$28=V$31,IF($G$3:$G$28&lt;&gt;"",$G$3:$G$28)))),"")</f>
        <v/>
      </c>
      <c r="W42" s="147" t="str">
        <f t="array" ref="W42">IFERROR(AVERAGE(IF($B$3:$B$28=$B42,IF($D$3:$D$28=W$31,IF($G$3:$G$28&lt;&gt;"",$G$3:$G$28)))),"")</f>
        <v/>
      </c>
      <c r="X42" s="147" t="str">
        <f t="array" ref="X42">IFERROR(AVERAGE(IF($B$3:$B$28=$B42,IF($D$3:$D$28=X$31,IF($G$3:$G$28&lt;&gt;"",$G$3:$G$28)))),"")</f>
        <v/>
      </c>
      <c r="Y42" s="147" t="str">
        <f t="array" ref="Y42">IFERROR(AVERAGE(IF($B$3:$B$28=$B42,IF($D$3:$D$28=Y$31,IF($G$3:$G$28&lt;&gt;"",$G$3:$G$28)))),"")</f>
        <v/>
      </c>
      <c r="Z42" s="147" t="str">
        <f t="array" ref="Z42">IFERROR(AVERAGE(IF($B$3:$B$28=$B42,IF($D$3:$D$28=Z$31,IF($G$3:$G$28&lt;&gt;"",$G$3:$G$28)))),"")</f>
        <v/>
      </c>
      <c r="AA42" s="147" t="str">
        <f t="array" ref="AA42">IFERROR(AVERAGE(IF($B$3:$B$28=$B42,IF($D$3:$D$28=AA$31,IF($G$3:$G$28&lt;&gt;"",$G$3:$G$28)))),"")</f>
        <v/>
      </c>
      <c r="AB42" s="147" t="str">
        <f t="array" ref="AB42">IFERROR(AVERAGE(IF($B$3:$B$28=$B42,IF($D$3:$D$28=AB$31,IF($G$3:$G$28&lt;&gt;"",$G$3:$G$28)))),"")</f>
        <v/>
      </c>
      <c r="AC42" s="147" t="str">
        <f t="array" ref="AC42">IFERROR(AVERAGE(IF($B$3:$B$28=$B42,IF($D$3:$D$28=AC$31,IF($G$3:$G$28&lt;&gt;"",$G$3:$G$28)))),"")</f>
        <v/>
      </c>
      <c r="AD42" s="147" t="str">
        <f t="array" ref="AD42">IFERROR(AVERAGE(IF($B$3:$B$28=$B42,IF($D$3:$D$28=AD$31,IF($G$3:$G$28&lt;&gt;"",$G$3:$G$28)))),"")</f>
        <v/>
      </c>
      <c r="AE42" s="147" t="str">
        <f t="array" ref="AE42">IFERROR(AVERAGE(IF($B$3:$B$28=$B42,IF($D$3:$D$28=AE$31,IF($G$3:$G$28&lt;&gt;"",$G$3:$G$28)))),"")</f>
        <v/>
      </c>
      <c r="AF42" s="147" t="str">
        <f t="array" ref="AF42">IFERROR(AVERAGE(IF($B$3:$B$28=$B42,IF($D$3:$D$28=AF$31,IF($G$3:$G$28&lt;&gt;"",$G$3:$G$28)))),"")</f>
        <v/>
      </c>
    </row>
    <row r="43" spans="1:32" ht="9" customHeight="1" x14ac:dyDescent="0.25"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</row>
    <row r="44" spans="1:32" ht="9" customHeight="1" x14ac:dyDescent="0.25">
      <c r="A44" s="52" t="s">
        <v>551</v>
      </c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</row>
    <row r="45" spans="1:32" ht="15" hidden="1" customHeight="1" x14ac:dyDescent="0.25">
      <c r="H45" s="149">
        <f t="shared" ref="H45" si="5">H31</f>
        <v>44012</v>
      </c>
      <c r="I45" s="149">
        <f t="shared" ref="I45:AF45" si="6">I31</f>
        <v>43982</v>
      </c>
      <c r="J45" s="149">
        <f t="shared" si="6"/>
        <v>43951</v>
      </c>
      <c r="K45" s="149">
        <f t="shared" si="6"/>
        <v>43921</v>
      </c>
      <c r="L45" s="149">
        <f t="shared" si="6"/>
        <v>43889</v>
      </c>
      <c r="M45" s="149">
        <f t="shared" si="6"/>
        <v>43861</v>
      </c>
      <c r="N45" s="149">
        <f t="shared" si="6"/>
        <v>43830</v>
      </c>
      <c r="O45" s="149">
        <f t="shared" si="6"/>
        <v>43799</v>
      </c>
      <c r="P45" s="149">
        <f t="shared" si="6"/>
        <v>43769</v>
      </c>
      <c r="Q45" s="149">
        <f t="shared" si="6"/>
        <v>43738</v>
      </c>
      <c r="R45" s="149">
        <f t="shared" si="6"/>
        <v>43708</v>
      </c>
      <c r="S45" s="149">
        <f t="shared" si="6"/>
        <v>43677</v>
      </c>
      <c r="T45" s="149">
        <f t="shared" si="6"/>
        <v>43646</v>
      </c>
      <c r="U45" s="149">
        <f t="shared" si="6"/>
        <v>43616</v>
      </c>
      <c r="V45" s="149">
        <f t="shared" si="6"/>
        <v>43585</v>
      </c>
      <c r="W45" s="149">
        <f t="shared" si="6"/>
        <v>43555</v>
      </c>
      <c r="X45" s="149">
        <f t="shared" si="6"/>
        <v>43524</v>
      </c>
      <c r="Y45" s="149">
        <f t="shared" si="6"/>
        <v>43496</v>
      </c>
      <c r="Z45" s="149">
        <f t="shared" si="6"/>
        <v>43465</v>
      </c>
      <c r="AA45" s="149">
        <f t="shared" si="6"/>
        <v>43434</v>
      </c>
      <c r="AB45" s="149">
        <f t="shared" si="6"/>
        <v>43404</v>
      </c>
      <c r="AC45" s="149">
        <f t="shared" si="6"/>
        <v>43373</v>
      </c>
      <c r="AD45" s="149">
        <f t="shared" si="6"/>
        <v>43343</v>
      </c>
      <c r="AE45" s="149">
        <f t="shared" si="6"/>
        <v>43312</v>
      </c>
      <c r="AF45" s="149">
        <f t="shared" si="6"/>
        <v>43281</v>
      </c>
    </row>
    <row r="46" spans="1:32" ht="20.25" customHeight="1" x14ac:dyDescent="0.25">
      <c r="B46" s="69" t="s">
        <v>601</v>
      </c>
      <c r="C46" s="70"/>
      <c r="D46" s="70"/>
      <c r="E46" s="70"/>
      <c r="F46" s="70"/>
      <c r="G46" s="71"/>
      <c r="H46" s="150">
        <f t="shared" ref="H46:AF46" si="7">IFERROR(MAX(H33:H44),0)</f>
        <v>2654</v>
      </c>
      <c r="I46" s="150">
        <f t="shared" si="7"/>
        <v>1173</v>
      </c>
      <c r="J46" s="150">
        <f t="shared" si="7"/>
        <v>1098</v>
      </c>
      <c r="K46" s="150">
        <f t="shared" si="7"/>
        <v>986</v>
      </c>
      <c r="L46" s="150">
        <f t="shared" si="7"/>
        <v>1212</v>
      </c>
      <c r="M46" s="150">
        <f t="shared" si="7"/>
        <v>1993</v>
      </c>
      <c r="N46" s="150">
        <f t="shared" si="7"/>
        <v>2323</v>
      </c>
      <c r="O46" s="150">
        <f t="shared" si="7"/>
        <v>2566</v>
      </c>
      <c r="P46" s="150">
        <f t="shared" si="7"/>
        <v>2577</v>
      </c>
      <c r="Q46" s="150">
        <f t="shared" si="7"/>
        <v>2756</v>
      </c>
      <c r="R46" s="150">
        <f t="shared" si="7"/>
        <v>2677</v>
      </c>
      <c r="S46" s="150">
        <f t="shared" si="7"/>
        <v>1232</v>
      </c>
      <c r="T46" s="150">
        <f t="shared" si="7"/>
        <v>3221</v>
      </c>
      <c r="U46" s="150">
        <f t="shared" si="7"/>
        <v>1173</v>
      </c>
      <c r="V46" s="150">
        <f t="shared" si="7"/>
        <v>1098</v>
      </c>
      <c r="W46" s="150">
        <f t="shared" si="7"/>
        <v>986</v>
      </c>
      <c r="X46" s="150">
        <f t="shared" si="7"/>
        <v>1212</v>
      </c>
      <c r="Y46" s="150">
        <f t="shared" si="7"/>
        <v>1993</v>
      </c>
      <c r="Z46" s="150">
        <f t="shared" si="7"/>
        <v>2323</v>
      </c>
      <c r="AA46" s="150">
        <f t="shared" si="7"/>
        <v>2566</v>
      </c>
      <c r="AB46" s="150">
        <f t="shared" si="7"/>
        <v>2577</v>
      </c>
      <c r="AC46" s="150">
        <f t="shared" si="7"/>
        <v>2756</v>
      </c>
      <c r="AD46" s="150">
        <f t="shared" si="7"/>
        <v>2677</v>
      </c>
      <c r="AE46" s="150">
        <f t="shared" si="7"/>
        <v>1232</v>
      </c>
      <c r="AF46" s="150">
        <f t="shared" si="7"/>
        <v>3221</v>
      </c>
    </row>
    <row r="47" spans="1:32" ht="24.75" customHeight="1" x14ac:dyDescent="0.25"/>
    <row r="48" spans="1:32" ht="28.5" hidden="1" customHeight="1" x14ac:dyDescent="0.25">
      <c r="A48" s="52">
        <v>10</v>
      </c>
      <c r="B48" s="64" t="s">
        <v>589</v>
      </c>
      <c r="C48" s="64" t="s">
        <v>590</v>
      </c>
      <c r="D48" s="64" t="s">
        <v>596</v>
      </c>
      <c r="E48" s="81"/>
      <c r="F48" s="81"/>
    </row>
    <row r="49" spans="1:6" ht="15" hidden="1" customHeight="1" x14ac:dyDescent="0.25">
      <c r="A49" s="51">
        <f>IFERROR(IF(D49="",1,0),1)</f>
        <v>0</v>
      </c>
      <c r="B49" s="66">
        <f>INDEX(DatesVOC,1,E49)</f>
        <v>44012</v>
      </c>
      <c r="C49" s="66">
        <f t="shared" ref="C49" si="8">B49</f>
        <v>44012</v>
      </c>
      <c r="D49" s="67">
        <f t="array" ref="D49">HLOOKUP(B49,ReadingTableVOC,2,FALSE)</f>
        <v>2654</v>
      </c>
      <c r="E49" s="82">
        <f>IF(E48="",8,E48+1)</f>
        <v>8</v>
      </c>
      <c r="F49" s="82"/>
    </row>
    <row r="50" spans="1:6" hidden="1" x14ac:dyDescent="0.25"/>
    <row r="51" spans="1:6" ht="24" hidden="1" x14ac:dyDescent="0.25">
      <c r="B51" s="65" t="s">
        <v>586</v>
      </c>
      <c r="C51" s="65" t="s">
        <v>592</v>
      </c>
    </row>
    <row r="52" spans="1:6" hidden="1" x14ac:dyDescent="0.25">
      <c r="B52" s="68">
        <f t="array" ref="B52">SUM(IF($D$3:$D$28&lt;&gt;"",1/COUNTIF($D$3:$D$28, $D$3:$D$28), 0))</f>
        <v>25</v>
      </c>
      <c r="C52" s="68">
        <f t="array" ref="C52">SUM(IF($B$3:$B$28&lt;&gt;"",1/COUNTIF($B$3:$B$28, $B$3:$B$28), 0))</f>
        <v>10</v>
      </c>
    </row>
    <row r="53" spans="1:6" hidden="1" x14ac:dyDescent="0.25"/>
  </sheetData>
  <sheetProtection algorithmName="SHA-512" hashValue="qqPNebA8Lx6gXSRMSFx60uYhPAZFw2Mub/1V8H8P1eGUZ3rz18xTq8hALoGzUZfrMWM2coWvTJnQPPh1Aq6dvA==" saltValue="TGQhhPjX1gT8LO9m/oL5Eg==" spinCount="100000" sheet="1" objects="1" scenarios="1"/>
  <autoFilter ref="B2:G4" xr:uid="{00000000-0009-0000-0000-000008000000}"/>
  <mergeCells count="1">
    <mergeCell ref="B30:B32"/>
  </mergeCells>
  <dataValidations count="3">
    <dataValidation type="date" allowBlank="1" showInputMessage="1" showErrorMessage="1" error="Please enter a valid date in mm/dd/yyyy format." sqref="D3:D27" xr:uid="{00000000-0002-0000-0800-000000000000}">
      <formula1>1</formula1>
      <formula2>2958464</formula2>
    </dataValidation>
    <dataValidation type="time" allowBlank="1" showInputMessage="1" showErrorMessage="1" error=" Please enter a valid time  in hr:mm format." sqref="E3:E27" xr:uid="{00000000-0002-0000-0800-000001000000}">
      <formula1>0</formula1>
      <formula2>0.999988425925926</formula2>
    </dataValidation>
    <dataValidation type="time" allowBlank="1" showInputMessage="1" showErrorMessage="1" error="Please enter a valid time in hr:mm format." sqref="F3:F27" xr:uid="{00000000-0002-0000-0800-000002000000}">
      <formula1>0</formula1>
      <formula2>0.999988425925926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refreshSummaryVOC">
                <anchor moveWithCells="1" sizeWithCells="1">
                  <from>
                    <xdr:col>1</xdr:col>
                    <xdr:colOff>847725</xdr:colOff>
                    <xdr:row>28</xdr:row>
                    <xdr:rowOff>190500</xdr:rowOff>
                  </from>
                  <to>
                    <xdr:col>2</xdr:col>
                    <xdr:colOff>885825</xdr:colOff>
                    <xdr:row>28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AddRAW">
                <anchor moveWithCells="1">
                  <from>
                    <xdr:col>0</xdr:col>
                    <xdr:colOff>276225</xdr:colOff>
                    <xdr:row>27</xdr:row>
                    <xdr:rowOff>114300</xdr:rowOff>
                  </from>
                  <to>
                    <xdr:col>2</xdr:col>
                    <xdr:colOff>114300</xdr:colOff>
                    <xdr:row>27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DeleteRowRAW">
                <anchor moveWithCells="1">
                  <from>
                    <xdr:col>2</xdr:col>
                    <xdr:colOff>209550</xdr:colOff>
                    <xdr:row>27</xdr:row>
                    <xdr:rowOff>133350</xdr:rowOff>
                  </from>
                  <to>
                    <xdr:col>3</xdr:col>
                    <xdr:colOff>600075</xdr:colOff>
                    <xdr:row>27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J38"/>
  <sheetViews>
    <sheetView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E36" sqref="E36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10" width="9.140625" style="3" hidden="1" customWidth="1"/>
    <col min="11" max="13" width="0" style="3" hidden="1" customWidth="1"/>
    <col min="14" max="16384" width="9.140625" style="3"/>
  </cols>
  <sheetData>
    <row r="1" spans="1:6" x14ac:dyDescent="0.25">
      <c r="A1" s="6" t="s">
        <v>603</v>
      </c>
      <c r="B1" s="1"/>
      <c r="C1" s="1"/>
      <c r="D1" s="1"/>
      <c r="E1" s="1"/>
      <c r="F1" s="1"/>
    </row>
    <row r="2" spans="1:6" x14ac:dyDescent="0.25">
      <c r="A2" s="6" t="s">
        <v>603</v>
      </c>
      <c r="B2" s="277" t="s">
        <v>570</v>
      </c>
      <c r="C2" s="285"/>
      <c r="D2" s="278"/>
      <c r="E2" s="43" t="s">
        <v>577</v>
      </c>
      <c r="F2" s="1"/>
    </row>
    <row r="3" spans="1:6" ht="15" customHeight="1" x14ac:dyDescent="0.25">
      <c r="A3" s="6" t="s">
        <v>603</v>
      </c>
      <c r="B3" s="275" t="s">
        <v>700</v>
      </c>
      <c r="C3" s="286"/>
      <c r="D3" s="276"/>
      <c r="E3" s="43" t="s">
        <v>561</v>
      </c>
      <c r="F3" s="1"/>
    </row>
    <row r="4" spans="1:6" ht="14.25" customHeight="1" x14ac:dyDescent="0.25">
      <c r="A4" s="6" t="s">
        <v>603</v>
      </c>
      <c r="B4" s="25" t="s">
        <v>571</v>
      </c>
      <c r="C4" s="26"/>
      <c r="D4" s="27"/>
      <c r="E4" s="29" t="s">
        <v>565</v>
      </c>
      <c r="F4" s="1"/>
    </row>
    <row r="5" spans="1:6" x14ac:dyDescent="0.25">
      <c r="A5" s="6" t="s">
        <v>603</v>
      </c>
      <c r="B5" s="1"/>
      <c r="C5" s="1"/>
      <c r="D5" s="1"/>
      <c r="E5" s="1"/>
      <c r="F5" s="1"/>
    </row>
    <row r="6" spans="1:6" ht="25.5" x14ac:dyDescent="0.25">
      <c r="A6" s="6">
        <v>34</v>
      </c>
      <c r="B6" s="4" t="s">
        <v>549</v>
      </c>
      <c r="C6" s="4" t="s">
        <v>550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8">
        <v>43983</v>
      </c>
      <c r="C7" s="48">
        <v>44012</v>
      </c>
      <c r="D7" s="30">
        <v>2222</v>
      </c>
      <c r="E7" s="30">
        <v>1000</v>
      </c>
      <c r="F7" s="1"/>
    </row>
    <row r="8" spans="1:6" x14ac:dyDescent="0.25">
      <c r="A8" s="6"/>
      <c r="B8" s="48">
        <v>43952</v>
      </c>
      <c r="C8" s="48">
        <v>43982</v>
      </c>
      <c r="D8" s="30">
        <v>1927</v>
      </c>
      <c r="E8" s="30">
        <v>999</v>
      </c>
      <c r="F8" s="1"/>
    </row>
    <row r="9" spans="1:6" x14ac:dyDescent="0.25">
      <c r="A9" s="6"/>
      <c r="B9" s="48">
        <v>43922</v>
      </c>
      <c r="C9" s="48">
        <v>43951</v>
      </c>
      <c r="D9" s="30">
        <v>2200</v>
      </c>
      <c r="E9" s="30">
        <v>1109</v>
      </c>
      <c r="F9" s="1"/>
    </row>
    <row r="10" spans="1:6" x14ac:dyDescent="0.25">
      <c r="A10" s="6"/>
      <c r="B10" s="48">
        <v>43891</v>
      </c>
      <c r="C10" s="48">
        <v>43921</v>
      </c>
      <c r="D10" s="30">
        <v>1782</v>
      </c>
      <c r="E10" s="30">
        <v>543</v>
      </c>
      <c r="F10" s="1"/>
    </row>
    <row r="11" spans="1:6" x14ac:dyDescent="0.25">
      <c r="A11" s="6"/>
      <c r="B11" s="48">
        <v>43862</v>
      </c>
      <c r="C11" s="48">
        <v>43889</v>
      </c>
      <c r="D11" s="30">
        <v>2655</v>
      </c>
      <c r="E11" s="30">
        <v>782.1</v>
      </c>
      <c r="F11" s="1"/>
    </row>
    <row r="12" spans="1:6" x14ac:dyDescent="0.25">
      <c r="A12" s="6"/>
      <c r="B12" s="48">
        <v>43831</v>
      </c>
      <c r="C12" s="48">
        <v>43861</v>
      </c>
      <c r="D12" s="30">
        <v>1987</v>
      </c>
      <c r="E12" s="30">
        <v>908</v>
      </c>
      <c r="F12" s="1"/>
    </row>
    <row r="13" spans="1:6" x14ac:dyDescent="0.25">
      <c r="A13" s="6"/>
      <c r="B13" s="48">
        <v>43800</v>
      </c>
      <c r="C13" s="48">
        <v>43830</v>
      </c>
      <c r="D13" s="30">
        <v>2800</v>
      </c>
      <c r="E13" s="30">
        <v>2000</v>
      </c>
      <c r="F13" s="1"/>
    </row>
    <row r="14" spans="1:6" x14ac:dyDescent="0.25">
      <c r="A14" s="6"/>
      <c r="B14" s="48">
        <v>43770</v>
      </c>
      <c r="C14" s="48">
        <v>43799</v>
      </c>
      <c r="D14" s="30">
        <v>1545</v>
      </c>
      <c r="E14" s="30">
        <v>700</v>
      </c>
      <c r="F14" s="1"/>
    </row>
    <row r="15" spans="1:6" x14ac:dyDescent="0.25">
      <c r="A15" s="6"/>
      <c r="B15" s="48">
        <v>43739</v>
      </c>
      <c r="C15" s="48">
        <v>43769</v>
      </c>
      <c r="D15" s="30">
        <v>1777</v>
      </c>
      <c r="E15" s="30">
        <v>1123.22</v>
      </c>
      <c r="F15" s="1"/>
    </row>
    <row r="16" spans="1:6" x14ac:dyDescent="0.25">
      <c r="A16" s="6"/>
      <c r="B16" s="48">
        <v>43709</v>
      </c>
      <c r="C16" s="48">
        <v>43738</v>
      </c>
      <c r="D16" s="30">
        <v>1050</v>
      </c>
      <c r="E16" s="30">
        <v>680</v>
      </c>
      <c r="F16" s="1"/>
    </row>
    <row r="17" spans="1:6" x14ac:dyDescent="0.25">
      <c r="A17" s="6"/>
      <c r="B17" s="48">
        <v>43678</v>
      </c>
      <c r="C17" s="48">
        <v>43708</v>
      </c>
      <c r="D17" s="30">
        <v>1900</v>
      </c>
      <c r="E17" s="30">
        <v>800</v>
      </c>
      <c r="F17" s="1"/>
    </row>
    <row r="18" spans="1:6" x14ac:dyDescent="0.25">
      <c r="A18" s="6"/>
      <c r="B18" s="48">
        <v>43647</v>
      </c>
      <c r="C18" s="48">
        <v>43677</v>
      </c>
      <c r="D18" s="30">
        <v>2323</v>
      </c>
      <c r="E18" s="30">
        <v>1500.08</v>
      </c>
      <c r="F18" s="1"/>
    </row>
    <row r="19" spans="1:6" x14ac:dyDescent="0.25">
      <c r="A19" s="6"/>
      <c r="B19" s="48">
        <v>43617</v>
      </c>
      <c r="C19" s="48">
        <v>43646</v>
      </c>
      <c r="D19" s="30">
        <v>1978</v>
      </c>
      <c r="E19" s="30">
        <v>978</v>
      </c>
      <c r="F19" s="1"/>
    </row>
    <row r="20" spans="1:6" x14ac:dyDescent="0.25">
      <c r="A20" s="6"/>
      <c r="B20" s="48">
        <v>43586</v>
      </c>
      <c r="C20" s="48">
        <v>43616</v>
      </c>
      <c r="D20" s="30">
        <v>1927</v>
      </c>
      <c r="E20" s="30">
        <v>999</v>
      </c>
      <c r="F20" s="1"/>
    </row>
    <row r="21" spans="1:6" x14ac:dyDescent="0.25">
      <c r="A21" s="6"/>
      <c r="B21" s="48">
        <v>43556</v>
      </c>
      <c r="C21" s="48">
        <v>43585</v>
      </c>
      <c r="D21" s="30">
        <v>2200</v>
      </c>
      <c r="E21" s="30">
        <v>1109</v>
      </c>
      <c r="F21" s="1"/>
    </row>
    <row r="22" spans="1:6" x14ac:dyDescent="0.25">
      <c r="A22" s="6"/>
      <c r="B22" s="48">
        <v>43525</v>
      </c>
      <c r="C22" s="48">
        <v>43555</v>
      </c>
      <c r="D22" s="30">
        <v>1782</v>
      </c>
      <c r="E22" s="30">
        <v>543</v>
      </c>
      <c r="F22" s="1"/>
    </row>
    <row r="23" spans="1:6" x14ac:dyDescent="0.25">
      <c r="A23" s="6"/>
      <c r="B23" s="48">
        <v>43497</v>
      </c>
      <c r="C23" s="48">
        <v>43524</v>
      </c>
      <c r="D23" s="30">
        <v>2655</v>
      </c>
      <c r="E23" s="30">
        <v>782.1</v>
      </c>
      <c r="F23" s="1"/>
    </row>
    <row r="24" spans="1:6" x14ac:dyDescent="0.25">
      <c r="A24" s="6"/>
      <c r="B24" s="48">
        <v>43466</v>
      </c>
      <c r="C24" s="48">
        <v>43496</v>
      </c>
      <c r="D24" s="30">
        <v>1987</v>
      </c>
      <c r="E24" s="30">
        <v>908</v>
      </c>
      <c r="F24" s="1"/>
    </row>
    <row r="25" spans="1:6" x14ac:dyDescent="0.25">
      <c r="A25" s="6"/>
      <c r="B25" s="48">
        <v>43435</v>
      </c>
      <c r="C25" s="48">
        <v>43465</v>
      </c>
      <c r="D25" s="30">
        <v>2800</v>
      </c>
      <c r="E25" s="30">
        <v>2000</v>
      </c>
      <c r="F25" s="1"/>
    </row>
    <row r="26" spans="1:6" x14ac:dyDescent="0.25">
      <c r="A26" s="6"/>
      <c r="B26" s="48">
        <v>43405</v>
      </c>
      <c r="C26" s="48">
        <v>43434</v>
      </c>
      <c r="D26" s="30">
        <v>1545</v>
      </c>
      <c r="E26" s="30">
        <v>700</v>
      </c>
      <c r="F26" s="1"/>
    </row>
    <row r="27" spans="1:6" x14ac:dyDescent="0.25">
      <c r="A27" s="6"/>
      <c r="B27" s="48">
        <v>43374</v>
      </c>
      <c r="C27" s="48">
        <v>43404</v>
      </c>
      <c r="D27" s="30">
        <v>1777</v>
      </c>
      <c r="E27" s="30">
        <v>1123.22</v>
      </c>
      <c r="F27" s="1"/>
    </row>
    <row r="28" spans="1:6" x14ac:dyDescent="0.25">
      <c r="A28" s="6"/>
      <c r="B28" s="48">
        <v>43344</v>
      </c>
      <c r="C28" s="48">
        <v>43373</v>
      </c>
      <c r="D28" s="30">
        <v>1050</v>
      </c>
      <c r="E28" s="30">
        <v>680</v>
      </c>
      <c r="F28" s="1"/>
    </row>
    <row r="29" spans="1:6" x14ac:dyDescent="0.25">
      <c r="A29" s="6"/>
      <c r="B29" s="48">
        <v>43313</v>
      </c>
      <c r="C29" s="48">
        <v>43343</v>
      </c>
      <c r="D29" s="30">
        <v>1900</v>
      </c>
      <c r="E29" s="30">
        <v>800</v>
      </c>
      <c r="F29" s="1"/>
    </row>
    <row r="30" spans="1:6" x14ac:dyDescent="0.25">
      <c r="A30" s="6"/>
      <c r="B30" s="48">
        <v>43282</v>
      </c>
      <c r="C30" s="48">
        <v>43312</v>
      </c>
      <c r="D30" s="30">
        <v>2323</v>
      </c>
      <c r="E30" s="30">
        <v>1500.08</v>
      </c>
      <c r="F30" s="1"/>
    </row>
    <row r="31" spans="1:6" x14ac:dyDescent="0.25">
      <c r="A31" s="6"/>
      <c r="B31" s="48">
        <v>43252</v>
      </c>
      <c r="C31" s="48">
        <v>43281</v>
      </c>
      <c r="D31" s="30">
        <v>1978</v>
      </c>
      <c r="E31" s="30">
        <v>978</v>
      </c>
      <c r="F31" s="1"/>
    </row>
    <row r="32" spans="1:6" x14ac:dyDescent="0.25">
      <c r="A32" s="28"/>
      <c r="B32" s="33"/>
      <c r="C32" s="33"/>
      <c r="D32" s="36"/>
      <c r="E32" s="37"/>
      <c r="F32" s="1"/>
    </row>
    <row r="33" spans="1:9" hidden="1" x14ac:dyDescent="0.25">
      <c r="A33" s="7">
        <v>0</v>
      </c>
      <c r="B33" s="35"/>
      <c r="C33" s="35"/>
      <c r="D33" s="38"/>
      <c r="E33" s="39"/>
      <c r="F33" s="1"/>
    </row>
    <row r="34" spans="1:9" ht="25.5" customHeight="1" x14ac:dyDescent="0.25">
      <c r="A34" s="6" t="s">
        <v>551</v>
      </c>
      <c r="B34" s="34"/>
      <c r="C34" s="34"/>
      <c r="D34" s="34"/>
      <c r="E34" s="40"/>
      <c r="F34" s="1"/>
    </row>
    <row r="36" spans="1:9" x14ac:dyDescent="0.25">
      <c r="I36" s="3" t="s">
        <v>565</v>
      </c>
    </row>
    <row r="37" spans="1:9" x14ac:dyDescent="0.25">
      <c r="I37" s="3" t="s">
        <v>560</v>
      </c>
    </row>
    <row r="38" spans="1:9" x14ac:dyDescent="0.25">
      <c r="I38" s="3" t="s">
        <v>545</v>
      </c>
    </row>
  </sheetData>
  <sheetProtection algorithmName="SHA-512" hashValue="U/GxMYNdhPByljYy5beBclHwKqBZM/az6pQU0zhYF74yeGwdaEBe5gwweEuDspMzNU4SOxpnAIE6gJcFgKUc6w==" saltValue="njfccA48pq7L3aEbPkZw/w==" spinCount="100000" sheet="1" objects="1" scenarios="1" formatRows="0"/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900-000000000000}">
      <formula1>newWaUnit</formula1>
    </dataValidation>
    <dataValidation allowBlank="1" showInputMessage="1" showErrorMessage="1" error="Please enter a valid date in mm/dd/yyyy format." sqref="B32:D34" xr:uid="{00000000-0002-0000-0900-000001000000}"/>
    <dataValidation type="date" allowBlank="1" showInputMessage="1" showErrorMessage="1" error="Please enter a valid date in mm/dd/yyyy format." sqref="B7:C31" xr:uid="{00000000-0002-0000-0900-000002000000}">
      <formula1>1</formula1>
      <formula2>54789</formula2>
    </dataValidation>
    <dataValidation type="decimal" allowBlank="1" showInputMessage="1" showErrorMessage="1" error="Please enter a valid reading." sqref="D7:E31" xr:uid="{00000000-0002-0000-09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32</xdr:row>
                    <xdr:rowOff>0</xdr:rowOff>
                  </from>
                  <to>
                    <xdr:col>2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32</xdr:row>
                    <xdr:rowOff>0</xdr:rowOff>
                  </from>
                  <to>
                    <xdr:col>3</xdr:col>
                    <xdr:colOff>9525</xdr:colOff>
                    <xdr:row>33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E3017-079B-4C3B-A61F-EE92A23A44EE}">
  <sheetPr codeName="Sheet1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6" sqref="C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26.28515625" style="3" hidden="1" customWidth="1"/>
    <col min="7" max="7" width="43.140625" style="3" hidden="1" customWidth="1"/>
    <col min="8" max="8" width="46.140625" style="3" hidden="1" customWidth="1"/>
    <col min="9" max="9" width="40.5703125" style="3" hidden="1" customWidth="1"/>
    <col min="10" max="10" width="31.28515625" style="3" hidden="1" customWidth="1"/>
    <col min="11" max="11" width="27.85546875" style="3" hidden="1" customWidth="1"/>
    <col min="12" max="12" width="26.140625" style="3" hidden="1" customWidth="1"/>
    <col min="13" max="13" width="31.140625" style="3" hidden="1" customWidth="1"/>
    <col min="14" max="14" width="29.85546875" style="3" hidden="1" customWidth="1"/>
    <col min="15" max="15" width="29" style="3" hidden="1" customWidth="1"/>
    <col min="16" max="16" width="32.28515625" style="3" hidden="1" customWidth="1"/>
    <col min="17" max="17" width="22.7109375" style="3" hidden="1" customWidth="1"/>
    <col min="18" max="18" width="17.5703125" style="3" hidden="1" customWidth="1"/>
    <col min="19" max="19" width="20.140625" style="3" hidden="1" customWidth="1"/>
    <col min="20" max="20" width="15" style="3" hidden="1" customWidth="1"/>
    <col min="21" max="22" width="20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Carbon Monoxide</v>
      </c>
      <c r="C1" s="1"/>
      <c r="D1" s="6" t="str">
        <f ca="1">B1</f>
        <v>Carbon Monoxide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709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710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(mg/m3)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582</v>
      </c>
    </row>
    <row r="8" spans="1:24" x14ac:dyDescent="0.25">
      <c r="A8" s="6"/>
      <c r="B8" s="254"/>
      <c r="C8" s="254"/>
      <c r="D8" s="255"/>
      <c r="E8" s="1"/>
      <c r="H8" s="3" t="s">
        <v>710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XsFq+h6b8yT/ZUMrbOyXM84CudN7Q0x+yPXyrVW8LXN/5aJAcempB1BYr8yHhkJLCXuqBPvlBnekqcy5uqWETw==" saltValue="BM5IFKTZxIXHxtERKmMAWg==" spinCount="100000" sheet="1" objects="1" scenarios="1"/>
  <dataValidations count="6">
    <dataValidation type="list" allowBlank="1" showInputMessage="1" showErrorMessage="1" sqref="G15:X15" xr:uid="{78BB7D64-E419-4824-95A3-56984FF2C880}">
      <formula1>$G$15:$X$15</formula1>
    </dataValidation>
    <dataValidation allowBlank="1" showInputMessage="1" showErrorMessage="1" error="Please enter a valid date in mm/dd/yyyy format." sqref="B8:D10" xr:uid="{34E571DF-600C-47C7-8D7E-80D65381A57F}"/>
    <dataValidation type="decimal" allowBlank="1" showInputMessage="1" showErrorMessage="1" error="Please enter a valid reading." sqref="D7" xr:uid="{23BD981F-F28E-4976-9E90-21491D7CB595}">
      <formula1>0</formula1>
      <formula2>9999999999</formula2>
    </dataValidation>
    <dataValidation type="date" allowBlank="1" showInputMessage="1" showErrorMessage="1" error="Please enter a valid date in mm/dd/yyyy format." sqref="B7:C7" xr:uid="{9684AFDC-2AC2-4850-B9EA-18729C58B896}">
      <formula1>1</formula1>
      <formula2>73051</formula2>
    </dataValidation>
    <dataValidation type="textLength" allowBlank="1" showInputMessage="1" showErrorMessage="1" errorTitle="Data Source" error="It can only accept 40 characters." sqref="D5" xr:uid="{4BBE2021-787F-4E52-A403-700CD3135958}">
      <formula1>0</formula1>
      <formula2>40</formula2>
    </dataValidation>
    <dataValidation type="list" showInputMessage="1" showErrorMessage="1" error="Units cannot edit." sqref="D3:D4" xr:uid="{A0364499-AEE3-4525-956D-035DE9E60EFD}">
      <formula1>$H$7:$H$8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DF174-C190-4D95-A5B4-FE6E6214FBCA}">
  <sheetPr codeName="Sheet14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Ozone</v>
      </c>
      <c r="C1" s="1"/>
      <c r="D1" s="6" t="str">
        <f ca="1">B1</f>
        <v>Ozone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formatRows="0"/>
  <dataValidations count="6">
    <dataValidation type="list" allowBlank="1" showInputMessage="1" showErrorMessage="1" sqref="G15:X15" xr:uid="{5A5D433D-2B68-4BDF-92E3-8183B3DFA8D6}">
      <formula1>$G$15:$X$15</formula1>
    </dataValidation>
    <dataValidation showInputMessage="1" showErrorMessage="1" error="Units cannot edit." sqref="D3:D4" xr:uid="{D72855A0-8F7C-425C-B769-96CCD7E8BD93}"/>
    <dataValidation allowBlank="1" showInputMessage="1" showErrorMessage="1" error="Please enter a valid date in mm/dd/yyyy format." sqref="B8:D10" xr:uid="{55327D24-5939-4810-9950-3648BFA1AA46}"/>
    <dataValidation type="decimal" allowBlank="1" showInputMessage="1" showErrorMessage="1" error="Please enter a valid reading." sqref="D7" xr:uid="{57EE52C5-1A89-4AE2-9515-FC60C0042FB5}">
      <formula1>0</formula1>
      <formula2>9999999999</formula2>
    </dataValidation>
    <dataValidation type="date" allowBlank="1" showInputMessage="1" showErrorMessage="1" error="Please enter a valid date in mm/dd/yyyy format." sqref="B7:C7" xr:uid="{F64E0AEA-0171-47AB-9F96-6FB995825FE1}">
      <formula1>1</formula1>
      <formula2>73051</formula2>
    </dataValidation>
    <dataValidation type="textLength" allowBlank="1" showInputMessage="1" showErrorMessage="1" errorTitle="Data Source" error="It can only accept 40 characters." sqref="D5" xr:uid="{2D7ADD04-53EF-4365-9250-4E1B69E13AA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F2B0-3896-46D8-BFDD-F7AF72211069}">
  <sheetPr codeName="Sheet1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Atmospheric Particulate Matter</v>
      </c>
      <c r="C1" s="1"/>
      <c r="D1" s="6" t="str">
        <f ca="1">B1</f>
        <v>Atmospheric Particulate Matter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713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allowBlank="1" showInputMessage="1" showErrorMessage="1" sqref="G15:X15" xr:uid="{B2AFD790-B07F-452E-9FD2-12805DC46AC3}">
      <formula1>$G$15:$X$15</formula1>
    </dataValidation>
    <dataValidation showInputMessage="1" showErrorMessage="1" error="Units cannot edit." sqref="D3:D4" xr:uid="{B64F65FF-E22A-4F31-849A-216DE958D47B}"/>
    <dataValidation allowBlank="1" showInputMessage="1" showErrorMessage="1" error="Please enter a valid date in mm/dd/yyyy format." sqref="B8:D10" xr:uid="{DA37F960-77C3-4A0A-A32B-B196596BF6BB}"/>
    <dataValidation type="decimal" allowBlank="1" showInputMessage="1" showErrorMessage="1" error="Please enter a valid reading." sqref="D7" xr:uid="{ADFEADBC-BB44-4C6A-859F-AA29835A33BC}">
      <formula1>0</formula1>
      <formula2>9999999999</formula2>
    </dataValidation>
    <dataValidation type="date" allowBlank="1" showInputMessage="1" showErrorMessage="1" error="Please enter a valid date in mm/dd/yyyy format." sqref="B7:C7" xr:uid="{9BFB7211-D274-4F24-B178-189C1BBCF53B}">
      <formula1>1</formula1>
      <formula2>73051</formula2>
    </dataValidation>
    <dataValidation type="textLength" allowBlank="1" showInputMessage="1" showErrorMessage="1" errorTitle="Data Source" error="It can only accept 40 characters." sqref="D5" xr:uid="{2B1B0ED5-9C98-4898-BD6B-E2629DA73384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9C07A-6DA1-4899-91F1-5599C0E64AD4}">
  <sheetPr codeName="Sheet16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Acetaldehyde</v>
      </c>
      <c r="C1" s="1"/>
      <c r="D1" s="6" t="str">
        <f ca="1">B1</f>
        <v>Acetaldehyde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714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6v7dPuWpSf3jVNSF0bqdEJR2njNSF2DqLP4bsp51I8xRgrLweS33sAbo3N7bXKa2pDhug6UdppaTE1iTZupEQA==" saltValue="zMQIjuYrjZFv7eYeEGO+VA==" spinCount="100000" sheet="1" objects="1" scenarios="1"/>
  <dataValidations count="6">
    <dataValidation type="list" allowBlank="1" showInputMessage="1" showErrorMessage="1" sqref="G15:X15" xr:uid="{4953DB5C-F8CB-452E-9E57-1CFEDC9862E2}">
      <formula1>$G$15:$X$15</formula1>
    </dataValidation>
    <dataValidation showInputMessage="1" showErrorMessage="1" error="Units cannot edit." sqref="D3:D4" xr:uid="{56948F6C-4910-40A6-AA29-57D80B121BB4}"/>
    <dataValidation allowBlank="1" showInputMessage="1" showErrorMessage="1" error="Please enter a valid date in mm/dd/yyyy format." sqref="B8:D10" xr:uid="{1A7C6962-CE2B-4B0F-90E0-3893C5780AEE}"/>
    <dataValidation type="decimal" allowBlank="1" showInputMessage="1" showErrorMessage="1" error="Please enter a valid reading." sqref="D7" xr:uid="{FEA6F122-5BEC-4617-AFFC-3DEBFF34CDA0}">
      <formula1>0</formula1>
      <formula2>9999999999</formula2>
    </dataValidation>
    <dataValidation type="date" allowBlank="1" showInputMessage="1" showErrorMessage="1" error="Please enter a valid date in mm/dd/yyyy format." sqref="B7:C7" xr:uid="{8452ACAD-B7FB-4AAF-BD2C-0B05FBF5E350}">
      <formula1>1</formula1>
      <formula2>73051</formula2>
    </dataValidation>
    <dataValidation type="textLength" allowBlank="1" showInputMessage="1" showErrorMessage="1" errorTitle="Data Source" error="It can only accept 40 characters." sqref="D5" xr:uid="{685E0327-5750-4243-AB4F-04577158848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FC0C3-FE9F-4407-8B65-AE12978BB32B}">
  <sheetPr codeName="Sheet17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Benzene</v>
      </c>
      <c r="C1" s="1"/>
      <c r="D1" s="6" t="str">
        <f ca="1">B1</f>
        <v>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715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WOlJLfLmwEx7m3NN+FB5iNwQY2RiLg5LQIvq3GcejdYwTQggnCcrmRx1UCyCwDDKwefytf7CYnI92wkcxYbiQ==" saltValue="k+TDCpQxhpxDYcyS9DeIeg==" spinCount="100000" sheet="1" objects="1" scenarios="1"/>
  <dataValidations count="6">
    <dataValidation type="list" allowBlank="1" showInputMessage="1" showErrorMessage="1" sqref="G15:X15" xr:uid="{2F5B6D94-135B-43A7-A6B9-526DEB81DA4B}">
      <formula1>$G$15:$X$15</formula1>
    </dataValidation>
    <dataValidation showInputMessage="1" showErrorMessage="1" error="Units cannot edit." sqref="D3:D4" xr:uid="{6FE86DD4-68C0-49C9-8A39-202E6B699666}"/>
    <dataValidation allowBlank="1" showInputMessage="1" showErrorMessage="1" error="Please enter a valid date in mm/dd/yyyy format." sqref="B8:D10" xr:uid="{E4E880F8-BDA9-413F-A1E5-24AEB09B0E1F}"/>
    <dataValidation type="decimal" allowBlank="1" showInputMessage="1" showErrorMessage="1" error="Please enter a valid reading." sqref="D7" xr:uid="{535176D5-E0B5-4835-800D-0820FA48DC69}">
      <formula1>0</formula1>
      <formula2>9999999999</formula2>
    </dataValidation>
    <dataValidation type="date" allowBlank="1" showInputMessage="1" showErrorMessage="1" error="Please enter a valid date in mm/dd/yyyy format." sqref="B7:C7" xr:uid="{CB938181-7F34-4865-9297-51AF2463D78B}">
      <formula1>1</formula1>
      <formula2>73051</formula2>
    </dataValidation>
    <dataValidation type="textLength" allowBlank="1" showInputMessage="1" showErrorMessage="1" errorTitle="Data Source" error="It can only accept 40 characters." sqref="D5" xr:uid="{42E0D56D-E31E-4825-864C-5298BB7936A7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81D89-D5B0-42BF-B2F9-A08E8A762CC5}">
  <sheetPr codeName="Sheet18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W16" sqref="W16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Styrene</v>
      </c>
      <c r="C1" s="1"/>
      <c r="D1" s="6" t="str">
        <f ca="1">B1</f>
        <v>Styrene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716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UuvZ3f/Tc0zGaGXsYU9w5MNZQ7aDJOFOJajWRb2u+N0Ev2ggP64tPskvwLMaTuMO/LBFYhpBAoUnVw7/vY0CWg==" saltValue="/XNvMdtEAdENf9RMyuRYIg==" spinCount="100000" sheet="1" objects="1" scenarios="1"/>
  <dataValidations count="6">
    <dataValidation type="list" allowBlank="1" showInputMessage="1" showErrorMessage="1" sqref="G15:X15" xr:uid="{7AABBF0B-A504-4897-B5E9-7F29216856BC}">
      <formula1>$G$15:$X$15</formula1>
    </dataValidation>
    <dataValidation showInputMessage="1" showErrorMessage="1" error="Units cannot edit." sqref="D3:D4" xr:uid="{F8516D2E-3D21-4980-A29E-338BE7D9C33E}"/>
    <dataValidation allowBlank="1" showInputMessage="1" showErrorMessage="1" error="Please enter a valid date in mm/dd/yyyy format." sqref="B8:D10" xr:uid="{F6995953-9B0A-48D1-9C55-FAC0ADC4A526}"/>
    <dataValidation type="decimal" allowBlank="1" showInputMessage="1" showErrorMessage="1" error="Please enter a valid reading." sqref="D7" xr:uid="{DC9F0DF4-E3CE-4BF5-BEB9-E402C1C3A3A2}">
      <formula1>0</formula1>
      <formula2>9999999999</formula2>
    </dataValidation>
    <dataValidation type="date" allowBlank="1" showInputMessage="1" showErrorMessage="1" error="Please enter a valid date in mm/dd/yyyy format." sqref="B7:C7" xr:uid="{3947404C-B6FF-4FA2-8174-45F06C57A8F3}">
      <formula1>1</formula1>
      <formula2>73051</formula2>
    </dataValidation>
    <dataValidation type="textLength" allowBlank="1" showInputMessage="1" showErrorMessage="1" errorTitle="Data Source" error="It can only accept 40 characters." sqref="D5" xr:uid="{EC60286C-FDAA-41F0-8775-B3E220B65848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517C-D8FD-40E2-B98D-38C4F1DEF131}">
  <sheetPr codeName="Sheet19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Toluene</v>
      </c>
      <c r="C1" s="1"/>
      <c r="D1" s="6" t="str">
        <f ca="1">B1</f>
        <v>Toluene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718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+cmjS/Zse4eto0osfNb0kj3FDNxrTvFeN3xaQdPOFTi6bM+fFvPrXeD3sXuB+nyuiYQSZpzP8QN6Teis2QJr9Q==" saltValue="JzzoITH2e89n7mOSwh0tPg==" spinCount="100000" sheet="1" objects="1" scenarios="1"/>
  <dataValidations count="6">
    <dataValidation type="list" allowBlank="1" showInputMessage="1" showErrorMessage="1" sqref="G15:X15" xr:uid="{46DF15BF-48C1-40D3-BEF1-41F8D0C515BA}">
      <formula1>$G$15:$X$15</formula1>
    </dataValidation>
    <dataValidation showInputMessage="1" showErrorMessage="1" error="Units cannot edit." sqref="D3:D4" xr:uid="{84361206-9940-41D4-A715-C562DD912779}"/>
    <dataValidation allowBlank="1" showInputMessage="1" showErrorMessage="1" error="Please enter a valid date in mm/dd/yyyy format." sqref="B8:D10" xr:uid="{8BB8A957-FFBA-46A4-90CB-F0373A56CE8A}"/>
    <dataValidation type="decimal" allowBlank="1" showInputMessage="1" showErrorMessage="1" error="Please enter a valid reading." sqref="D7" xr:uid="{C4A78846-463F-4311-8F4B-9012E1D9043F}">
      <formula1>0</formula1>
      <formula2>9999999999</formula2>
    </dataValidation>
    <dataValidation type="date" allowBlank="1" showInputMessage="1" showErrorMessage="1" error="Please enter a valid date in mm/dd/yyyy format." sqref="B7:C7" xr:uid="{9CFBFDAC-078C-4A77-8A0B-B6300EEFCB72}">
      <formula1>1</formula1>
      <formula2>73051</formula2>
    </dataValidation>
    <dataValidation type="textLength" allowBlank="1" showInputMessage="1" showErrorMessage="1" errorTitle="Data Source" error="It can only accept 40 characters." sqref="D5" xr:uid="{E1F0EC41-7D87-4AAC-852F-DD9FB38D925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F2F5-660B-4457-B318-D8373E483D8C}">
  <sheetPr codeName="Sheet20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 xml:space="preserve">Naphthalene </v>
      </c>
      <c r="C1" s="1"/>
      <c r="D1" s="6" t="str">
        <f ca="1">B1</f>
        <v xml:space="preserve">Naphthalene 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719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717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 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NtQv4WzE4c/QRZ3u/XMKd30+G4ysYRGIzcM5b+HxxS6bo/kycF9rQpwZBPjrn8Ny44ae5SyyvTZQftQLyo9s8w==" saltValue="eld9+WXB8MNuvoMBqrSfYg==" spinCount="100000" sheet="1" objects="1" scenarios="1"/>
  <dataValidations count="6">
    <dataValidation type="list" allowBlank="1" showInputMessage="1" showErrorMessage="1" sqref="G15:X15" xr:uid="{2C19EEA9-2CE3-4216-B9A8-34E418E23730}">
      <formula1>$G$15:$X$15</formula1>
    </dataValidation>
    <dataValidation showInputMessage="1" showErrorMessage="1" error="Units cannot edit." sqref="D3:D4" xr:uid="{BD9D6C38-3058-4809-8307-58FF13423105}"/>
    <dataValidation allowBlank="1" showInputMessage="1" showErrorMessage="1" error="Please enter a valid date in mm/dd/yyyy format." sqref="B8:D10" xr:uid="{8BAEAF9F-FDB3-4581-BDD1-E76000DB56DB}"/>
    <dataValidation type="decimal" allowBlank="1" showInputMessage="1" showErrorMessage="1" error="Please enter a valid reading." sqref="D7" xr:uid="{696880EB-4E4F-426D-AD2F-307C83B4DF8A}">
      <formula1>0</formula1>
      <formula2>9999999999</formula2>
    </dataValidation>
    <dataValidation type="date" allowBlank="1" showInputMessage="1" showErrorMessage="1" error="Please enter a valid date in mm/dd/yyyy format." sqref="B7:C7" xr:uid="{B21D8156-E1D0-4221-8132-7DC0013A330A}">
      <formula1>1</formula1>
      <formula2>73051</formula2>
    </dataValidation>
    <dataValidation type="textLength" allowBlank="1" showInputMessage="1" showErrorMessage="1" errorTitle="Data Source" error="It can only accept 40 characters." sqref="D5" xr:uid="{B230F98C-55E1-43C9-853A-56B22A61FC7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808A-9DC3-4D34-89A4-73F44E1387B2}">
  <sheetPr codeName="Sheet21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C15" sqref="C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Dichlorobenzene</v>
      </c>
      <c r="C1" s="1"/>
      <c r="D1" s="6" t="str">
        <f ca="1">B1</f>
        <v>Dichlorobenzene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720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Ejqb2g4N/B7Aa+4Q6828tBoXWnaS+1FcHQ19T7Upn3UJ14wT9M0/bOVYYOKJm15cekRmaCc4pJPsUI4VN1gQLw==" saltValue="AfF4Yu0l9XtSMBmRdB35oQ==" spinCount="100000" sheet="1" objects="1" scenarios="1"/>
  <dataValidations count="6">
    <dataValidation type="list" allowBlank="1" showInputMessage="1" showErrorMessage="1" sqref="G15:X15" xr:uid="{0C04AC12-C044-4D89-9E7D-9E2CF04D0252}">
      <formula1>$G$15:$X$15</formula1>
    </dataValidation>
    <dataValidation showInputMessage="1" showErrorMessage="1" error="Units cannot edit." sqref="D3:D4" xr:uid="{08DC31BE-A628-4B31-81C8-391EC72593AB}"/>
    <dataValidation allowBlank="1" showInputMessage="1" showErrorMessage="1" error="Please enter a valid date in mm/dd/yyyy format." sqref="B8:D10" xr:uid="{90A14A99-150A-49DE-90C7-E3F5F1EB3ECE}"/>
    <dataValidation type="decimal" allowBlank="1" showInputMessage="1" showErrorMessage="1" error="Please enter a valid reading." sqref="D7" xr:uid="{C3036D31-F5B3-4680-B10F-CE199F4E716C}">
      <formula1>0</formula1>
      <formula2>9999999999</formula2>
    </dataValidation>
    <dataValidation type="date" allowBlank="1" showInputMessage="1" showErrorMessage="1" error="Please enter a valid date in mm/dd/yyyy format." sqref="B7:C7" xr:uid="{DB184DDC-BA25-40D0-904B-2A13B5A0B120}">
      <formula1>1</formula1>
      <formula2>73051</formula2>
    </dataValidation>
    <dataValidation type="textLength" allowBlank="1" showInputMessage="1" showErrorMessage="1" errorTitle="Data Source" error="It can only accept 40 characters." sqref="D5" xr:uid="{C84E511D-E2B6-4307-89ED-A15D5202B9B5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0967C-1F10-48C9-8CCF-EED1208EE08F}">
  <sheetPr codeName="Sheet22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B7" sqref="B7:D7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Xylenes-total</v>
      </c>
      <c r="C1" s="1"/>
      <c r="D1" s="6" t="str">
        <f ca="1">B1</f>
        <v>Xylenes-total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721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56" t="s">
        <v>712</v>
      </c>
      <c r="E3" s="1"/>
    </row>
    <row r="4" spans="1:24" ht="15.75" hidden="1" customHeight="1" x14ac:dyDescent="0.25">
      <c r="A4" s="6"/>
      <c r="B4" s="249"/>
      <c r="C4" s="242"/>
      <c r="D4" s="25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 
","(",D3,")")</f>
        <v>Period Reading 
(µg/m3)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</row>
    <row r="8" spans="1:24" x14ac:dyDescent="0.25">
      <c r="A8" s="6"/>
      <c r="B8" s="254"/>
      <c r="C8" s="254"/>
      <c r="D8" s="255"/>
      <c r="E8" s="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sheetProtection algorithmName="SHA-512" hashValue="sgINNoAsJmqBbOeb2ge/lCfh5BuVaO3Hkmu2isKUE5Ny7E0ls0Rthnf4phsUh7qJ+rvprzejH3gxSw7qsb1DGA==" saltValue="BYkHERr3mc4johQSwFIR7Q==" spinCount="100000" sheet="1" objects="1" scenarios="1"/>
  <dataValidations count="6">
    <dataValidation type="list" allowBlank="1" showInputMessage="1" showErrorMessage="1" sqref="G15:X15" xr:uid="{C74E3275-073C-4B67-A3B2-30E9920D3E3C}">
      <formula1>$G$15:$X$15</formula1>
    </dataValidation>
    <dataValidation showInputMessage="1" showErrorMessage="1" error="Units cannot edit." sqref="D3:D4" xr:uid="{03E6DF44-26F0-424E-BFF2-7B6D37B05FE5}"/>
    <dataValidation allowBlank="1" showInputMessage="1" showErrorMessage="1" error="Please enter a valid date in mm/dd/yyyy format." sqref="B8:D10" xr:uid="{005E9A6A-6C8A-424B-858E-AB27E38CBD7C}"/>
    <dataValidation type="decimal" allowBlank="1" showInputMessage="1" showErrorMessage="1" error="Please enter a valid reading." sqref="D7" xr:uid="{58C5AA91-7F86-4352-88BD-793E10150CD0}">
      <formula1>0</formula1>
      <formula2>9999999999</formula2>
    </dataValidation>
    <dataValidation type="date" allowBlank="1" showInputMessage="1" showErrorMessage="1" error="Please enter a valid date in mm/dd/yyyy format." sqref="B7:C7" xr:uid="{6931FEEB-F5E9-40E3-9570-0859E1198FCE}">
      <formula1>1</formula1>
      <formula2>73051</formula2>
    </dataValidation>
    <dataValidation type="textLength" allowBlank="1" showInputMessage="1" showErrorMessage="1" errorTitle="Data Source" error="It can only accept 40 characters." sqref="D5" xr:uid="{14F04501-B42A-46E2-978B-2324D7DF27E6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B5F0B-6880-4E2E-BD2C-757AD88B1316}">
  <sheetPr codeName="Sheet23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5" sqref="D15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5.140625" style="3" customWidth="1"/>
    <col min="5" max="5" width="5.7109375" style="3" customWidth="1"/>
    <col min="6" max="6" width="19.5703125" style="3" hidden="1" customWidth="1"/>
    <col min="7" max="7" width="10.42578125" style="3" hidden="1" customWidth="1"/>
    <col min="8" max="8" width="4.42578125" style="3" hidden="1" customWidth="1"/>
    <col min="9" max="9" width="11" style="3" hidden="1" customWidth="1"/>
    <col min="10" max="10" width="13.42578125" style="3" hidden="1" customWidth="1"/>
    <col min="11" max="11" width="15.42578125" style="3" hidden="1" customWidth="1"/>
    <col min="12" max="12" width="12.7109375" style="3" hidden="1" customWidth="1"/>
    <col min="13" max="14" width="19.7109375" style="3" hidden="1" customWidth="1"/>
    <col min="15" max="15" width="18.7109375" style="3" hidden="1" customWidth="1"/>
    <col min="16" max="16" width="21.28515625" style="3" hidden="1" customWidth="1"/>
    <col min="17" max="17" width="17.7109375" style="3" hidden="1" customWidth="1"/>
    <col min="18" max="18" width="21.140625" style="3" hidden="1" customWidth="1"/>
    <col min="19" max="19" width="17" style="3" hidden="1" customWidth="1"/>
    <col min="20" max="20" width="20.42578125" style="3" hidden="1" customWidth="1"/>
    <col min="21" max="21" width="19.7109375" style="3" hidden="1" customWidth="1"/>
    <col min="22" max="22" width="34.42578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603</v>
      </c>
      <c r="B1" s="6" t="str">
        <f ca="1">MID(CELL("filename",A1),FIND("]",CELL("filename",A1))+1,256)</f>
        <v>Formaldehyde</v>
      </c>
      <c r="C1" s="1"/>
      <c r="D1" s="6" t="str">
        <f ca="1">B1</f>
        <v>Formaldehyde</v>
      </c>
      <c r="E1" s="1"/>
    </row>
    <row r="2" spans="1:24" ht="15" customHeight="1" x14ac:dyDescent="0.25">
      <c r="A2" s="6" t="s">
        <v>603</v>
      </c>
      <c r="B2" s="247" t="s">
        <v>570</v>
      </c>
      <c r="C2" s="241"/>
      <c r="D2" s="248" t="s">
        <v>722</v>
      </c>
      <c r="E2" s="1"/>
    </row>
    <row r="3" spans="1:24" ht="15.75" customHeight="1" x14ac:dyDescent="0.25">
      <c r="A3" s="6" t="s">
        <v>603</v>
      </c>
      <c r="B3" s="249" t="s">
        <v>571</v>
      </c>
      <c r="C3" s="242"/>
      <c r="D3" s="236" t="s">
        <v>723</v>
      </c>
      <c r="E3" s="1"/>
    </row>
    <row r="4" spans="1:24" ht="15.75" hidden="1" customHeight="1" x14ac:dyDescent="0.25">
      <c r="A4" s="6"/>
      <c r="B4" s="249"/>
      <c r="C4" s="242"/>
      <c r="D4" s="236"/>
      <c r="E4" s="1"/>
    </row>
    <row r="5" spans="1:24" ht="15" customHeight="1" x14ac:dyDescent="0.25">
      <c r="A5" s="6" t="s">
        <v>603</v>
      </c>
      <c r="B5" s="250" t="s">
        <v>701</v>
      </c>
      <c r="C5" s="251"/>
      <c r="D5" s="234"/>
      <c r="E5" s="1"/>
    </row>
    <row r="6" spans="1:24" ht="24" customHeight="1" x14ac:dyDescent="0.25">
      <c r="A6" s="6">
        <v>10</v>
      </c>
      <c r="B6" s="252" t="s">
        <v>549</v>
      </c>
      <c r="C6" s="252" t="s">
        <v>550</v>
      </c>
      <c r="D6" s="253" t="str">
        <f t="array" ref="D6">CONCATENATE("Period Reading
","(",D3,")")</f>
        <v>Period Reading
(µg/m3 )</v>
      </c>
      <c r="E6" s="1"/>
    </row>
    <row r="7" spans="1:24" x14ac:dyDescent="0.25">
      <c r="A7" s="6"/>
      <c r="B7" s="48">
        <v>43435</v>
      </c>
      <c r="C7" s="48">
        <v>43496</v>
      </c>
      <c r="D7" s="31">
        <v>111</v>
      </c>
      <c r="E7" s="1"/>
      <c r="H7" s="3" t="s">
        <v>712</v>
      </c>
    </row>
    <row r="8" spans="1:24" x14ac:dyDescent="0.25">
      <c r="A8" s="6"/>
      <c r="B8" s="254"/>
      <c r="C8" s="257"/>
      <c r="D8" s="255"/>
      <c r="E8" s="1"/>
      <c r="H8" s="3" t="s">
        <v>724</v>
      </c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551</v>
      </c>
      <c r="B10" s="34"/>
      <c r="C10" s="34"/>
      <c r="D10" s="34"/>
      <c r="E10" s="1"/>
      <c r="V10" s="3" t="s">
        <v>564</v>
      </c>
    </row>
    <row r="15" spans="1:24" ht="24.75" customHeight="1" x14ac:dyDescent="0.25">
      <c r="L15" s="22"/>
      <c r="M15" s="22"/>
      <c r="N15" s="22"/>
      <c r="O15" s="22"/>
      <c r="P15" s="22"/>
      <c r="U15" s="22"/>
      <c r="V15" s="22"/>
      <c r="W15" s="22"/>
      <c r="X15" s="22"/>
    </row>
    <row r="19" spans="7:22" x14ac:dyDescent="0.25">
      <c r="G19" s="3" t="s">
        <v>518</v>
      </c>
      <c r="H19" s="3" t="s">
        <v>535</v>
      </c>
      <c r="I19" s="3" t="s">
        <v>542</v>
      </c>
      <c r="J19" s="3" t="s">
        <v>543</v>
      </c>
      <c r="K19" s="3" t="s">
        <v>531</v>
      </c>
      <c r="L19" s="3" t="s">
        <v>557</v>
      </c>
      <c r="M19" s="3" t="s">
        <v>555</v>
      </c>
      <c r="N19" s="3" t="s">
        <v>529</v>
      </c>
      <c r="O19" s="3" t="s">
        <v>566</v>
      </c>
      <c r="P19" s="3" t="s">
        <v>530</v>
      </c>
      <c r="Q19" s="3" t="s">
        <v>533</v>
      </c>
      <c r="R19" s="3" t="s">
        <v>552</v>
      </c>
      <c r="S19" s="3" t="s">
        <v>553</v>
      </c>
      <c r="T19" s="3" t="s">
        <v>527</v>
      </c>
      <c r="U19" s="3" t="s">
        <v>532</v>
      </c>
      <c r="V19" s="3" t="s">
        <v>547</v>
      </c>
    </row>
    <row r="20" spans="7:22" x14ac:dyDescent="0.25">
      <c r="G20" s="3" t="s">
        <v>520</v>
      </c>
      <c r="H20" s="3" t="s">
        <v>535</v>
      </c>
      <c r="I20" s="3" t="s">
        <v>542</v>
      </c>
      <c r="J20" s="3" t="s">
        <v>543</v>
      </c>
      <c r="K20" s="3" t="s">
        <v>531</v>
      </c>
      <c r="L20" s="3" t="s">
        <v>557</v>
      </c>
      <c r="M20" s="3" t="s">
        <v>555</v>
      </c>
      <c r="N20" s="3" t="s">
        <v>545</v>
      </c>
      <c r="O20" s="3" t="s">
        <v>704</v>
      </c>
      <c r="P20" s="5"/>
      <c r="Q20" s="5"/>
      <c r="R20" s="5"/>
      <c r="S20" s="5"/>
      <c r="T20" s="5"/>
      <c r="U20" s="5"/>
      <c r="V20" s="5"/>
    </row>
    <row r="21" spans="7:22" x14ac:dyDescent="0.25">
      <c r="G21" s="3" t="s">
        <v>519</v>
      </c>
      <c r="H21" s="3" t="s">
        <v>535</v>
      </c>
      <c r="I21" s="3" t="s">
        <v>542</v>
      </c>
      <c r="J21" s="3" t="s">
        <v>543</v>
      </c>
      <c r="K21" s="3" t="s">
        <v>531</v>
      </c>
      <c r="L21" s="3" t="s">
        <v>557</v>
      </c>
      <c r="M21" s="3" t="s">
        <v>555</v>
      </c>
      <c r="N21" s="3" t="s">
        <v>529</v>
      </c>
      <c r="O21" s="3" t="s">
        <v>566</v>
      </c>
      <c r="P21" s="3" t="s">
        <v>530</v>
      </c>
      <c r="Q21" s="3" t="s">
        <v>533</v>
      </c>
      <c r="R21" s="3" t="s">
        <v>552</v>
      </c>
      <c r="S21" s="3" t="s">
        <v>553</v>
      </c>
      <c r="T21" s="3" t="s">
        <v>527</v>
      </c>
      <c r="U21" s="3" t="s">
        <v>532</v>
      </c>
      <c r="V21" s="3" t="s">
        <v>547</v>
      </c>
    </row>
    <row r="22" spans="7:22" x14ac:dyDescent="0.25">
      <c r="G22" s="3" t="s">
        <v>517</v>
      </c>
      <c r="H22" s="3" t="s">
        <v>535</v>
      </c>
      <c r="I22" s="3" t="s">
        <v>542</v>
      </c>
      <c r="J22" s="3" t="s">
        <v>543</v>
      </c>
      <c r="K22" s="3" t="s">
        <v>531</v>
      </c>
      <c r="L22" s="3" t="s">
        <v>557</v>
      </c>
      <c r="M22" s="3" t="s">
        <v>555</v>
      </c>
      <c r="N22" s="3" t="s">
        <v>529</v>
      </c>
      <c r="O22" s="3" t="s">
        <v>566</v>
      </c>
      <c r="P22" s="3" t="s">
        <v>530</v>
      </c>
      <c r="Q22" s="3" t="s">
        <v>533</v>
      </c>
      <c r="R22" s="3" t="s">
        <v>552</v>
      </c>
      <c r="S22" s="3" t="s">
        <v>553</v>
      </c>
      <c r="T22" s="3" t="s">
        <v>527</v>
      </c>
      <c r="U22" s="3" t="s">
        <v>532</v>
      </c>
      <c r="V22" s="3" t="s">
        <v>547</v>
      </c>
    </row>
    <row r="23" spans="7:22" x14ac:dyDescent="0.25">
      <c r="G23" s="3" t="s">
        <v>516</v>
      </c>
      <c r="H23" s="3" t="s">
        <v>535</v>
      </c>
      <c r="I23" s="3" t="s">
        <v>542</v>
      </c>
      <c r="J23" s="3" t="s">
        <v>543</v>
      </c>
      <c r="K23" s="3" t="s">
        <v>531</v>
      </c>
      <c r="L23" s="3" t="s">
        <v>557</v>
      </c>
      <c r="M23" s="3" t="s">
        <v>555</v>
      </c>
      <c r="N23" s="3" t="s">
        <v>529</v>
      </c>
      <c r="O23" s="3" t="s">
        <v>566</v>
      </c>
      <c r="P23" s="3" t="s">
        <v>530</v>
      </c>
      <c r="Q23" s="3" t="s">
        <v>533</v>
      </c>
      <c r="R23" s="3" t="s">
        <v>552</v>
      </c>
      <c r="S23" s="3" t="s">
        <v>553</v>
      </c>
      <c r="T23" s="3" t="s">
        <v>527</v>
      </c>
      <c r="U23" s="3" t="s">
        <v>532</v>
      </c>
      <c r="V23" s="3" t="s">
        <v>547</v>
      </c>
    </row>
    <row r="24" spans="7:22" x14ac:dyDescent="0.25">
      <c r="G24" s="3" t="s">
        <v>512</v>
      </c>
      <c r="H24" s="3" t="s">
        <v>535</v>
      </c>
      <c r="I24" s="3" t="s">
        <v>542</v>
      </c>
      <c r="J24" s="3" t="s">
        <v>543</v>
      </c>
      <c r="K24" s="3" t="s">
        <v>531</v>
      </c>
      <c r="L24" s="3" t="s">
        <v>557</v>
      </c>
      <c r="M24" s="3" t="s">
        <v>555</v>
      </c>
      <c r="N24" s="3" t="s">
        <v>529</v>
      </c>
      <c r="O24" s="3" t="s">
        <v>566</v>
      </c>
      <c r="P24" s="3" t="s">
        <v>530</v>
      </c>
      <c r="Q24" s="3" t="s">
        <v>533</v>
      </c>
      <c r="R24" s="3" t="s">
        <v>552</v>
      </c>
      <c r="S24" s="3" t="s">
        <v>553</v>
      </c>
      <c r="T24" s="3" t="s">
        <v>527</v>
      </c>
      <c r="U24" s="3" t="s">
        <v>532</v>
      </c>
      <c r="V24" s="3" t="s">
        <v>547</v>
      </c>
    </row>
    <row r="25" spans="7:22" x14ac:dyDescent="0.25">
      <c r="G25" s="3" t="s">
        <v>513</v>
      </c>
      <c r="H25" s="3" t="s">
        <v>535</v>
      </c>
      <c r="I25" s="3" t="s">
        <v>542</v>
      </c>
      <c r="J25" s="3" t="s">
        <v>543</v>
      </c>
      <c r="K25" s="3" t="s">
        <v>531</v>
      </c>
      <c r="L25" s="3" t="s">
        <v>557</v>
      </c>
      <c r="M25" s="3" t="s">
        <v>555</v>
      </c>
      <c r="N25" s="3" t="s">
        <v>529</v>
      </c>
      <c r="O25" s="3" t="s">
        <v>566</v>
      </c>
      <c r="P25" s="3" t="s">
        <v>530</v>
      </c>
      <c r="Q25" s="3" t="s">
        <v>533</v>
      </c>
      <c r="R25" s="3" t="s">
        <v>552</v>
      </c>
      <c r="S25" s="3" t="s">
        <v>553</v>
      </c>
      <c r="T25" s="3" t="s">
        <v>527</v>
      </c>
      <c r="U25" s="3" t="s">
        <v>532</v>
      </c>
      <c r="V25" s="3" t="s">
        <v>547</v>
      </c>
    </row>
    <row r="26" spans="7:22" x14ac:dyDescent="0.25">
      <c r="G26" s="3" t="s">
        <v>514</v>
      </c>
      <c r="H26" s="3" t="s">
        <v>535</v>
      </c>
      <c r="I26" s="3" t="s">
        <v>542</v>
      </c>
      <c r="J26" s="3" t="s">
        <v>543</v>
      </c>
      <c r="K26" s="3" t="s">
        <v>531</v>
      </c>
      <c r="L26" s="3" t="s">
        <v>557</v>
      </c>
      <c r="M26" s="3" t="s">
        <v>555</v>
      </c>
      <c r="N26" s="3" t="s">
        <v>529</v>
      </c>
      <c r="O26" s="3" t="s">
        <v>566</v>
      </c>
      <c r="P26" s="3" t="s">
        <v>530</v>
      </c>
      <c r="Q26" s="3" t="s">
        <v>533</v>
      </c>
      <c r="R26" s="3" t="s">
        <v>552</v>
      </c>
      <c r="S26" s="3" t="s">
        <v>553</v>
      </c>
      <c r="T26" s="3" t="s">
        <v>527</v>
      </c>
      <c r="U26" s="3" t="s">
        <v>532</v>
      </c>
      <c r="V26" s="3" t="s">
        <v>547</v>
      </c>
    </row>
    <row r="27" spans="7:22" x14ac:dyDescent="0.25">
      <c r="G27" s="3" t="s">
        <v>578</v>
      </c>
      <c r="H27" s="3" t="s">
        <v>535</v>
      </c>
      <c r="I27" s="3" t="s">
        <v>542</v>
      </c>
      <c r="J27" s="3" t="s">
        <v>543</v>
      </c>
      <c r="K27" s="3" t="s">
        <v>531</v>
      </c>
      <c r="L27" s="3" t="s">
        <v>557</v>
      </c>
      <c r="M27" s="3" t="s">
        <v>555</v>
      </c>
      <c r="N27" s="3" t="s">
        <v>529</v>
      </c>
      <c r="O27" s="3" t="s">
        <v>566</v>
      </c>
      <c r="P27" s="3" t="s">
        <v>530</v>
      </c>
      <c r="Q27" s="3" t="s">
        <v>533</v>
      </c>
      <c r="R27" s="3" t="s">
        <v>552</v>
      </c>
      <c r="S27" s="3" t="s">
        <v>553</v>
      </c>
      <c r="T27" s="3" t="s">
        <v>527</v>
      </c>
      <c r="U27" s="3" t="s">
        <v>532</v>
      </c>
      <c r="V27" s="3" t="s">
        <v>547</v>
      </c>
    </row>
    <row r="28" spans="7:22" x14ac:dyDescent="0.25">
      <c r="G28" s="3" t="s">
        <v>499</v>
      </c>
      <c r="H28" s="3" t="s">
        <v>535</v>
      </c>
      <c r="I28" s="3" t="s">
        <v>542</v>
      </c>
      <c r="J28" s="3" t="s">
        <v>543</v>
      </c>
      <c r="K28" s="3" t="s">
        <v>531</v>
      </c>
      <c r="L28" s="3" t="s">
        <v>557</v>
      </c>
      <c r="M28" s="3" t="s">
        <v>555</v>
      </c>
      <c r="N28" s="3" t="s">
        <v>545</v>
      </c>
      <c r="O28" s="3" t="s">
        <v>558</v>
      </c>
      <c r="P28" s="3" t="s">
        <v>581</v>
      </c>
      <c r="Q28" s="3" t="s">
        <v>559</v>
      </c>
      <c r="R28" s="3" t="s">
        <v>705</v>
      </c>
      <c r="S28" s="5"/>
      <c r="T28" s="5"/>
      <c r="U28" s="5"/>
      <c r="V28" s="5"/>
    </row>
    <row r="29" spans="7:22" x14ac:dyDescent="0.25">
      <c r="G29" s="3" t="s">
        <v>500</v>
      </c>
      <c r="H29" s="3" t="s">
        <v>535</v>
      </c>
      <c r="I29" s="3" t="s">
        <v>542</v>
      </c>
      <c r="J29" s="3" t="s">
        <v>543</v>
      </c>
      <c r="K29" s="3" t="s">
        <v>531</v>
      </c>
      <c r="L29" s="3" t="s">
        <v>557</v>
      </c>
      <c r="M29" s="3" t="s">
        <v>555</v>
      </c>
      <c r="N29" s="3" t="s">
        <v>545</v>
      </c>
      <c r="O29" s="3" t="s">
        <v>558</v>
      </c>
      <c r="P29" s="3" t="s">
        <v>581</v>
      </c>
      <c r="Q29" s="3" t="s">
        <v>559</v>
      </c>
      <c r="R29" s="3" t="s">
        <v>705</v>
      </c>
      <c r="S29" s="5"/>
      <c r="T29" s="5"/>
      <c r="U29" s="5"/>
      <c r="V29" s="5"/>
    </row>
    <row r="30" spans="7:22" x14ac:dyDescent="0.25">
      <c r="G30" s="3" t="s">
        <v>501</v>
      </c>
      <c r="H30" s="3" t="s">
        <v>535</v>
      </c>
      <c r="I30" s="3" t="s">
        <v>542</v>
      </c>
      <c r="J30" s="3" t="s">
        <v>543</v>
      </c>
      <c r="K30" s="3" t="s">
        <v>531</v>
      </c>
      <c r="L30" s="3" t="s">
        <v>557</v>
      </c>
      <c r="M30" s="3" t="s">
        <v>555</v>
      </c>
      <c r="N30" s="3" t="s">
        <v>545</v>
      </c>
      <c r="O30" s="3" t="s">
        <v>558</v>
      </c>
      <c r="P30" s="3" t="s">
        <v>581</v>
      </c>
      <c r="Q30" s="3" t="s">
        <v>559</v>
      </c>
      <c r="R30" s="3" t="s">
        <v>705</v>
      </c>
      <c r="S30" s="5"/>
      <c r="T30" s="5"/>
      <c r="U30" s="5"/>
      <c r="V30" s="5"/>
    </row>
    <row r="31" spans="7:22" x14ac:dyDescent="0.25">
      <c r="G31" s="3" t="s">
        <v>502</v>
      </c>
      <c r="H31" s="3" t="s">
        <v>535</v>
      </c>
      <c r="I31" s="3" t="s">
        <v>542</v>
      </c>
      <c r="J31" s="3" t="s">
        <v>543</v>
      </c>
      <c r="K31" s="3" t="s">
        <v>531</v>
      </c>
      <c r="L31" s="3" t="s">
        <v>557</v>
      </c>
      <c r="M31" s="3" t="s">
        <v>555</v>
      </c>
      <c r="N31" s="3" t="s">
        <v>529</v>
      </c>
      <c r="O31" s="3" t="s">
        <v>566</v>
      </c>
      <c r="P31" s="3" t="s">
        <v>530</v>
      </c>
      <c r="Q31" s="3" t="s">
        <v>533</v>
      </c>
      <c r="R31" s="3" t="s">
        <v>552</v>
      </c>
      <c r="S31" s="3" t="s">
        <v>553</v>
      </c>
      <c r="T31" s="3" t="s">
        <v>527</v>
      </c>
      <c r="U31" s="3" t="s">
        <v>532</v>
      </c>
      <c r="V31" s="3" t="s">
        <v>547</v>
      </c>
    </row>
    <row r="32" spans="7:22" x14ac:dyDescent="0.25">
      <c r="G32" s="3" t="s">
        <v>508</v>
      </c>
      <c r="H32" s="3" t="s">
        <v>535</v>
      </c>
      <c r="I32" s="3" t="s">
        <v>542</v>
      </c>
      <c r="J32" s="3" t="s">
        <v>543</v>
      </c>
      <c r="K32" s="3" t="s">
        <v>531</v>
      </c>
      <c r="L32" s="3" t="s">
        <v>557</v>
      </c>
      <c r="M32" s="3" t="s">
        <v>555</v>
      </c>
      <c r="N32" s="3" t="s">
        <v>558</v>
      </c>
      <c r="O32" s="3" t="s">
        <v>581</v>
      </c>
      <c r="P32" s="3" t="s">
        <v>559</v>
      </c>
      <c r="Q32" s="3" t="s">
        <v>560</v>
      </c>
      <c r="R32" s="5"/>
      <c r="S32" s="5"/>
      <c r="T32" s="5"/>
      <c r="U32" s="5"/>
      <c r="V32" s="5"/>
    </row>
    <row r="33" spans="7:22" x14ac:dyDescent="0.25">
      <c r="G33" s="3" t="s">
        <v>507</v>
      </c>
      <c r="H33" s="3" t="s">
        <v>535</v>
      </c>
      <c r="I33" s="3" t="s">
        <v>542</v>
      </c>
      <c r="J33" s="3" t="s">
        <v>543</v>
      </c>
      <c r="K33" s="3" t="s">
        <v>531</v>
      </c>
      <c r="L33" s="3" t="s">
        <v>557</v>
      </c>
      <c r="M33" s="3" t="s">
        <v>703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3" t="s">
        <v>579</v>
      </c>
      <c r="H34" s="3" t="s">
        <v>535</v>
      </c>
      <c r="I34" s="3" t="s">
        <v>542</v>
      </c>
      <c r="J34" s="3" t="s">
        <v>543</v>
      </c>
      <c r="K34" s="3" t="s">
        <v>531</v>
      </c>
      <c r="L34" s="3" t="s">
        <v>557</v>
      </c>
      <c r="M34" s="3" t="s">
        <v>703</v>
      </c>
      <c r="N34" s="3" t="s">
        <v>544</v>
      </c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3" t="s">
        <v>556</v>
      </c>
      <c r="H35" s="3" t="s">
        <v>535</v>
      </c>
      <c r="I35" s="3" t="s">
        <v>542</v>
      </c>
      <c r="J35" s="3" t="s">
        <v>543</v>
      </c>
      <c r="K35" s="3" t="s">
        <v>531</v>
      </c>
      <c r="L35" s="3" t="s">
        <v>557</v>
      </c>
      <c r="M35" s="3" t="s">
        <v>703</v>
      </c>
      <c r="N35" s="3" t="s">
        <v>544</v>
      </c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3" t="s">
        <v>580</v>
      </c>
      <c r="H36" s="3" t="s">
        <v>535</v>
      </c>
      <c r="I36" s="3" t="s">
        <v>542</v>
      </c>
      <c r="J36" s="3" t="s">
        <v>543</v>
      </c>
      <c r="K36" s="3" t="s">
        <v>531</v>
      </c>
      <c r="L36" s="3" t="s">
        <v>557</v>
      </c>
      <c r="M36" s="3" t="s">
        <v>703</v>
      </c>
      <c r="N36" s="3" t="s">
        <v>544</v>
      </c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6">
    <dataValidation type="list" showInputMessage="1" showErrorMessage="1" error="Units cannot edit." sqref="D3:D4" xr:uid="{CA6CDC83-868D-433A-9A31-51B1E76903C3}">
      <formula1>$H$7:$H$8</formula1>
    </dataValidation>
    <dataValidation type="decimal" allowBlank="1" showInputMessage="1" showErrorMessage="1" error="Please enter a valid reading." sqref="D7" xr:uid="{4843FBCE-C5EE-431A-96D6-5341396457CB}">
      <formula1>0</formula1>
      <formula2>9999999999</formula2>
    </dataValidation>
    <dataValidation type="date" allowBlank="1" showInputMessage="1" showErrorMessage="1" error="Please enter a valid date in mm/dd/yyyy format." sqref="B7:C7" xr:uid="{116CE79F-B16D-41BB-B07A-063EF88B3925}">
      <formula1>1</formula1>
      <formula2>73051</formula2>
    </dataValidation>
    <dataValidation type="list" allowBlank="1" showInputMessage="1" showErrorMessage="1" sqref="G15:X15" xr:uid="{8342B6D1-2185-4ED9-9907-A5B5D1CC09E4}">
      <formula1>$G$15:$X$15</formula1>
    </dataValidation>
    <dataValidation allowBlank="1" showInputMessage="1" showErrorMessage="1" error="Please enter a valid date in mm/dd/yyyy format." sqref="B8:D10" xr:uid="{682CD4A8-628D-438E-B834-3CFEC127CBFE}"/>
    <dataValidation type="textLength" allowBlank="1" showInputMessage="1" showErrorMessage="1" errorTitle="Data Source" error="It can only accept 40 characters." sqref="D5" xr:uid="{7AB8FBD6-9E8A-45B8-B52A-443163F8E48E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9EEF-56F7-4308-B4A4-93879419BBE2}">
  <sheetPr codeName="Sheet12"/>
  <dimension ref="A1:K45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27" sqref="D27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6.7109375" style="3" customWidth="1"/>
    <col min="5" max="5" width="3.7109375" style="3" customWidth="1"/>
    <col min="6" max="11" width="9.140625" style="3" hidden="1" customWidth="1"/>
    <col min="12" max="16384" width="9.140625" style="3"/>
  </cols>
  <sheetData>
    <row r="1" spans="1:5" ht="15" customHeight="1" x14ac:dyDescent="0.25">
      <c r="A1" s="6" t="s">
        <v>603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733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694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531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" customHeight="1" x14ac:dyDescent="0.25">
      <c r="A6" s="6">
        <v>34</v>
      </c>
      <c r="B6" s="237" t="s">
        <v>549</v>
      </c>
      <c r="C6" s="237" t="s">
        <v>550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8">
        <v>43983</v>
      </c>
      <c r="C7" s="48">
        <v>44012</v>
      </c>
      <c r="D7" s="30">
        <v>770</v>
      </c>
      <c r="E7" s="1"/>
    </row>
    <row r="8" spans="1:5" x14ac:dyDescent="0.25">
      <c r="A8" s="7"/>
      <c r="B8" s="48">
        <v>43952</v>
      </c>
      <c r="C8" s="48">
        <v>43982</v>
      </c>
      <c r="D8" s="30">
        <v>500</v>
      </c>
      <c r="E8" s="1"/>
    </row>
    <row r="9" spans="1:5" x14ac:dyDescent="0.25">
      <c r="A9" s="7"/>
      <c r="B9" s="48">
        <v>43922</v>
      </c>
      <c r="C9" s="48">
        <v>43951</v>
      </c>
      <c r="D9" s="30">
        <v>400</v>
      </c>
      <c r="E9" s="1"/>
    </row>
    <row r="10" spans="1:5" x14ac:dyDescent="0.25">
      <c r="A10" s="7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7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7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7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7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7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7"/>
      <c r="B16" s="48">
        <v>43709</v>
      </c>
      <c r="C16" s="48">
        <v>43738</v>
      </c>
      <c r="D16" s="30">
        <v>1050</v>
      </c>
      <c r="E16" s="1"/>
    </row>
    <row r="17" spans="1:10" x14ac:dyDescent="0.25">
      <c r="A17" s="7"/>
      <c r="B17" s="48">
        <v>43678</v>
      </c>
      <c r="C17" s="48">
        <v>43708</v>
      </c>
      <c r="D17" s="30">
        <v>900</v>
      </c>
      <c r="E17" s="1"/>
    </row>
    <row r="18" spans="1:10" x14ac:dyDescent="0.25">
      <c r="A18" s="7"/>
      <c r="B18" s="48">
        <v>43647</v>
      </c>
      <c r="C18" s="48">
        <v>43677</v>
      </c>
      <c r="D18" s="30">
        <v>2323</v>
      </c>
      <c r="E18" s="1"/>
    </row>
    <row r="19" spans="1:10" x14ac:dyDescent="0.25">
      <c r="A19" s="7"/>
      <c r="B19" s="48">
        <v>43617</v>
      </c>
      <c r="C19" s="48">
        <v>43646</v>
      </c>
      <c r="D19" s="30">
        <v>2222</v>
      </c>
      <c r="E19" s="1"/>
    </row>
    <row r="20" spans="1:10" x14ac:dyDescent="0.25">
      <c r="A20" s="7"/>
      <c r="B20" s="48">
        <v>43586</v>
      </c>
      <c r="C20" s="48">
        <v>43616</v>
      </c>
      <c r="D20" s="30">
        <v>500</v>
      </c>
      <c r="E20" s="1"/>
    </row>
    <row r="21" spans="1:10" x14ac:dyDescent="0.25">
      <c r="A21" s="7"/>
      <c r="B21" s="48">
        <v>43556</v>
      </c>
      <c r="C21" s="48">
        <v>43585</v>
      </c>
      <c r="D21" s="30">
        <v>400</v>
      </c>
      <c r="E21" s="1"/>
    </row>
    <row r="22" spans="1:10" x14ac:dyDescent="0.25">
      <c r="A22" s="7"/>
      <c r="B22" s="48">
        <v>43525</v>
      </c>
      <c r="C22" s="48">
        <v>43555</v>
      </c>
      <c r="D22" s="30">
        <v>6782</v>
      </c>
      <c r="E22" s="1"/>
    </row>
    <row r="23" spans="1:10" x14ac:dyDescent="0.25">
      <c r="A23" s="7"/>
      <c r="B23" s="48">
        <v>43497</v>
      </c>
      <c r="C23" s="48">
        <v>43524</v>
      </c>
      <c r="D23" s="30">
        <v>7655</v>
      </c>
      <c r="E23" s="1"/>
    </row>
    <row r="24" spans="1:10" x14ac:dyDescent="0.25">
      <c r="A24" s="7"/>
      <c r="B24" s="48">
        <v>43466</v>
      </c>
      <c r="C24" s="48">
        <v>43496</v>
      </c>
      <c r="D24" s="30">
        <v>987</v>
      </c>
      <c r="E24" s="1"/>
    </row>
    <row r="25" spans="1:10" x14ac:dyDescent="0.25">
      <c r="A25" s="7"/>
      <c r="B25" s="48">
        <v>43435</v>
      </c>
      <c r="C25" s="48">
        <v>43465</v>
      </c>
      <c r="D25" s="30">
        <v>1800</v>
      </c>
      <c r="E25" s="1"/>
    </row>
    <row r="26" spans="1:10" x14ac:dyDescent="0.25">
      <c r="A26" s="7"/>
      <c r="B26" s="48">
        <v>43405</v>
      </c>
      <c r="C26" s="48">
        <v>43434</v>
      </c>
      <c r="D26" s="30">
        <v>1545</v>
      </c>
      <c r="E26" s="1"/>
    </row>
    <row r="27" spans="1:10" x14ac:dyDescent="0.25">
      <c r="A27" s="7"/>
      <c r="B27" s="48">
        <v>43374</v>
      </c>
      <c r="C27" s="48">
        <v>43404</v>
      </c>
      <c r="D27" s="30">
        <v>1777</v>
      </c>
      <c r="E27" s="1"/>
    </row>
    <row r="28" spans="1:10" x14ac:dyDescent="0.25">
      <c r="A28" s="7"/>
      <c r="B28" s="48">
        <v>43344</v>
      </c>
      <c r="C28" s="48">
        <v>43373</v>
      </c>
      <c r="D28" s="30">
        <v>1050</v>
      </c>
      <c r="E28" s="1"/>
    </row>
    <row r="29" spans="1:10" x14ac:dyDescent="0.25">
      <c r="A29" s="7"/>
      <c r="B29" s="48">
        <v>43313</v>
      </c>
      <c r="C29" s="48">
        <v>43343</v>
      </c>
      <c r="D29" s="30">
        <v>900</v>
      </c>
      <c r="E29" s="1"/>
    </row>
    <row r="30" spans="1:10" x14ac:dyDescent="0.25">
      <c r="A30" s="7"/>
      <c r="B30" s="48">
        <v>43282</v>
      </c>
      <c r="C30" s="48">
        <v>43312</v>
      </c>
      <c r="D30" s="30">
        <v>2323</v>
      </c>
      <c r="E30" s="1"/>
    </row>
    <row r="31" spans="1:10" x14ac:dyDescent="0.25">
      <c r="A31" s="7"/>
      <c r="B31" s="48">
        <v>43252</v>
      </c>
      <c r="C31" s="48">
        <v>43281</v>
      </c>
      <c r="D31" s="30">
        <v>2222</v>
      </c>
      <c r="E31" s="1"/>
    </row>
    <row r="32" spans="1:10" ht="12.75" customHeight="1" x14ac:dyDescent="0.25">
      <c r="A32" s="28"/>
      <c r="B32" s="33"/>
      <c r="C32" s="33"/>
      <c r="D32" s="36"/>
      <c r="E32" s="1"/>
      <c r="J32" s="3" t="s">
        <v>554</v>
      </c>
    </row>
    <row r="33" spans="1:10" ht="13.5" hidden="1" customHeight="1" x14ac:dyDescent="0.25">
      <c r="A33" s="6"/>
      <c r="B33" s="34"/>
      <c r="C33" s="34"/>
      <c r="D33" s="34"/>
      <c r="E33" s="1"/>
      <c r="J33" s="5" t="s">
        <v>694</v>
      </c>
    </row>
    <row r="34" spans="1:10" ht="25.5" customHeight="1" x14ac:dyDescent="0.25">
      <c r="A34" s="6" t="s">
        <v>551</v>
      </c>
      <c r="B34" s="34"/>
      <c r="C34" s="34"/>
      <c r="D34" s="34"/>
      <c r="E34" s="1"/>
      <c r="J34" s="3" t="s">
        <v>702</v>
      </c>
    </row>
    <row r="39" spans="1:10" x14ac:dyDescent="0.25">
      <c r="G39" s="3" t="s">
        <v>535</v>
      </c>
    </row>
    <row r="40" spans="1:10" x14ac:dyDescent="0.25">
      <c r="G40" s="3" t="s">
        <v>542</v>
      </c>
    </row>
    <row r="41" spans="1:10" x14ac:dyDescent="0.25">
      <c r="G41" s="3" t="s">
        <v>557</v>
      </c>
    </row>
    <row r="42" spans="1:10" x14ac:dyDescent="0.25">
      <c r="G42" s="3" t="s">
        <v>531</v>
      </c>
    </row>
    <row r="43" spans="1:10" x14ac:dyDescent="0.25">
      <c r="G43" s="3" t="s">
        <v>555</v>
      </c>
    </row>
    <row r="45" spans="1:10" x14ac:dyDescent="0.25">
      <c r="G45" s="3" t="s">
        <v>554</v>
      </c>
    </row>
  </sheetData>
  <sheetProtection algorithmName="SHA-512" hashValue="hvpZqyhw9z3hjqd5UP3caDuguyAJ4vgR2nsSO0NPAYpm1QMJw1PPU57n17qg86kBSyd3AksVStZmUcMDM4VZbg==" saltValue="GX1Wty9mD7YCPsjOS44BJg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0E546C1C-A9FB-4B99-8662-92E8B0E30D67}">
      <formula1>0</formula1>
      <formula2>40</formula2>
    </dataValidation>
    <dataValidation type="decimal" allowBlank="1" showInputMessage="1" showErrorMessage="1" error="Please enter a valid reading." sqref="D7:D31" xr:uid="{6830D6D2-30CE-402F-88C0-84207A5608DD}">
      <formula1>0</formula1>
      <formula2>9999999999</formula2>
    </dataValidation>
    <dataValidation type="date" allowBlank="1" showInputMessage="1" showErrorMessage="1" error="Please enter a valid date in mm/dd/yyyy format." sqref="B7:C31" xr:uid="{F83A18CC-6415-40E5-B65A-7C32C68680A4}">
      <formula1>1</formula1>
      <formula2>73415</formula2>
    </dataValidation>
    <dataValidation allowBlank="1" showInputMessage="1" showErrorMessage="1" error="Please enter a valid date in mm/dd/yyyy format." sqref="B32:D34" xr:uid="{314B5024-8E36-4EE8-9DA8-45F04A32A393}"/>
    <dataValidation type="list" allowBlank="1" showInputMessage="1" showErrorMessage="1" sqref="D3" xr:uid="{00B681AF-67C2-4E09-8C55-AD55175657AD}">
      <formula1>ElectricityDrp</formula1>
    </dataValidation>
    <dataValidation type="list" allowBlank="1" showInputMessage="1" showErrorMessage="1" error="Units cannot edit." sqref="D4" xr:uid="{F6C84130-D728-4EF2-8C31-EC5286BE6F49}">
      <formula1>elecName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33</xdr:row>
                    <xdr:rowOff>9525</xdr:rowOff>
                  </from>
                  <to>
                    <xdr:col>2</xdr:col>
                    <xdr:colOff>0</xdr:colOff>
                    <xdr:row>33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33</xdr:row>
                    <xdr:rowOff>9525</xdr:rowOff>
                  </from>
                  <to>
                    <xdr:col>2</xdr:col>
                    <xdr:colOff>1304925</xdr:colOff>
                    <xdr:row>33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8E8E-F101-46A0-9DC9-79A6A1D9BE6A}">
  <sheetPr codeName="Sheet24"/>
  <dimension ref="A1:I63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L31" sqref="L31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1.140625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603</v>
      </c>
      <c r="B1" s="6" t="str">
        <f ca="1">MID(CELL("filename",A1),FIND("]",CELL("filename",A1))+1,256)</f>
        <v>Water meter via upload</v>
      </c>
      <c r="C1" s="1"/>
      <c r="D1" s="243" t="str">
        <f ca="1">B1</f>
        <v>Water meter via upload</v>
      </c>
      <c r="E1" s="1"/>
    </row>
    <row r="2" spans="1:5" x14ac:dyDescent="0.25">
      <c r="A2" s="6" t="s">
        <v>603</v>
      </c>
      <c r="B2" s="259" t="s">
        <v>570</v>
      </c>
      <c r="C2" s="241"/>
      <c r="D2" s="234" t="s">
        <v>734</v>
      </c>
      <c r="E2" s="1"/>
    </row>
    <row r="3" spans="1:5" x14ac:dyDescent="0.25">
      <c r="A3" s="6" t="s">
        <v>603</v>
      </c>
      <c r="B3" s="258" t="s">
        <v>700</v>
      </c>
      <c r="C3" s="242"/>
      <c r="D3" s="234" t="s">
        <v>695</v>
      </c>
      <c r="E3" s="1"/>
    </row>
    <row r="4" spans="1:5" x14ac:dyDescent="0.25">
      <c r="A4" s="6" t="s">
        <v>603</v>
      </c>
      <c r="B4" s="258" t="s">
        <v>571</v>
      </c>
      <c r="C4" s="242"/>
      <c r="D4" s="234" t="s">
        <v>530</v>
      </c>
      <c r="E4" s="1"/>
    </row>
    <row r="5" spans="1:5" ht="15" customHeight="1" x14ac:dyDescent="0.25">
      <c r="A5" s="6" t="s">
        <v>603</v>
      </c>
      <c r="B5" s="49" t="s">
        <v>701</v>
      </c>
      <c r="C5" s="240"/>
      <c r="D5" s="234"/>
      <c r="E5" s="1"/>
    </row>
    <row r="6" spans="1:5" ht="24.75" customHeight="1" x14ac:dyDescent="0.25">
      <c r="A6" s="6">
        <v>34</v>
      </c>
      <c r="B6" s="237" t="s">
        <v>549</v>
      </c>
      <c r="C6" s="237" t="s">
        <v>550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8">
        <v>43983</v>
      </c>
      <c r="C7" s="48">
        <v>44012</v>
      </c>
      <c r="D7" s="30">
        <v>890</v>
      </c>
      <c r="E7" s="1"/>
    </row>
    <row r="8" spans="1:5" x14ac:dyDescent="0.25">
      <c r="A8" s="6"/>
      <c r="B8" s="48">
        <v>43952</v>
      </c>
      <c r="C8" s="48">
        <v>43982</v>
      </c>
      <c r="D8" s="30">
        <v>447</v>
      </c>
      <c r="E8" s="1"/>
    </row>
    <row r="9" spans="1:5" x14ac:dyDescent="0.25">
      <c r="A9" s="6"/>
      <c r="B9" s="48">
        <v>43922</v>
      </c>
      <c r="C9" s="48">
        <v>43951</v>
      </c>
      <c r="D9" s="30">
        <v>430</v>
      </c>
      <c r="E9" s="1"/>
    </row>
    <row r="10" spans="1:5" x14ac:dyDescent="0.25">
      <c r="A10" s="6"/>
      <c r="B10" s="48">
        <v>43891</v>
      </c>
      <c r="C10" s="48">
        <v>43921</v>
      </c>
      <c r="D10" s="30">
        <v>6782</v>
      </c>
      <c r="E10" s="1"/>
    </row>
    <row r="11" spans="1:5" x14ac:dyDescent="0.25">
      <c r="A11" s="6"/>
      <c r="B11" s="48">
        <v>43862</v>
      </c>
      <c r="C11" s="48">
        <v>43889</v>
      </c>
      <c r="D11" s="30">
        <v>7655</v>
      </c>
      <c r="E11" s="1"/>
    </row>
    <row r="12" spans="1:5" x14ac:dyDescent="0.25">
      <c r="A12" s="6"/>
      <c r="B12" s="48">
        <v>43831</v>
      </c>
      <c r="C12" s="48">
        <v>43861</v>
      </c>
      <c r="D12" s="30">
        <v>987</v>
      </c>
      <c r="E12" s="1"/>
    </row>
    <row r="13" spans="1:5" x14ac:dyDescent="0.25">
      <c r="A13" s="6"/>
      <c r="B13" s="48">
        <v>43800</v>
      </c>
      <c r="C13" s="48">
        <v>43830</v>
      </c>
      <c r="D13" s="30">
        <v>1800</v>
      </c>
      <c r="E13" s="1"/>
    </row>
    <row r="14" spans="1:5" x14ac:dyDescent="0.25">
      <c r="A14" s="6"/>
      <c r="B14" s="48">
        <v>43770</v>
      </c>
      <c r="C14" s="48">
        <v>43799</v>
      </c>
      <c r="D14" s="30">
        <v>1545</v>
      </c>
      <c r="E14" s="1"/>
    </row>
    <row r="15" spans="1:5" x14ac:dyDescent="0.25">
      <c r="A15" s="6"/>
      <c r="B15" s="48">
        <v>43739</v>
      </c>
      <c r="C15" s="48">
        <v>43769</v>
      </c>
      <c r="D15" s="30">
        <v>1777</v>
      </c>
      <c r="E15" s="1"/>
    </row>
    <row r="16" spans="1:5" x14ac:dyDescent="0.25">
      <c r="A16" s="6"/>
      <c r="B16" s="48">
        <v>43709</v>
      </c>
      <c r="C16" s="48">
        <v>43738</v>
      </c>
      <c r="D16" s="30">
        <v>1050</v>
      </c>
      <c r="E16" s="1"/>
    </row>
    <row r="17" spans="1:5" x14ac:dyDescent="0.25">
      <c r="A17" s="6"/>
      <c r="B17" s="48">
        <v>43678</v>
      </c>
      <c r="C17" s="48">
        <v>43708</v>
      </c>
      <c r="D17" s="30">
        <v>900</v>
      </c>
      <c r="E17" s="1"/>
    </row>
    <row r="18" spans="1:5" x14ac:dyDescent="0.25">
      <c r="A18" s="6"/>
      <c r="B18" s="48">
        <v>43647</v>
      </c>
      <c r="C18" s="48">
        <v>43677</v>
      </c>
      <c r="D18" s="30">
        <v>2323</v>
      </c>
      <c r="E18" s="1"/>
    </row>
    <row r="19" spans="1:5" x14ac:dyDescent="0.25">
      <c r="A19" s="6"/>
      <c r="B19" s="48">
        <v>43617</v>
      </c>
      <c r="C19" s="48">
        <v>43646</v>
      </c>
      <c r="D19" s="30">
        <v>2222</v>
      </c>
      <c r="E19" s="1"/>
    </row>
    <row r="20" spans="1:5" x14ac:dyDescent="0.25">
      <c r="A20" s="6"/>
      <c r="B20" s="48">
        <v>43586</v>
      </c>
      <c r="C20" s="48">
        <v>43616</v>
      </c>
      <c r="D20" s="30">
        <v>447</v>
      </c>
      <c r="E20" s="1"/>
    </row>
    <row r="21" spans="1:5" x14ac:dyDescent="0.25">
      <c r="A21" s="6"/>
      <c r="B21" s="48">
        <v>43556</v>
      </c>
      <c r="C21" s="48">
        <v>43585</v>
      </c>
      <c r="D21" s="30">
        <v>430</v>
      </c>
      <c r="E21" s="1"/>
    </row>
    <row r="22" spans="1:5" x14ac:dyDescent="0.25">
      <c r="A22" s="6"/>
      <c r="B22" s="48">
        <v>43525</v>
      </c>
      <c r="C22" s="48">
        <v>43555</v>
      </c>
      <c r="D22" s="30">
        <v>6782</v>
      </c>
      <c r="E22" s="1"/>
    </row>
    <row r="23" spans="1:5" x14ac:dyDescent="0.25">
      <c r="A23" s="6"/>
      <c r="B23" s="48">
        <v>43497</v>
      </c>
      <c r="C23" s="48">
        <v>43524</v>
      </c>
      <c r="D23" s="30">
        <v>7655</v>
      </c>
      <c r="E23" s="1"/>
    </row>
    <row r="24" spans="1:5" x14ac:dyDescent="0.25">
      <c r="A24" s="6"/>
      <c r="B24" s="48">
        <v>43466</v>
      </c>
      <c r="C24" s="48">
        <v>43496</v>
      </c>
      <c r="D24" s="30">
        <v>987</v>
      </c>
      <c r="E24" s="1"/>
    </row>
    <row r="25" spans="1:5" x14ac:dyDescent="0.25">
      <c r="A25" s="6"/>
      <c r="B25" s="48">
        <v>43435</v>
      </c>
      <c r="C25" s="48">
        <v>43465</v>
      </c>
      <c r="D25" s="30">
        <v>1800</v>
      </c>
      <c r="E25" s="1"/>
    </row>
    <row r="26" spans="1:5" x14ac:dyDescent="0.25">
      <c r="A26" s="6"/>
      <c r="B26" s="48">
        <v>43405</v>
      </c>
      <c r="C26" s="48">
        <v>43434</v>
      </c>
      <c r="D26" s="30">
        <v>1545</v>
      </c>
      <c r="E26" s="1"/>
    </row>
    <row r="27" spans="1:5" x14ac:dyDescent="0.25">
      <c r="A27" s="6"/>
      <c r="B27" s="48">
        <v>43374</v>
      </c>
      <c r="C27" s="48">
        <v>43404</v>
      </c>
      <c r="D27" s="30">
        <v>1777</v>
      </c>
      <c r="E27" s="1"/>
    </row>
    <row r="28" spans="1:5" x14ac:dyDescent="0.25">
      <c r="A28" s="6"/>
      <c r="B28" s="48">
        <v>43344</v>
      </c>
      <c r="C28" s="48">
        <v>43373</v>
      </c>
      <c r="D28" s="30">
        <v>1050</v>
      </c>
      <c r="E28" s="1"/>
    </row>
    <row r="29" spans="1:5" x14ac:dyDescent="0.25">
      <c r="A29" s="6"/>
      <c r="B29" s="48">
        <v>43313</v>
      </c>
      <c r="C29" s="48">
        <v>43343</v>
      </c>
      <c r="D29" s="30">
        <v>900</v>
      </c>
      <c r="E29" s="1"/>
    </row>
    <row r="30" spans="1:5" x14ac:dyDescent="0.25">
      <c r="A30" s="6"/>
      <c r="B30" s="48">
        <v>43282</v>
      </c>
      <c r="C30" s="48">
        <v>43312</v>
      </c>
      <c r="D30" s="30">
        <v>2323</v>
      </c>
      <c r="E30" s="1"/>
    </row>
    <row r="31" spans="1:5" x14ac:dyDescent="0.25">
      <c r="A31" s="6"/>
      <c r="B31" s="48">
        <v>43252</v>
      </c>
      <c r="C31" s="48">
        <v>43281</v>
      </c>
      <c r="D31" s="30">
        <v>2222</v>
      </c>
      <c r="E31" s="1"/>
    </row>
    <row r="32" spans="1:5" x14ac:dyDescent="0.25">
      <c r="A32" s="28"/>
      <c r="B32" s="33"/>
      <c r="C32" s="33"/>
      <c r="D32" s="36"/>
      <c r="E32" s="21"/>
    </row>
    <row r="33" spans="1:9" ht="6" customHeight="1" x14ac:dyDescent="0.25">
      <c r="A33" s="28"/>
      <c r="B33" s="33"/>
      <c r="C33" s="33"/>
      <c r="D33" s="36"/>
      <c r="E33" s="21"/>
      <c r="I33" s="5" t="s">
        <v>695</v>
      </c>
    </row>
    <row r="34" spans="1:9" ht="25.5" customHeight="1" x14ac:dyDescent="0.25">
      <c r="A34" s="6" t="s">
        <v>551</v>
      </c>
      <c r="B34" s="34"/>
      <c r="C34" s="34"/>
      <c r="D34" s="34"/>
      <c r="E34" s="1"/>
      <c r="I34" s="5" t="s">
        <v>696</v>
      </c>
    </row>
    <row r="35" spans="1:9" x14ac:dyDescent="0.25">
      <c r="I35" s="5" t="s">
        <v>697</v>
      </c>
    </row>
    <row r="39" spans="1:9" x14ac:dyDescent="0.25">
      <c r="H39" s="5" t="s">
        <v>530</v>
      </c>
    </row>
    <row r="40" spans="1:9" x14ac:dyDescent="0.25">
      <c r="H40" s="5" t="s">
        <v>533</v>
      </c>
    </row>
    <row r="41" spans="1:9" x14ac:dyDescent="0.25">
      <c r="H41" s="5" t="s">
        <v>552</v>
      </c>
    </row>
    <row r="42" spans="1:9" x14ac:dyDescent="0.25">
      <c r="H42" s="5" t="s">
        <v>553</v>
      </c>
    </row>
    <row r="43" spans="1:9" x14ac:dyDescent="0.25">
      <c r="H43" s="5" t="s">
        <v>527</v>
      </c>
    </row>
    <row r="44" spans="1:9" x14ac:dyDescent="0.25">
      <c r="H44" s="5" t="s">
        <v>532</v>
      </c>
    </row>
    <row r="45" spans="1:9" x14ac:dyDescent="0.25">
      <c r="H45" s="5" t="s">
        <v>547</v>
      </c>
    </row>
    <row r="46" spans="1:9" x14ac:dyDescent="0.25">
      <c r="H46" s="5" t="s">
        <v>566</v>
      </c>
    </row>
    <row r="47" spans="1:9" x14ac:dyDescent="0.25">
      <c r="H47" s="5" t="s">
        <v>529</v>
      </c>
    </row>
    <row r="48" spans="1:9" x14ac:dyDescent="0.25">
      <c r="H48" s="3" t="s">
        <v>548</v>
      </c>
    </row>
    <row r="49" spans="8:8" x14ac:dyDescent="0.25">
      <c r="H49" s="3" t="s">
        <v>567</v>
      </c>
    </row>
    <row r="50" spans="8:8" x14ac:dyDescent="0.25">
      <c r="H50" s="3" t="s">
        <v>568</v>
      </c>
    </row>
    <row r="51" spans="8:8" x14ac:dyDescent="0.25">
      <c r="H51" s="5" t="s">
        <v>698</v>
      </c>
    </row>
    <row r="52" spans="8:8" x14ac:dyDescent="0.25">
      <c r="H52" s="5" t="s">
        <v>699</v>
      </c>
    </row>
    <row r="53" spans="8:8" x14ac:dyDescent="0.25">
      <c r="H53" s="5" t="s">
        <v>693</v>
      </c>
    </row>
    <row r="54" spans="8:8" x14ac:dyDescent="0.25">
      <c r="H54" s="5"/>
    </row>
    <row r="55" spans="8:8" x14ac:dyDescent="0.25">
      <c r="H55" s="5"/>
    </row>
    <row r="56" spans="8:8" x14ac:dyDescent="0.25">
      <c r="H56" s="5"/>
    </row>
    <row r="57" spans="8:8" x14ac:dyDescent="0.25">
      <c r="H57" s="5"/>
    </row>
    <row r="58" spans="8:8" x14ac:dyDescent="0.25">
      <c r="H58" s="5"/>
    </row>
    <row r="59" spans="8:8" x14ac:dyDescent="0.25">
      <c r="H59" s="5"/>
    </row>
    <row r="60" spans="8:8" x14ac:dyDescent="0.25">
      <c r="H60" s="5"/>
    </row>
    <row r="61" spans="8:8" x14ac:dyDescent="0.25">
      <c r="H61" s="5"/>
    </row>
    <row r="62" spans="8:8" x14ac:dyDescent="0.25">
      <c r="H62" s="5"/>
    </row>
    <row r="63" spans="8:8" x14ac:dyDescent="0.25">
      <c r="H63" s="5"/>
    </row>
  </sheetData>
  <sheetProtection algorithmName="SHA-512" hashValue="yBKbXvoXR9zqlZ61nv0G5FUKUg+qCkOaGKb/DgF0d3wii7d+M1GbacnSiVnoKEmbHl+yz0XsjiT+mdNm4aivlw==" saltValue="BdIqMsVf4YeuKL1zLAucyQ==" spinCount="100000" sheet="1" objects="1" scenarios="1" formatRows="0"/>
  <dataValidations count="6">
    <dataValidation type="textLength" allowBlank="1" showInputMessage="1" showErrorMessage="1" errorTitle="Data Source" error="It can only accept 40 characters." sqref="D5" xr:uid="{A7A4C544-1939-4B02-8A20-27F85DDB9DC2}">
      <formula1>0</formula1>
      <formula2>40</formula2>
    </dataValidation>
    <dataValidation type="decimal" allowBlank="1" showInputMessage="1" showErrorMessage="1" error="Please enter a valid reading." sqref="D7:D31" xr:uid="{F5BA48AC-9198-4DB1-8432-511117EAF271}">
      <formula1>0</formula1>
      <formula2>9999999999</formula2>
    </dataValidation>
    <dataValidation type="date" allowBlank="1" showInputMessage="1" showErrorMessage="1" error="Please enter a valid date in mm/dd/yyyy format." sqref="B7:C31" xr:uid="{A77B7C4C-654E-4AFF-B896-4E0BF507E691}">
      <formula1>1</formula1>
      <formula2>73415</formula2>
    </dataValidation>
    <dataValidation allowBlank="1" showInputMessage="1" showErrorMessage="1" error="Please enter a valid date in mm/dd/yyyy format." sqref="B32:D34" xr:uid="{C9AA8B51-38D8-465D-9099-7FA758AEF3E0}"/>
    <dataValidation type="list" allowBlank="1" showInputMessage="1" showErrorMessage="1" sqref="D3" xr:uid="{E09BC038-F344-460D-B094-3781C8084040}">
      <formula1>WaterDrp</formula1>
    </dataValidation>
    <dataValidation type="list" allowBlank="1" showInputMessage="1" showErrorMessage="1" error="Units cannot edit." sqref="D4" xr:uid="{BB827CC9-F43D-4879-9749-4D900A76D6C9}">
      <formula1>watUni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32</xdr:row>
                    <xdr:rowOff>0</xdr:rowOff>
                  </from>
                  <to>
                    <xdr:col>2</xdr:col>
                    <xdr:colOff>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32</xdr:row>
                    <xdr:rowOff>0</xdr:rowOff>
                  </from>
                  <to>
                    <xdr:col>2</xdr:col>
                    <xdr:colOff>1295400</xdr:colOff>
                    <xdr:row>33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sheetProtection algorithmName="SHA-512" hashValue="mYIG/j+ypKzOo54IcZMywLD4j0ANiUBcEFQVM3qA+dR1TGCr8bq6yNLnMbCL15kohrmCVPsmkTfkwZRyMeE8Mw==" saltValue="1EpxhKwTjPwg+iJvliEtD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359</vt:i4>
      </vt:variant>
    </vt:vector>
  </HeadingPairs>
  <TitlesOfParts>
    <vt:vector size="383" baseType="lpstr">
      <vt:lpstr>Setup</vt:lpstr>
      <vt:lpstr>base_w</vt:lpstr>
      <vt:lpstr>base_e</vt:lpstr>
      <vt:lpstr>base_f</vt:lpstr>
      <vt:lpstr>Occupancy</vt:lpstr>
      <vt:lpstr>CO2 Reading for Upload</vt:lpstr>
      <vt:lpstr>CO2 Readings</vt:lpstr>
      <vt:lpstr>TVOC Reading for Upload</vt:lpstr>
      <vt:lpstr>TVOC Readings</vt:lpstr>
      <vt:lpstr>Waste Stream</vt:lpstr>
      <vt:lpstr>Carbon Monoxide</vt:lpstr>
      <vt:lpstr>Ozone</vt:lpstr>
      <vt:lpstr>Atmospheric Particulate Matter</vt:lpstr>
      <vt:lpstr>Acetaldehyde</vt:lpstr>
      <vt:lpstr>Benzene</vt:lpstr>
      <vt:lpstr>Styrene</vt:lpstr>
      <vt:lpstr>Toluene</vt:lpstr>
      <vt:lpstr>Naphthalene </vt:lpstr>
      <vt:lpstr>Dichlorobenzene</vt:lpstr>
      <vt:lpstr>Xylenes-total</vt:lpstr>
      <vt:lpstr>Formaldehyde</vt:lpstr>
      <vt:lpstr>Energy Meter via upload</vt:lpstr>
      <vt:lpstr>Water meter via upload</vt:lpstr>
      <vt:lpstr>base_summary</vt:lpstr>
      <vt:lpstr>columnDelete</vt:lpstr>
      <vt:lpstr>columnDeleteVOC</vt:lpstr>
      <vt:lpstr>Countries</vt:lpstr>
      <vt:lpstr>CountriesDetails</vt:lpstr>
      <vt:lpstr>countryName</vt:lpstr>
      <vt:lpstr>DataCopy</vt:lpstr>
      <vt:lpstr>DataCopyVOC</vt:lpstr>
      <vt:lpstr>Acetaldehyde!Dates</vt:lpstr>
      <vt:lpstr>'Atmospheric Particulate Matter'!Dates</vt:lpstr>
      <vt:lpstr>Benzene!Dates</vt:lpstr>
      <vt:lpstr>'Carbon Monoxide'!Dates</vt:lpstr>
      <vt:lpstr>Dichlorobenzene!Dates</vt:lpstr>
      <vt:lpstr>Formaldehyde!Dates</vt:lpstr>
      <vt:lpstr>'Naphthalene '!Dates</vt:lpstr>
      <vt:lpstr>Ozone!Dates</vt:lpstr>
      <vt:lpstr>Styrene!Dates</vt:lpstr>
      <vt:lpstr>Toluene!Dates</vt:lpstr>
      <vt:lpstr>'Xylenes-total'!Dates</vt:lpstr>
      <vt:lpstr>Dates</vt:lpstr>
      <vt:lpstr>Acetaldehyde!DatesVOC</vt:lpstr>
      <vt:lpstr>'Atmospheric Particulate Matter'!DatesVOC</vt:lpstr>
      <vt:lpstr>Benzene!DatesVOC</vt:lpstr>
      <vt:lpstr>'Carbon Monoxide'!DatesVOC</vt:lpstr>
      <vt:lpstr>Dichlorobenzene!DatesVOC</vt:lpstr>
      <vt:lpstr>Formaldehyde!DatesVOC</vt:lpstr>
      <vt:lpstr>'Naphthalene '!DatesVOC</vt:lpstr>
      <vt:lpstr>Ozone!DatesVOC</vt:lpstr>
      <vt:lpstr>Styrene!DatesVOC</vt:lpstr>
      <vt:lpstr>Toluene!DatesVOC</vt:lpstr>
      <vt:lpstr>'Xylenes-total'!DatesVOC</vt:lpstr>
      <vt:lpstr>DatesVOC</vt:lpstr>
      <vt:lpstr>DelRwNmEnd</vt:lpstr>
      <vt:lpstr>DelRwNmEndVOC</vt:lpstr>
      <vt:lpstr>DelRwNmStart</vt:lpstr>
      <vt:lpstr>DelRwNmStartVOC</vt:lpstr>
      <vt:lpstr>Acetaldehyde!elecName</vt:lpstr>
      <vt:lpstr>'Atmospheric Particulate Matter'!elecName</vt:lpstr>
      <vt:lpstr>Benzene!elecName</vt:lpstr>
      <vt:lpstr>'Carbon Monoxide'!elecName</vt:lpstr>
      <vt:lpstr>Dichlorobenzene!elecName</vt:lpstr>
      <vt:lpstr>'Energy Meter via upload'!elecName</vt:lpstr>
      <vt:lpstr>Formaldehyde!elecName</vt:lpstr>
      <vt:lpstr>'Naphthalene '!elecName</vt:lpstr>
      <vt:lpstr>Ozone!elecName</vt:lpstr>
      <vt:lpstr>Styrene!elecName</vt:lpstr>
      <vt:lpstr>Toluene!elecName</vt:lpstr>
      <vt:lpstr>'Xylenes-total'!elecName</vt:lpstr>
      <vt:lpstr>elecName</vt:lpstr>
      <vt:lpstr>Acetaldehyde!ElectricityDrp</vt:lpstr>
      <vt:lpstr>'Atmospheric Particulate Matter'!ElectricityDrp</vt:lpstr>
      <vt:lpstr>Benzene!ElectricityDrp</vt:lpstr>
      <vt:lpstr>'Carbon Monoxide'!ElectricityDrp</vt:lpstr>
      <vt:lpstr>Dichlorobenzene!ElectricityDrp</vt:lpstr>
      <vt:lpstr>'Energy Meter via upload'!ElectricityDrp</vt:lpstr>
      <vt:lpstr>Formaldehyde!ElectricityDrp</vt:lpstr>
      <vt:lpstr>'Naphthalene '!ElectricityDrp</vt:lpstr>
      <vt:lpstr>Ozone!ElectricityDrp</vt:lpstr>
      <vt:lpstr>Styrene!ElectricityDrp</vt:lpstr>
      <vt:lpstr>Toluene!ElectricityDrp</vt:lpstr>
      <vt:lpstr>'Xylenes-total'!ElectricityDrp</vt:lpstr>
      <vt:lpstr>ElectricityDrp</vt:lpstr>
      <vt:lpstr>Acetaldehyde!fdet</vt:lpstr>
      <vt:lpstr>'Atmospheric Particulate Matter'!fdet</vt:lpstr>
      <vt:lpstr>Benzene!fdet</vt:lpstr>
      <vt:lpstr>'Carbon Monoxide'!fdet</vt:lpstr>
      <vt:lpstr>Dichlorobenzene!fdet</vt:lpstr>
      <vt:lpstr>Formaldehyde!fdet</vt:lpstr>
      <vt:lpstr>'Naphthalene '!fdet</vt:lpstr>
      <vt:lpstr>Ozone!fdet</vt:lpstr>
      <vt:lpstr>Styrene!fdet</vt:lpstr>
      <vt:lpstr>Toluene!fdet</vt:lpstr>
      <vt:lpstr>'Xylenes-total'!fdet</vt:lpstr>
      <vt:lpstr>fdet</vt:lpstr>
      <vt:lpstr>Acetaldehyde!fude</vt:lpstr>
      <vt:lpstr>'Atmospheric Particulate Matter'!fude</vt:lpstr>
      <vt:lpstr>Benzene!fude</vt:lpstr>
      <vt:lpstr>'Carbon Monoxide'!fude</vt:lpstr>
      <vt:lpstr>Dichlorobenzene!fude</vt:lpstr>
      <vt:lpstr>Formaldehyde!fude</vt:lpstr>
      <vt:lpstr>'Naphthalene '!fude</vt:lpstr>
      <vt:lpstr>Ozone!fude</vt:lpstr>
      <vt:lpstr>Styrene!fude</vt:lpstr>
      <vt:lpstr>Toluene!fude</vt:lpstr>
      <vt:lpstr>'Xylenes-total'!fude</vt:lpstr>
      <vt:lpstr>fude</vt:lpstr>
      <vt:lpstr>Acetaldehyde!fuel1</vt:lpstr>
      <vt:lpstr>'Atmospheric Particulate Matter'!fuel1</vt:lpstr>
      <vt:lpstr>Benzene!fuel1</vt:lpstr>
      <vt:lpstr>'Carbon Monoxide'!fuel1</vt:lpstr>
      <vt:lpstr>Dichlorobenzene!fuel1</vt:lpstr>
      <vt:lpstr>Formaldehyde!fuel1</vt:lpstr>
      <vt:lpstr>'Naphthalene '!fuel1</vt:lpstr>
      <vt:lpstr>Ozone!fuel1</vt:lpstr>
      <vt:lpstr>Styrene!fuel1</vt:lpstr>
      <vt:lpstr>Toluene!fuel1</vt:lpstr>
      <vt:lpstr>'Xylenes-total'!fuel1</vt:lpstr>
      <vt:lpstr>fuel1</vt:lpstr>
      <vt:lpstr>Acetaldehyde!fuel2</vt:lpstr>
      <vt:lpstr>'Atmospheric Particulate Matter'!fuel2</vt:lpstr>
      <vt:lpstr>Benzene!fuel2</vt:lpstr>
      <vt:lpstr>'Carbon Monoxide'!fuel2</vt:lpstr>
      <vt:lpstr>Dichlorobenzene!fuel2</vt:lpstr>
      <vt:lpstr>Formaldehyde!fuel2</vt:lpstr>
      <vt:lpstr>'Naphthalene '!fuel2</vt:lpstr>
      <vt:lpstr>Ozone!fuel2</vt:lpstr>
      <vt:lpstr>Styrene!fuel2</vt:lpstr>
      <vt:lpstr>Toluene!fuel2</vt:lpstr>
      <vt:lpstr>'Xylenes-total'!fuel2</vt:lpstr>
      <vt:lpstr>fuel2</vt:lpstr>
      <vt:lpstr>Acetaldehyde!kerosene</vt:lpstr>
      <vt:lpstr>'Atmospheric Particulate Matter'!kerosene</vt:lpstr>
      <vt:lpstr>Benzene!kerosene</vt:lpstr>
      <vt:lpstr>'Carbon Monoxide'!kerosene</vt:lpstr>
      <vt:lpstr>Dichlorobenzene!kerosene</vt:lpstr>
      <vt:lpstr>Formaldehyde!kerosene</vt:lpstr>
      <vt:lpstr>'Naphthalene '!kerosene</vt:lpstr>
      <vt:lpstr>Ozone!kerosene</vt:lpstr>
      <vt:lpstr>Styrene!kerosene</vt:lpstr>
      <vt:lpstr>Toluene!kerosene</vt:lpstr>
      <vt:lpstr>'Xylenes-total'!kerosene</vt:lpstr>
      <vt:lpstr>kerosene</vt:lpstr>
      <vt:lpstr>Acetaldehyde!liquid</vt:lpstr>
      <vt:lpstr>'Atmospheric Particulate Matter'!liquid</vt:lpstr>
      <vt:lpstr>Benzene!liquid</vt:lpstr>
      <vt:lpstr>'Carbon Monoxide'!liquid</vt:lpstr>
      <vt:lpstr>Dichlorobenzene!liquid</vt:lpstr>
      <vt:lpstr>Formaldehyde!liquid</vt:lpstr>
      <vt:lpstr>'Naphthalene '!liquid</vt:lpstr>
      <vt:lpstr>Ozone!liquid</vt:lpstr>
      <vt:lpstr>Styrene!liquid</vt:lpstr>
      <vt:lpstr>Toluene!liquid</vt:lpstr>
      <vt:lpstr>'Xylenes-total'!liquid</vt:lpstr>
      <vt:lpstr>liquid</vt:lpstr>
      <vt:lpstr>Meter</vt:lpstr>
      <vt:lpstr>meterName</vt:lpstr>
      <vt:lpstr>MeterTypes</vt:lpstr>
      <vt:lpstr>Acetaldehyde!myCategoryH</vt:lpstr>
      <vt:lpstr>'Atmospheric Particulate Matter'!myCategoryH</vt:lpstr>
      <vt:lpstr>Benzene!myCategoryH</vt:lpstr>
      <vt:lpstr>'Carbon Monoxide'!myCategoryH</vt:lpstr>
      <vt:lpstr>Dichlorobenzene!myCategoryH</vt:lpstr>
      <vt:lpstr>Formaldehyde!myCategoryH</vt:lpstr>
      <vt:lpstr>'Naphthalene '!myCategoryH</vt:lpstr>
      <vt:lpstr>Ozone!myCategoryH</vt:lpstr>
      <vt:lpstr>Styrene!myCategoryH</vt:lpstr>
      <vt:lpstr>Toluene!myCategoryH</vt:lpstr>
      <vt:lpstr>'Xylenes-total'!myCategoryH</vt:lpstr>
      <vt:lpstr>myCategoryH</vt:lpstr>
      <vt:lpstr>Acetaldehyde!myTableH</vt:lpstr>
      <vt:lpstr>'Atmospheric Particulate Matter'!myTableH</vt:lpstr>
      <vt:lpstr>Benzene!myTableH</vt:lpstr>
      <vt:lpstr>'Carbon Monoxide'!myTableH</vt:lpstr>
      <vt:lpstr>Dichlorobenzene!myTableH</vt:lpstr>
      <vt:lpstr>Formaldehyde!myTableH</vt:lpstr>
      <vt:lpstr>'Naphthalene '!myTableH</vt:lpstr>
      <vt:lpstr>Ozone!myTableH</vt:lpstr>
      <vt:lpstr>Styrene!myTableH</vt:lpstr>
      <vt:lpstr>Toluene!myTableH</vt:lpstr>
      <vt:lpstr>'Xylenes-total'!myTableH</vt:lpstr>
      <vt:lpstr>myTableH</vt:lpstr>
      <vt:lpstr>Acetaldehyde!newMet</vt:lpstr>
      <vt:lpstr>'Atmospheric Particulate Matter'!newMet</vt:lpstr>
      <vt:lpstr>Benzene!newMet</vt:lpstr>
      <vt:lpstr>'Carbon Monoxide'!newMet</vt:lpstr>
      <vt:lpstr>Dichlorobenzene!newMet</vt:lpstr>
      <vt:lpstr>Formaldehyde!newMet</vt:lpstr>
      <vt:lpstr>'Naphthalene '!newMet</vt:lpstr>
      <vt:lpstr>Ozone!newMet</vt:lpstr>
      <vt:lpstr>Styrene!newMet</vt:lpstr>
      <vt:lpstr>Toluene!newMet</vt:lpstr>
      <vt:lpstr>'Xylenes-total'!newMet</vt:lpstr>
      <vt:lpstr>newMet</vt:lpstr>
      <vt:lpstr>Acetaldehyde!newWaUnit</vt:lpstr>
      <vt:lpstr>'Atmospheric Particulate Matter'!newWaUnit</vt:lpstr>
      <vt:lpstr>Benzene!newWaUnit</vt:lpstr>
      <vt:lpstr>'Carbon Monoxide'!newWaUnit</vt:lpstr>
      <vt:lpstr>Dichlorobenzene!newWaUnit</vt:lpstr>
      <vt:lpstr>Formaldehyde!newWaUnit</vt:lpstr>
      <vt:lpstr>'Naphthalene '!newWaUnit</vt:lpstr>
      <vt:lpstr>Ozone!newWaUnit</vt:lpstr>
      <vt:lpstr>Styrene!newWaUnit</vt:lpstr>
      <vt:lpstr>Toluene!newWaUnit</vt:lpstr>
      <vt:lpstr>'Xylenes-total'!newWaUnit</vt:lpstr>
      <vt:lpstr>newWaUnit</vt:lpstr>
      <vt:lpstr>Acetaldehyde!Other_Fuels_Drp</vt:lpstr>
      <vt:lpstr>'Atmospheric Particulate Matter'!Other_Fuels_Drp</vt:lpstr>
      <vt:lpstr>Benzene!Other_Fuels_Drp</vt:lpstr>
      <vt:lpstr>'Carbon Monoxide'!Other_Fuels_Drp</vt:lpstr>
      <vt:lpstr>Dichlorobenzene!Other_Fuels_Drp</vt:lpstr>
      <vt:lpstr>Formaldehyde!Other_Fuels_Drp</vt:lpstr>
      <vt:lpstr>'Naphthalene '!Other_Fuels_Drp</vt:lpstr>
      <vt:lpstr>Ozone!Other_Fuels_Drp</vt:lpstr>
      <vt:lpstr>Styrene!Other_Fuels_Drp</vt:lpstr>
      <vt:lpstr>Toluene!Other_Fuels_Drp</vt:lpstr>
      <vt:lpstr>'Xylenes-total'!Other_Fuels_Drp</vt:lpstr>
      <vt:lpstr>Other_Fuels_Drp</vt:lpstr>
      <vt:lpstr>Acetaldehyde!Propane</vt:lpstr>
      <vt:lpstr>'Atmospheric Particulate Matter'!Propane</vt:lpstr>
      <vt:lpstr>Benzene!Propane</vt:lpstr>
      <vt:lpstr>'Carbon Monoxide'!Propane</vt:lpstr>
      <vt:lpstr>Dichlorobenzene!Propane</vt:lpstr>
      <vt:lpstr>Formaldehyde!Propane</vt:lpstr>
      <vt:lpstr>'Naphthalene '!Propane</vt:lpstr>
      <vt:lpstr>Ozone!Propane</vt:lpstr>
      <vt:lpstr>Styrene!Propane</vt:lpstr>
      <vt:lpstr>Toluene!Propane</vt:lpstr>
      <vt:lpstr>'Xylenes-total'!Propane</vt:lpstr>
      <vt:lpstr>Propane</vt:lpstr>
      <vt:lpstr>Acetaldehyde!propanes</vt:lpstr>
      <vt:lpstr>'Atmospheric Particulate Matter'!propanes</vt:lpstr>
      <vt:lpstr>Benzene!propanes</vt:lpstr>
      <vt:lpstr>'Carbon Monoxide'!propanes</vt:lpstr>
      <vt:lpstr>Dichlorobenzene!propanes</vt:lpstr>
      <vt:lpstr>Formaldehyde!propanes</vt:lpstr>
      <vt:lpstr>'Naphthalene '!propanes</vt:lpstr>
      <vt:lpstr>Ozone!propanes</vt:lpstr>
      <vt:lpstr>Styrene!propanes</vt:lpstr>
      <vt:lpstr>Toluene!propanes</vt:lpstr>
      <vt:lpstr>'Xylenes-total'!propanes</vt:lpstr>
      <vt:lpstr>propanes</vt:lpstr>
      <vt:lpstr>Acetaldehyde!prounit</vt:lpstr>
      <vt:lpstr>'Atmospheric Particulate Matter'!prounit</vt:lpstr>
      <vt:lpstr>Benzene!prounit</vt:lpstr>
      <vt:lpstr>'Carbon Monoxide'!prounit</vt:lpstr>
      <vt:lpstr>Dichlorobenzene!prounit</vt:lpstr>
      <vt:lpstr>Formaldehyde!prounit</vt:lpstr>
      <vt:lpstr>'Naphthalene '!prounit</vt:lpstr>
      <vt:lpstr>Ozone!prounit</vt:lpstr>
      <vt:lpstr>Styrene!prounit</vt:lpstr>
      <vt:lpstr>Toluene!prounit</vt:lpstr>
      <vt:lpstr>'Xylenes-total'!prounit</vt:lpstr>
      <vt:lpstr>prounit</vt:lpstr>
      <vt:lpstr>RangeCount</vt:lpstr>
      <vt:lpstr>RangeCountVOC</vt:lpstr>
      <vt:lpstr>Acetaldehyde!ReadingTable</vt:lpstr>
      <vt:lpstr>'Atmospheric Particulate Matter'!ReadingTable</vt:lpstr>
      <vt:lpstr>Benzene!ReadingTable</vt:lpstr>
      <vt:lpstr>'Carbon Monoxide'!ReadingTable</vt:lpstr>
      <vt:lpstr>Dichlorobenzene!ReadingTable</vt:lpstr>
      <vt:lpstr>Formaldehyde!ReadingTable</vt:lpstr>
      <vt:lpstr>'Naphthalene '!ReadingTable</vt:lpstr>
      <vt:lpstr>Ozone!ReadingTable</vt:lpstr>
      <vt:lpstr>Styrene!ReadingTable</vt:lpstr>
      <vt:lpstr>Toluene!ReadingTable</vt:lpstr>
      <vt:lpstr>'Xylenes-total'!ReadingTable</vt:lpstr>
      <vt:lpstr>ReadingTable</vt:lpstr>
      <vt:lpstr>Acetaldehyde!ReadingTableVOC</vt:lpstr>
      <vt:lpstr>'Atmospheric Particulate Matter'!ReadingTableVOC</vt:lpstr>
      <vt:lpstr>Benzene!ReadingTableVOC</vt:lpstr>
      <vt:lpstr>'Carbon Monoxide'!ReadingTableVOC</vt:lpstr>
      <vt:lpstr>Dichlorobenzene!ReadingTableVOC</vt:lpstr>
      <vt:lpstr>Formaldehyde!ReadingTableVOC</vt:lpstr>
      <vt:lpstr>'Naphthalene '!ReadingTableVOC</vt:lpstr>
      <vt:lpstr>Ozone!ReadingTableVOC</vt:lpstr>
      <vt:lpstr>Styrene!ReadingTableVOC</vt:lpstr>
      <vt:lpstr>Toluene!ReadingTableVOC</vt:lpstr>
      <vt:lpstr>'Xylenes-total'!ReadingTableVOC</vt:lpstr>
      <vt:lpstr>ReadingTableVOC</vt:lpstr>
      <vt:lpstr>Acetaldehyde!spacetype</vt:lpstr>
      <vt:lpstr>'Atmospheric Particulate Matter'!spacetype</vt:lpstr>
      <vt:lpstr>Benzene!spacetype</vt:lpstr>
      <vt:lpstr>'Carbon Monoxide'!spacetype</vt:lpstr>
      <vt:lpstr>Dichlorobenzene!spacetype</vt:lpstr>
      <vt:lpstr>Formaldehyde!spacetype</vt:lpstr>
      <vt:lpstr>'Naphthalene '!spacetype</vt:lpstr>
      <vt:lpstr>Ozone!spacetype</vt:lpstr>
      <vt:lpstr>Styrene!spacetype</vt:lpstr>
      <vt:lpstr>Toluene!spacetype</vt:lpstr>
      <vt:lpstr>'Xylenes-total'!spacetype</vt:lpstr>
      <vt:lpstr>spacetype</vt:lpstr>
      <vt:lpstr>sumAnchor</vt:lpstr>
      <vt:lpstr>sumAnchorVOC</vt:lpstr>
      <vt:lpstr>sumDate</vt:lpstr>
      <vt:lpstr>sumDateVOC</vt:lpstr>
      <vt:lpstr>UniqueDate</vt:lpstr>
      <vt:lpstr>UniqueDateVOC</vt:lpstr>
      <vt:lpstr>UniqueLoc</vt:lpstr>
      <vt:lpstr>UniqueLocVOC</vt:lpstr>
      <vt:lpstr>Units</vt:lpstr>
      <vt:lpstr>UserFormat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Acetaldehyde!WaterDrp</vt:lpstr>
      <vt:lpstr>'Atmospheric Particulate Matter'!WaterDrp</vt:lpstr>
      <vt:lpstr>Benzene!WaterDrp</vt:lpstr>
      <vt:lpstr>'Carbon Monoxide'!WaterDrp</vt:lpstr>
      <vt:lpstr>Dichlorobenzene!WaterDrp</vt:lpstr>
      <vt:lpstr>Formaldehyde!WaterDrp</vt:lpstr>
      <vt:lpstr>'Naphthalene '!WaterDrp</vt:lpstr>
      <vt:lpstr>Ozone!WaterDrp</vt:lpstr>
      <vt:lpstr>Styrene!WaterDrp</vt:lpstr>
      <vt:lpstr>Toluene!WaterDrp</vt:lpstr>
      <vt:lpstr>'Water meter via upload'!WaterDrp</vt:lpstr>
      <vt:lpstr>'Xylenes-total'!WaterDrp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Acetaldehyde!watUni</vt:lpstr>
      <vt:lpstr>'Atmospheric Particulate Matter'!watUni</vt:lpstr>
      <vt:lpstr>Benzene!watUni</vt:lpstr>
      <vt:lpstr>'Carbon Monoxide'!watUni</vt:lpstr>
      <vt:lpstr>Dichlorobenzene!watUni</vt:lpstr>
      <vt:lpstr>Formaldehyde!watUni</vt:lpstr>
      <vt:lpstr>'Naphthalene '!watUni</vt:lpstr>
      <vt:lpstr>Ozone!watUni</vt:lpstr>
      <vt:lpstr>Styrene!watUni</vt:lpstr>
      <vt:lpstr>Toluene!watUni</vt:lpstr>
      <vt:lpstr>'Water meter via upload'!watUni</vt:lpstr>
      <vt:lpstr>'Xylenes-total'!watUni</vt:lpstr>
      <vt:lpstr>watUni</vt:lpstr>
      <vt:lpstr>waUn</vt:lpstr>
      <vt:lpstr>waunit</vt:lpstr>
      <vt:lpstr>Acetaldehyde!Wood</vt:lpstr>
      <vt:lpstr>'Atmospheric Particulate Matter'!Wood</vt:lpstr>
      <vt:lpstr>Benzene!Wood</vt:lpstr>
      <vt:lpstr>'Carbon Monoxide'!Wood</vt:lpstr>
      <vt:lpstr>Dichlorobenzene!Wood</vt:lpstr>
      <vt:lpstr>Formaldehyde!Wood</vt:lpstr>
      <vt:lpstr>'Naphthalene '!Wood</vt:lpstr>
      <vt:lpstr>Ozone!Wood</vt:lpstr>
      <vt:lpstr>Styrene!Wood</vt:lpstr>
      <vt:lpstr>Toluene!Wood</vt:lpstr>
      <vt:lpstr>'Xylenes-total'!Wood</vt:lpstr>
      <vt:lpstr>Wood</vt:lpstr>
      <vt:lpstr>Acetaldehyde!woods</vt:lpstr>
      <vt:lpstr>'Atmospheric Particulate Matter'!woods</vt:lpstr>
      <vt:lpstr>Benzene!woods</vt:lpstr>
      <vt:lpstr>'Carbon Monoxide'!woods</vt:lpstr>
      <vt:lpstr>Dichlorobenzene!woods</vt:lpstr>
      <vt:lpstr>Formaldehyde!woods</vt:lpstr>
      <vt:lpstr>'Naphthalene '!woods</vt:lpstr>
      <vt:lpstr>Ozone!woods</vt:lpstr>
      <vt:lpstr>Styrene!woods</vt:lpstr>
      <vt:lpstr>Toluene!woods</vt:lpstr>
      <vt:lpstr>'Xylenes-total'!woods</vt:lpstr>
      <vt:lpstr>woods</vt:lpstr>
      <vt:lpstr>Acetaldehyde!woodunit</vt:lpstr>
      <vt:lpstr>'Atmospheric Particulate Matter'!woodunit</vt:lpstr>
      <vt:lpstr>Benzene!woodunit</vt:lpstr>
      <vt:lpstr>'Carbon Monoxide'!woodunit</vt:lpstr>
      <vt:lpstr>Dichlorobenzene!woodunit</vt:lpstr>
      <vt:lpstr>Formaldehyde!woodunit</vt:lpstr>
      <vt:lpstr>'Naphthalene '!woodunit</vt:lpstr>
      <vt:lpstr>Ozone!woodunit</vt:lpstr>
      <vt:lpstr>Styrene!woodunit</vt:lpstr>
      <vt:lpstr>Toluene!woodunit</vt:lpstr>
      <vt:lpstr>'Xylenes-total'!woodunit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2017-09-22T06:24:12Z</cp:lastPrinted>
  <dcterms:created xsi:type="dcterms:W3CDTF">2014-11-12T06:32:08Z</dcterms:created>
  <dcterms:modified xsi:type="dcterms:W3CDTF">2019-06-10T13:24:27Z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