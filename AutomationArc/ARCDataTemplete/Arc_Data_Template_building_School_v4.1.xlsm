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0CFBBD6B-1E1C-413A-B3D5-7B215829229F}" xr6:coauthVersionLast="36" xr6:coauthVersionMax="36" xr10:uidLastSave="{00000000-0000-0000-0000-000000000000}"/>
  <workbookProtection workbookAlgorithmName="SHA-512" workbookHashValue="N+qmGWL0ifhH4l8l1eGkgMfQdqwcQLO40pK7uF8l0pk79lQpwrr0/UfDN59Y19LMLKo8CJqEgDw3PP6fLcETxw==" workbookSaltValue="+0r666nQlMxzPTJ2RzdALw==" workbookSpinCount="100000" lockStructure="1"/>
  <bookViews>
    <workbookView xWindow="0" yWindow="0" windowWidth="20490" windowHeight="9090" firstSheet="6" activeTab="9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8" r:id="rId22"/>
    <sheet name="Water meter via upload" sheetId="29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Readings'!$17:$17</definedName>
    <definedName name="columnDeleteVOC">'TVOC Readings'!$17:$17</definedName>
    <definedName name="Countries">Setup!$L$26:$M$269</definedName>
    <definedName name="CountriesDetails">Setup!$L$26:$L$269</definedName>
    <definedName name="countryName">Setup!$L$25:$L$269</definedName>
    <definedName name="DataCopy">'CO2 Readings'!$A$37:$E$37</definedName>
    <definedName name="DataCopyVOC">'TVOC Readings'!$A$32:$E$32</definedName>
    <definedName name="Dates" localSheetId="13">'CO2 Readings'!$33:$33</definedName>
    <definedName name="Dates" localSheetId="12">'CO2 Readings'!$33:$33</definedName>
    <definedName name="Dates" localSheetId="14">'CO2 Readings'!$33:$33</definedName>
    <definedName name="Dates" localSheetId="10">'CO2 Readings'!$33:$33</definedName>
    <definedName name="Dates" localSheetId="18">'CO2 Readings'!$33:$33</definedName>
    <definedName name="Dates" localSheetId="20">'CO2 Readings'!$33:$33</definedName>
    <definedName name="Dates" localSheetId="17">'CO2 Readings'!$33:$33</definedName>
    <definedName name="Dates" localSheetId="11">'CO2 Readings'!$33:$33</definedName>
    <definedName name="Dates" localSheetId="15">'CO2 Readings'!$33:$33</definedName>
    <definedName name="Dates" localSheetId="16">'CO2 Readings'!$33:$33</definedName>
    <definedName name="Dates" localSheetId="19">'CO2 Readings'!$33:$33</definedName>
    <definedName name="Dates">'CO2 Readings'!$33:$33</definedName>
    <definedName name="DatesVOC" localSheetId="13">'TVOC Readings'!$28:$28</definedName>
    <definedName name="DatesVOC" localSheetId="12">'TVOC Readings'!$28:$28</definedName>
    <definedName name="DatesVOC" localSheetId="14">'TVOC Readings'!$28:$28</definedName>
    <definedName name="DatesVOC" localSheetId="10">'TVOC Readings'!$28:$28</definedName>
    <definedName name="DatesVOC" localSheetId="18">'TVOC Readings'!$28:$28</definedName>
    <definedName name="DatesVOC" localSheetId="20">'TVOC Readings'!$28:$28</definedName>
    <definedName name="DatesVOC" localSheetId="17">'TVOC Readings'!$28:$28</definedName>
    <definedName name="DatesVOC" localSheetId="11">'TVOC Readings'!$28:$28</definedName>
    <definedName name="DatesVOC" localSheetId="15">'TVOC Readings'!$28:$28</definedName>
    <definedName name="DatesVOC" localSheetId="16">'TVOC Readings'!$28:$28</definedName>
    <definedName name="DatesVOC" localSheetId="19">'TVOC Readings'!$28:$28</definedName>
    <definedName name="DatesVOC">'TVOC Readings'!$28:$28</definedName>
    <definedName name="DelRwNmEnd">'CO2 Reading for Upload'!$A$22:$E$22</definedName>
    <definedName name="DelRwNmEndVOC">'TVOC Reading for Upload'!$A$22:$E$22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upload'!$G$27:$G$31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upload'!$J$21:$J$22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Setup!$Q$26:$Q$28</definedName>
    <definedName name="newMet" localSheetId="12">Setup!$Q$26:$Q$28</definedName>
    <definedName name="newMet" localSheetId="14">Setup!$Q$26:$Q$28</definedName>
    <definedName name="newMet" localSheetId="10">Setup!$Q$26:$Q$28</definedName>
    <definedName name="newMet" localSheetId="18">Setup!$Q$26:$Q$28</definedName>
    <definedName name="newMet" localSheetId="20">Setup!$Q$26:$Q$28</definedName>
    <definedName name="newMet" localSheetId="17">Setup!$Q$26:$Q$28</definedName>
    <definedName name="newMet" localSheetId="11">Setup!$Q$26:$Q$28</definedName>
    <definedName name="newMet" localSheetId="15">Setup!$Q$26:$Q$28</definedName>
    <definedName name="newMet" localSheetId="16">Setup!$Q$26:$Q$28</definedName>
    <definedName name="newMet" localSheetId="19">Setup!$Q$26:$Q$28</definedName>
    <definedName name="newMet">Setup!$Q$26:$Q$28</definedName>
    <definedName name="newWaUnit" localSheetId="13">'Waste Stream'!$I$24:$I$26</definedName>
    <definedName name="newWaUnit" localSheetId="12">'Waste Stream'!$I$24:$I$26</definedName>
    <definedName name="newWaUnit" localSheetId="14">'Waste Stream'!$I$24:$I$26</definedName>
    <definedName name="newWaUnit" localSheetId="10">'Waste Stream'!$I$24:$I$26</definedName>
    <definedName name="newWaUnit" localSheetId="18">'Waste Stream'!$I$24:$I$26</definedName>
    <definedName name="newWaUnit" localSheetId="20">'Waste Stream'!$I$24:$I$26</definedName>
    <definedName name="newWaUnit" localSheetId="17">'Waste Stream'!$I$24:$I$26</definedName>
    <definedName name="newWaUnit" localSheetId="11">'Waste Stream'!$I$24:$I$26</definedName>
    <definedName name="newWaUnit" localSheetId="15">'Waste Stream'!$I$24:$I$26</definedName>
    <definedName name="newWaUnit" localSheetId="16">'Waste Stream'!$I$24:$I$26</definedName>
    <definedName name="newWaUnit" localSheetId="19">'Waste Stream'!$I$24:$I$26</definedName>
    <definedName name="newWaUnit">'Waste Stream'!$I$24:$I$26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Upload'!$B$6:$B$22</definedName>
    <definedName name="RangeCountVOC">'TVOC Reading for Upload'!$B$6:$B$22</definedName>
    <definedName name="ReadingTable" localSheetId="13">'CO2 Readings'!$33:$34</definedName>
    <definedName name="ReadingTable" localSheetId="12">'CO2 Readings'!$33:$34</definedName>
    <definedName name="ReadingTable" localSheetId="14">'CO2 Readings'!$33:$34</definedName>
    <definedName name="ReadingTable" localSheetId="10">'CO2 Readings'!$33:$34</definedName>
    <definedName name="ReadingTable" localSheetId="18">'CO2 Readings'!$33:$34</definedName>
    <definedName name="ReadingTable" localSheetId="20">'CO2 Readings'!$33:$34</definedName>
    <definedName name="ReadingTable" localSheetId="17">'CO2 Readings'!$33:$34</definedName>
    <definedName name="ReadingTable" localSheetId="11">'CO2 Readings'!$33:$34</definedName>
    <definedName name="ReadingTable" localSheetId="15">'CO2 Readings'!$33:$34</definedName>
    <definedName name="ReadingTable" localSheetId="16">'CO2 Readings'!$33:$34</definedName>
    <definedName name="ReadingTable" localSheetId="19">'CO2 Readings'!$33:$34</definedName>
    <definedName name="ReadingTable">'CO2 Readings'!$33:$34</definedName>
    <definedName name="ReadingTableVOC" localSheetId="13">'TVOC Readings'!$28:$29</definedName>
    <definedName name="ReadingTableVOC" localSheetId="12">'TVOC Readings'!$28:$29</definedName>
    <definedName name="ReadingTableVOC" localSheetId="14">'TVOC Readings'!$28:$29</definedName>
    <definedName name="ReadingTableVOC" localSheetId="10">'TVOC Readings'!$28:$29</definedName>
    <definedName name="ReadingTableVOC" localSheetId="18">'TVOC Readings'!$28:$29</definedName>
    <definedName name="ReadingTableVOC" localSheetId="20">'TVOC Readings'!$28:$29</definedName>
    <definedName name="ReadingTableVOC" localSheetId="17">'TVOC Readings'!$28:$29</definedName>
    <definedName name="ReadingTableVOC" localSheetId="11">'TVOC Readings'!$28:$29</definedName>
    <definedName name="ReadingTableVOC" localSheetId="15">'TVOC Readings'!$28:$29</definedName>
    <definedName name="ReadingTableVOC" localSheetId="16">'TVOC Readings'!$28:$29</definedName>
    <definedName name="ReadingTableVOC" localSheetId="19">'TVOC Readings'!$28:$29</definedName>
    <definedName name="ReadingTableVOC">'TVOC Readings'!$28:$29</definedName>
    <definedName name="Sheets">TRANSPOSE(GET.WORKBOOK(1))&amp;T(NOW())</definedName>
    <definedName name="spacetype" localSheetId="13">Setup!$S$36:$S$98</definedName>
    <definedName name="spacetype" localSheetId="12">Setup!$S$36:$S$98</definedName>
    <definedName name="spacetype" localSheetId="14">Setup!$S$36:$S$98</definedName>
    <definedName name="spacetype" localSheetId="10">Setup!$S$36:$S$98</definedName>
    <definedName name="spacetype" localSheetId="18">Setup!$S$36:$S$98</definedName>
    <definedName name="spacetype" localSheetId="20">Setup!$S$36:$S$98</definedName>
    <definedName name="spacetype" localSheetId="17">Setup!$S$36:$S$98</definedName>
    <definedName name="spacetype" localSheetId="11">Setup!$S$36:$S$98</definedName>
    <definedName name="spacetype" localSheetId="15">Setup!$S$36:$S$98</definedName>
    <definedName name="spacetype" localSheetId="16">Setup!$S$36:$S$98</definedName>
    <definedName name="spacetype" localSheetId="19">Setup!$S$36:$S$98</definedName>
    <definedName name="spacetype">Setup!$S$27:$S$82</definedName>
    <definedName name="sumAnchor">'CO2 Readings'!$F$17:$F$34</definedName>
    <definedName name="sumAnchorVOC">'TVOC Readings'!$G$17:$G$29</definedName>
    <definedName name="sumDate">'CO2 Readings'!$G$17:$G$34</definedName>
    <definedName name="sumDateVOC">'TVOC Readings'!$H$17:$H$29</definedName>
    <definedName name="UniqueDate">'CO2 Readings'!$B$40</definedName>
    <definedName name="UniqueDateVOC">'TVOC Readings'!$B$35</definedName>
    <definedName name="UniqueLoc">'CO2 Readings'!$C$40</definedName>
    <definedName name="UniqueLocVOC">'TVOC Readings'!$C$35</definedName>
    <definedName name="Units">Setup!$M$5:$M$6</definedName>
    <definedName name="UserFormat">'CO2 Readings'!$A$43:$E$43</definedName>
    <definedName name="validUnits">Setup!$L$301:$L$319</definedName>
    <definedName name="water_meter_type" localSheetId="22">'Water meter via upload'!$H$39:$I$51</definedName>
    <definedName name="water_meter_type">base_w!$H$27:$I$39</definedName>
    <definedName name="water_type" localSheetId="22">'Water meter via upload'!$H$39:$I$51</definedName>
    <definedName name="water_type">base_w!$H$27:$I$39</definedName>
    <definedName name="water_units" localSheetId="22">'Water meter via upload'!$H$27:$H$35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upload'!$I$21:$I$23</definedName>
    <definedName name="WaterDrp" localSheetId="19">base_w!$I$9:$I$11</definedName>
    <definedName name="WaterDrp">base_w!$I$9:$I$11</definedName>
    <definedName name="waterType" localSheetId="22">'Water meter via upload'!$H$39:$H$51</definedName>
    <definedName name="waterType">base_w!$H$27:$H$39</definedName>
    <definedName name="waterUnits" localSheetId="22">'Water meter via upload'!$J$22:$J$26</definedName>
    <definedName name="waterUnits">base_w!$J$10:$J$14</definedName>
    <definedName name="watUn" localSheetId="22">'Water meter via upload'!$H$27:$H$35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upload'!$H$27:$H$41</definedName>
    <definedName name="watUni" localSheetId="19">base_w!$H$15:$H$29</definedName>
    <definedName name="watUni">base_w!$H$15:$H$29</definedName>
    <definedName name="waUn">'Waste Stream'!$I$24:$I$30</definedName>
    <definedName name="waunit">'Waste Stream'!$J$21:$J$23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upload'!$J$20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B7" i="13" s="1"/>
  <c r="T19" i="15" a="1"/>
  <c r="T19" i="15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E7" i="12"/>
  <c r="B7" i="12" s="1"/>
  <c r="S19" i="14" a="1"/>
  <c r="S19" i="14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E8" i="13" l="1"/>
  <c r="D7" i="13" a="1"/>
  <c r="D7" i="13" s="1"/>
  <c r="A7" i="13" s="1"/>
  <c r="C7" i="13"/>
  <c r="T24" i="15" a="1"/>
  <c r="T24" i="15" s="1"/>
  <c r="T28" i="15"/>
  <c r="T22" i="15" a="1"/>
  <c r="T22" i="15" s="1"/>
  <c r="T17" i="15"/>
  <c r="T23" i="15" a="1"/>
  <c r="T23" i="15" s="1"/>
  <c r="T25" i="15" a="1"/>
  <c r="T25" i="15" s="1"/>
  <c r="T21" i="15" a="1"/>
  <c r="T21" i="15" s="1"/>
  <c r="T29" i="15" s="1"/>
  <c r="S22" i="15" a="1"/>
  <c r="S22" i="15" s="1"/>
  <c r="S28" i="15"/>
  <c r="S24" i="15" a="1"/>
  <c r="S24" i="15" s="1"/>
  <c r="S17" i="15"/>
  <c r="S23" i="15" a="1"/>
  <c r="S23" i="15" s="1"/>
  <c r="S25" i="15" a="1"/>
  <c r="S25" i="15" s="1"/>
  <c r="S21" i="15" a="1"/>
  <c r="S21" i="15" s="1"/>
  <c r="R22" i="15" a="1"/>
  <c r="R22" i="15" s="1"/>
  <c r="R28" i="15"/>
  <c r="R24" i="15" a="1"/>
  <c r="R24" i="15" s="1"/>
  <c r="R17" i="15"/>
  <c r="R23" i="15" a="1"/>
  <c r="R23" i="15" s="1"/>
  <c r="R25" i="15" a="1"/>
  <c r="R25" i="15" s="1"/>
  <c r="R21" i="15" a="1"/>
  <c r="R21" i="15" s="1"/>
  <c r="R29" i="15" s="1"/>
  <c r="Q22" i="15" a="1"/>
  <c r="Q22" i="15" s="1"/>
  <c r="Q28" i="15"/>
  <c r="Q24" i="15" a="1"/>
  <c r="Q24" i="15" s="1"/>
  <c r="Q17" i="15"/>
  <c r="Q23" i="15" a="1"/>
  <c r="Q23" i="15" s="1"/>
  <c r="Q21" i="15" a="1"/>
  <c r="Q21" i="15" s="1"/>
  <c r="Q25" i="15" a="1"/>
  <c r="Q25" i="15" s="1"/>
  <c r="P22" i="15" a="1"/>
  <c r="P22" i="15" s="1"/>
  <c r="P28" i="15"/>
  <c r="P24" i="15" a="1"/>
  <c r="P24" i="15" s="1"/>
  <c r="P17" i="15"/>
  <c r="P21" i="15" a="1"/>
  <c r="P21" i="15" s="1"/>
  <c r="P25" i="15" a="1"/>
  <c r="P25" i="15" s="1"/>
  <c r="P23" i="15" a="1"/>
  <c r="P23" i="15" s="1"/>
  <c r="O28" i="15"/>
  <c r="O24" i="15" a="1"/>
  <c r="O24" i="15" s="1"/>
  <c r="O22" i="15" a="1"/>
  <c r="O22" i="15" s="1"/>
  <c r="O17" i="15"/>
  <c r="O25" i="15" a="1"/>
  <c r="O25" i="15" s="1"/>
  <c r="O23" i="15" a="1"/>
  <c r="O23" i="15" s="1"/>
  <c r="O21" i="15" a="1"/>
  <c r="O21" i="15" s="1"/>
  <c r="O29" i="15" s="1"/>
  <c r="N22" i="15" a="1"/>
  <c r="N22" i="15" s="1"/>
  <c r="N28" i="15"/>
  <c r="N24" i="15" a="1"/>
  <c r="N24" i="15" s="1"/>
  <c r="N17" i="15"/>
  <c r="N23" i="15" a="1"/>
  <c r="N23" i="15" s="1"/>
  <c r="N25" i="15" a="1"/>
  <c r="N25" i="15" s="1"/>
  <c r="N21" i="15" a="1"/>
  <c r="N21" i="15" s="1"/>
  <c r="N29" i="15" s="1"/>
  <c r="M22" i="15" a="1"/>
  <c r="M22" i="15" s="1"/>
  <c r="M28" i="15"/>
  <c r="M24" i="15" a="1"/>
  <c r="M24" i="15" s="1"/>
  <c r="M21" i="15" a="1"/>
  <c r="M21" i="15" s="1"/>
  <c r="M29" i="15" s="1"/>
  <c r="M17" i="15"/>
  <c r="M25" i="15" a="1"/>
  <c r="M25" i="15" s="1"/>
  <c r="M23" i="15" a="1"/>
  <c r="M23" i="15" s="1"/>
  <c r="L28" i="15"/>
  <c r="L24" i="15" a="1"/>
  <c r="L24" i="15" s="1"/>
  <c r="L22" i="15" a="1"/>
  <c r="L22" i="15" s="1"/>
  <c r="L17" i="15"/>
  <c r="L23" i="15" a="1"/>
  <c r="L23" i="15" s="1"/>
  <c r="L25" i="15" a="1"/>
  <c r="L25" i="15" s="1"/>
  <c r="L21" i="15" a="1"/>
  <c r="L21" i="15" s="1"/>
  <c r="L29" i="15" s="1"/>
  <c r="K22" i="15" a="1"/>
  <c r="K22" i="15" s="1"/>
  <c r="K28" i="15"/>
  <c r="K24" i="15" a="1"/>
  <c r="K24" i="15" s="1"/>
  <c r="K17" i="15"/>
  <c r="K23" i="15" a="1"/>
  <c r="K23" i="15" s="1"/>
  <c r="K25" i="15" a="1"/>
  <c r="K25" i="15" s="1"/>
  <c r="K21" i="15" a="1"/>
  <c r="K21" i="15" s="1"/>
  <c r="K29" i="15" s="1"/>
  <c r="J22" i="15" a="1"/>
  <c r="J22" i="15" s="1"/>
  <c r="J28" i="15"/>
  <c r="J24" i="15" a="1"/>
  <c r="J24" i="15" s="1"/>
  <c r="J17" i="15"/>
  <c r="J21" i="15" a="1"/>
  <c r="J21" i="15" s="1"/>
  <c r="J25" i="15" a="1"/>
  <c r="J25" i="15" s="1"/>
  <c r="J23" i="15" a="1"/>
  <c r="J23" i="15" s="1"/>
  <c r="I28" i="15"/>
  <c r="I24" i="15" a="1"/>
  <c r="I24" i="15" s="1"/>
  <c r="I22" i="15" a="1"/>
  <c r="I22" i="15" s="1"/>
  <c r="I25" i="15" a="1"/>
  <c r="I25" i="15" s="1"/>
  <c r="I23" i="15" a="1"/>
  <c r="I23" i="15" s="1"/>
  <c r="I21" i="15" a="1"/>
  <c r="I21" i="15" s="1"/>
  <c r="I17" i="15"/>
  <c r="E8" i="12"/>
  <c r="D7" i="12"/>
  <c r="A7" i="12" s="1"/>
  <c r="C7" i="12"/>
  <c r="S17" i="14"/>
  <c r="S27" i="14" a="1"/>
  <c r="S27" i="14" s="1"/>
  <c r="S23" i="14" a="1"/>
  <c r="S23" i="14" s="1"/>
  <c r="S33" i="14"/>
  <c r="S29" i="14" a="1"/>
  <c r="S29" i="14" s="1"/>
  <c r="S25" i="14" a="1"/>
  <c r="S25" i="14" s="1"/>
  <c r="S21" i="14" a="1"/>
  <c r="S21" i="14" s="1"/>
  <c r="S28" i="14" a="1"/>
  <c r="S28" i="14" s="1"/>
  <c r="S24" i="14" a="1"/>
  <c r="S24" i="14" s="1"/>
  <c r="S30" i="14" a="1"/>
  <c r="S30" i="14" s="1"/>
  <c r="S26" i="14" a="1"/>
  <c r="S26" i="14" s="1"/>
  <c r="S22" i="14" a="1"/>
  <c r="S22" i="14" s="1"/>
  <c r="R17" i="14"/>
  <c r="R27" i="14" a="1"/>
  <c r="R27" i="14" s="1"/>
  <c r="R23" i="14" a="1"/>
  <c r="R23" i="14" s="1"/>
  <c r="R33" i="14"/>
  <c r="R29" i="14" a="1"/>
  <c r="R29" i="14" s="1"/>
  <c r="R25" i="14" a="1"/>
  <c r="R25" i="14" s="1"/>
  <c r="R21" i="14" a="1"/>
  <c r="R21" i="14" s="1"/>
  <c r="R28" i="14" a="1"/>
  <c r="R28" i="14" s="1"/>
  <c r="R24" i="14" a="1"/>
  <c r="R24" i="14" s="1"/>
  <c r="R22" i="14" a="1"/>
  <c r="R22" i="14" s="1"/>
  <c r="R30" i="14" a="1"/>
  <c r="R30" i="14" s="1"/>
  <c r="R26" i="14" a="1"/>
  <c r="R26" i="14" s="1"/>
  <c r="Q17" i="14"/>
  <c r="Q27" i="14" a="1"/>
  <c r="Q27" i="14" s="1"/>
  <c r="Q23" i="14" a="1"/>
  <c r="Q23" i="14" s="1"/>
  <c r="Q21" i="14" a="1"/>
  <c r="Q21" i="14" s="1"/>
  <c r="Q33" i="14"/>
  <c r="Q29" i="14" a="1"/>
  <c r="Q29" i="14" s="1"/>
  <c r="Q25" i="14" a="1"/>
  <c r="Q25" i="14" s="1"/>
  <c r="Q24" i="14" a="1"/>
  <c r="Q24" i="14" s="1"/>
  <c r="Q30" i="14" a="1"/>
  <c r="Q30" i="14" s="1"/>
  <c r="Q28" i="14" a="1"/>
  <c r="Q28" i="14" s="1"/>
  <c r="Q26" i="14" a="1"/>
  <c r="Q26" i="14" s="1"/>
  <c r="Q22" i="14" a="1"/>
  <c r="Q22" i="14" s="1"/>
  <c r="P17" i="14"/>
  <c r="P27" i="14" a="1"/>
  <c r="P27" i="14" s="1"/>
  <c r="P25" i="14" a="1"/>
  <c r="P25" i="14" s="1"/>
  <c r="P33" i="14"/>
  <c r="P29" i="14" a="1"/>
  <c r="P29" i="14" s="1"/>
  <c r="P23" i="14" a="1"/>
  <c r="P23" i="14" s="1"/>
  <c r="P21" i="14" a="1"/>
  <c r="P21" i="14" s="1"/>
  <c r="P26" i="14" a="1"/>
  <c r="P26" i="14" s="1"/>
  <c r="P22" i="14" a="1"/>
  <c r="P22" i="14" s="1"/>
  <c r="P30" i="14" a="1"/>
  <c r="P30" i="14" s="1"/>
  <c r="P28" i="14" a="1"/>
  <c r="P28" i="14" s="1"/>
  <c r="P24" i="14" a="1"/>
  <c r="P24" i="14" s="1"/>
  <c r="O17" i="14"/>
  <c r="O25" i="14" a="1"/>
  <c r="O25" i="14" s="1"/>
  <c r="O21" i="14" a="1"/>
  <c r="O21" i="14" s="1"/>
  <c r="O28" i="14" a="1"/>
  <c r="O28" i="14" s="1"/>
  <c r="O22" i="14" a="1"/>
  <c r="O22" i="14" s="1"/>
  <c r="O33" i="14"/>
  <c r="O29" i="14" a="1"/>
  <c r="O29" i="14" s="1"/>
  <c r="O27" i="14" a="1"/>
  <c r="O27" i="14" s="1"/>
  <c r="O23" i="14" a="1"/>
  <c r="O23" i="14" s="1"/>
  <c r="O30" i="14" a="1"/>
  <c r="O30" i="14" s="1"/>
  <c r="O26" i="14" a="1"/>
  <c r="O26" i="14" s="1"/>
  <c r="O24" i="14" a="1"/>
  <c r="O24" i="14" s="1"/>
  <c r="N17" i="14"/>
  <c r="N27" i="14" a="1"/>
  <c r="N27" i="14" s="1"/>
  <c r="N25" i="14" a="1"/>
  <c r="N25" i="14" s="1"/>
  <c r="N21" i="14" a="1"/>
  <c r="N21" i="14" s="1"/>
  <c r="N33" i="14"/>
  <c r="N29" i="14" a="1"/>
  <c r="N29" i="14" s="1"/>
  <c r="N23" i="14" a="1"/>
  <c r="N23" i="14" s="1"/>
  <c r="N24" i="14" a="1"/>
  <c r="N24" i="14" s="1"/>
  <c r="N30" i="14" a="1"/>
  <c r="N30" i="14" s="1"/>
  <c r="N28" i="14" a="1"/>
  <c r="N28" i="14" s="1"/>
  <c r="N26" i="14" a="1"/>
  <c r="N26" i="14" s="1"/>
  <c r="N22" i="14" a="1"/>
  <c r="N22" i="14" s="1"/>
  <c r="M17" i="14"/>
  <c r="M27" i="14" a="1"/>
  <c r="M27" i="14" s="1"/>
  <c r="M23" i="14" a="1"/>
  <c r="M23" i="14" s="1"/>
  <c r="M21" i="14" a="1"/>
  <c r="M21" i="14" s="1"/>
  <c r="M33" i="14"/>
  <c r="M29" i="14" a="1"/>
  <c r="M29" i="14" s="1"/>
  <c r="M25" i="14" a="1"/>
  <c r="M25" i="14" s="1"/>
  <c r="M28" i="14" a="1"/>
  <c r="M28" i="14" s="1"/>
  <c r="M24" i="14" a="1"/>
  <c r="M24" i="14" s="1"/>
  <c r="M30" i="14" a="1"/>
  <c r="M30" i="14" s="1"/>
  <c r="M26" i="14" a="1"/>
  <c r="M26" i="14" s="1"/>
  <c r="M22" i="14" a="1"/>
  <c r="M22" i="14" s="1"/>
  <c r="L33" i="14"/>
  <c r="L29" i="14" a="1"/>
  <c r="L29" i="14" s="1"/>
  <c r="L27" i="14" a="1"/>
  <c r="L27" i="14" s="1"/>
  <c r="L25" i="14" a="1"/>
  <c r="L25" i="14" s="1"/>
  <c r="L23" i="14" a="1"/>
  <c r="L23" i="14" s="1"/>
  <c r="L21" i="14" a="1"/>
  <c r="L21" i="14" s="1"/>
  <c r="L17" i="14"/>
  <c r="L30" i="14" a="1"/>
  <c r="L30" i="14" s="1"/>
  <c r="L28" i="14" a="1"/>
  <c r="L28" i="14" s="1"/>
  <c r="L26" i="14" a="1"/>
  <c r="L26" i="14" s="1"/>
  <c r="L24" i="14" a="1"/>
  <c r="L24" i="14" s="1"/>
  <c r="L22" i="14" a="1"/>
  <c r="L22" i="14" s="1"/>
  <c r="K17" i="14"/>
  <c r="K27" i="14" a="1"/>
  <c r="K27" i="14" s="1"/>
  <c r="K23" i="14" a="1"/>
  <c r="K23" i="14" s="1"/>
  <c r="K33" i="14"/>
  <c r="K29" i="14" a="1"/>
  <c r="K29" i="14" s="1"/>
  <c r="K25" i="14" a="1"/>
  <c r="K25" i="14" s="1"/>
  <c r="K21" i="14" a="1"/>
  <c r="K21" i="14" s="1"/>
  <c r="K28" i="14" a="1"/>
  <c r="K28" i="14" s="1"/>
  <c r="K24" i="14" a="1"/>
  <c r="K24" i="14" s="1"/>
  <c r="K30" i="14" a="1"/>
  <c r="K30" i="14" s="1"/>
  <c r="K26" i="14" a="1"/>
  <c r="K26" i="14" s="1"/>
  <c r="K22" i="14" a="1"/>
  <c r="K22" i="14" s="1"/>
  <c r="J17" i="14"/>
  <c r="J27" i="14" a="1"/>
  <c r="J27" i="14" s="1"/>
  <c r="J25" i="14" a="1"/>
  <c r="J25" i="14" s="1"/>
  <c r="J21" i="14" a="1"/>
  <c r="J21" i="14" s="1"/>
  <c r="J33" i="14"/>
  <c r="J29" i="14" a="1"/>
  <c r="J29" i="14" s="1"/>
  <c r="J23" i="14" a="1"/>
  <c r="J23" i="14" s="1"/>
  <c r="J28" i="14" a="1"/>
  <c r="J28" i="14" s="1"/>
  <c r="J24" i="14" a="1"/>
  <c r="J24" i="14" s="1"/>
  <c r="J30" i="14" a="1"/>
  <c r="J30" i="14" s="1"/>
  <c r="J26" i="14" a="1"/>
  <c r="J26" i="14" s="1"/>
  <c r="J22" i="14" a="1"/>
  <c r="J22" i="14" s="1"/>
  <c r="I17" i="14"/>
  <c r="I27" i="14" a="1"/>
  <c r="I27" i="14" s="1"/>
  <c r="I23" i="14" a="1"/>
  <c r="I23" i="14" s="1"/>
  <c r="I21" i="14" a="1"/>
  <c r="I21" i="14" s="1"/>
  <c r="I33" i="14"/>
  <c r="I29" i="14" a="1"/>
  <c r="I29" i="14" s="1"/>
  <c r="I25" i="14" a="1"/>
  <c r="I25" i="14" s="1"/>
  <c r="I22" i="14" a="1"/>
  <c r="I22" i="14" s="1"/>
  <c r="I28" i="14" a="1"/>
  <c r="I28" i="14" s="1"/>
  <c r="I30" i="14" a="1"/>
  <c r="I30" i="14" s="1"/>
  <c r="I26" i="14" a="1"/>
  <c r="I26" i="14" s="1"/>
  <c r="I24" i="14" a="1"/>
  <c r="I24" i="14" s="1"/>
  <c r="H17" i="14"/>
  <c r="H27" i="14" a="1"/>
  <c r="H27" i="14" s="1"/>
  <c r="H23" i="14" a="1"/>
  <c r="H23" i="14" s="1"/>
  <c r="H21" i="14" a="1"/>
  <c r="H21" i="14" s="1"/>
  <c r="H33" i="14"/>
  <c r="H29" i="14" a="1"/>
  <c r="H29" i="14" s="1"/>
  <c r="H25" i="14" a="1"/>
  <c r="H25" i="14" s="1"/>
  <c r="H28" i="14" a="1"/>
  <c r="H28" i="14" s="1"/>
  <c r="H26" i="14" a="1"/>
  <c r="H26" i="14" s="1"/>
  <c r="H22" i="14" a="1"/>
  <c r="H22" i="14" s="1"/>
  <c r="H30" i="14" a="1"/>
  <c r="H30" i="14" s="1"/>
  <c r="H24" i="14" a="1"/>
  <c r="H24" i="14" s="1"/>
  <c r="B8" i="13" l="1"/>
  <c r="E9" i="13"/>
  <c r="S29" i="15"/>
  <c r="Q29" i="15"/>
  <c r="P29" i="15"/>
  <c r="J29" i="15"/>
  <c r="I29" i="15"/>
  <c r="B8" i="12"/>
  <c r="E9" i="12"/>
  <c r="S34" i="14"/>
  <c r="R34" i="14"/>
  <c r="Q34" i="14"/>
  <c r="P34" i="14"/>
  <c r="O34" i="14"/>
  <c r="N34" i="14"/>
  <c r="M34" i="14"/>
  <c r="L34" i="14"/>
  <c r="K34" i="14"/>
  <c r="J34" i="14"/>
  <c r="I34" i="14"/>
  <c r="H34" i="14"/>
  <c r="C8" i="13" l="1"/>
  <c r="D8" i="13" a="1"/>
  <c r="D8" i="13" s="1"/>
  <c r="A8" i="13" s="1"/>
  <c r="E10" i="13"/>
  <c r="B9" i="13"/>
  <c r="B9" i="12"/>
  <c r="E10" i="12"/>
  <c r="C8" i="12"/>
  <c r="D8" i="12"/>
  <c r="A8" i="12" s="1"/>
  <c r="B10" i="13" l="1"/>
  <c r="E11" i="13"/>
  <c r="D9" i="13" a="1"/>
  <c r="D9" i="13" s="1"/>
  <c r="A9" i="13" s="1"/>
  <c r="C9" i="13"/>
  <c r="D9" i="12"/>
  <c r="A9" i="12" s="1"/>
  <c r="C9" i="12"/>
  <c r="E11" i="12"/>
  <c r="B10" i="12"/>
  <c r="C10" i="13" l="1"/>
  <c r="D10" i="13" a="1"/>
  <c r="D10" i="13" s="1"/>
  <c r="A10" i="13" s="1"/>
  <c r="E12" i="13"/>
  <c r="B11" i="13"/>
  <c r="C10" i="12"/>
  <c r="D10" i="12"/>
  <c r="A10" i="12" s="1"/>
  <c r="E12" i="12"/>
  <c r="B11" i="12"/>
  <c r="E13" i="13" l="1"/>
  <c r="B12" i="13"/>
  <c r="C11" i="13"/>
  <c r="D11" i="13" a="1"/>
  <c r="D11" i="13" s="1"/>
  <c r="A11" i="13" s="1"/>
  <c r="E13" i="12"/>
  <c r="B12" i="12"/>
  <c r="D11" i="12"/>
  <c r="A11" i="12" s="1"/>
  <c r="C11" i="12"/>
  <c r="B13" i="13" l="1"/>
  <c r="E14" i="13"/>
  <c r="D12" i="13" a="1"/>
  <c r="D12" i="13" s="1"/>
  <c r="A12" i="13" s="1"/>
  <c r="C12" i="13"/>
  <c r="B13" i="12"/>
  <c r="E14" i="12"/>
  <c r="D12" i="12"/>
  <c r="A12" i="12" s="1"/>
  <c r="C12" i="12"/>
  <c r="C13" i="13" l="1"/>
  <c r="D13" i="13" a="1"/>
  <c r="D13" i="13" s="1"/>
  <c r="A13" i="13" s="1"/>
  <c r="E15" i="13"/>
  <c r="B14" i="13"/>
  <c r="D13" i="12"/>
  <c r="A13" i="12" s="1"/>
  <c r="C13" i="12"/>
  <c r="B14" i="12"/>
  <c r="E15" i="12"/>
  <c r="B15" i="13" l="1"/>
  <c r="E16" i="13"/>
  <c r="C14" i="13"/>
  <c r="D14" i="13" a="1"/>
  <c r="D14" i="13" s="1"/>
  <c r="A14" i="13" s="1"/>
  <c r="E16" i="12"/>
  <c r="B15" i="12"/>
  <c r="D14" i="12"/>
  <c r="A14" i="12" s="1"/>
  <c r="C14" i="12"/>
  <c r="D15" i="13" l="1" a="1"/>
  <c r="D15" i="13" s="1"/>
  <c r="A15" i="13" s="1"/>
  <c r="C15" i="13"/>
  <c r="E17" i="13"/>
  <c r="B16" i="13"/>
  <c r="D15" i="12"/>
  <c r="A15" i="12" s="1"/>
  <c r="C15" i="12"/>
  <c r="B16" i="12"/>
  <c r="E17" i="12"/>
  <c r="D16" i="13" l="1" a="1"/>
  <c r="D16" i="13" s="1"/>
  <c r="A16" i="13" s="1"/>
  <c r="C16" i="13"/>
  <c r="E18" i="13"/>
  <c r="B17" i="13"/>
  <c r="E18" i="12"/>
  <c r="B17" i="12"/>
  <c r="C16" i="12"/>
  <c r="D16" i="12"/>
  <c r="A16" i="12" s="1"/>
  <c r="D17" i="13" l="1" a="1"/>
  <c r="D17" i="13" s="1"/>
  <c r="A17" i="13" s="1"/>
  <c r="C17" i="13"/>
  <c r="B18" i="13"/>
  <c r="E19" i="13"/>
  <c r="B19" i="13" s="1"/>
  <c r="D17" i="12"/>
  <c r="A17" i="12" s="1"/>
  <c r="C17" i="12"/>
  <c r="E19" i="12"/>
  <c r="B19" i="12" s="1"/>
  <c r="D19" i="12" s="1"/>
  <c r="A19" i="12" s="1"/>
  <c r="B18" i="12"/>
  <c r="D19" i="13" l="1" a="1"/>
  <c r="D19" i="13" s="1"/>
  <c r="A19" i="13" s="1"/>
  <c r="C19" i="13"/>
  <c r="D18" i="13" a="1"/>
  <c r="D18" i="13" s="1"/>
  <c r="A18" i="13" s="1"/>
  <c r="C18" i="13"/>
  <c r="C18" i="12"/>
  <c r="D18" i="12"/>
  <c r="A18" i="12" s="1"/>
  <c r="C19" i="12"/>
  <c r="D6" i="29" l="1"/>
  <c r="B1" i="29"/>
  <c r="D1" i="29" s="1"/>
  <c r="D6" i="28"/>
  <c r="B1" i="28"/>
  <c r="D1" i="28" s="1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J8" i="16" l="1"/>
  <c r="K8" i="16"/>
  <c r="J9" i="16"/>
  <c r="K9" i="16"/>
  <c r="J10" i="16"/>
  <c r="K10" i="16"/>
  <c r="J11" i="16"/>
  <c r="K11" i="16"/>
  <c r="J12" i="16"/>
  <c r="K12" i="16"/>
  <c r="J13" i="16"/>
  <c r="K13" i="16"/>
  <c r="J14" i="16"/>
  <c r="K14" i="16"/>
  <c r="I14" i="16" s="1"/>
  <c r="J15" i="16"/>
  <c r="K15" i="16"/>
  <c r="I15" i="16" s="1"/>
  <c r="J16" i="16"/>
  <c r="K16" i="16"/>
  <c r="I16" i="16" s="1"/>
  <c r="J7" i="16" l="1"/>
  <c r="K7" i="16"/>
  <c r="H19" i="16" l="1"/>
  <c r="G19" i="16"/>
  <c r="H19" i="15" l="1" a="1"/>
  <c r="H19" i="15" s="1"/>
  <c r="G19" i="14" a="1"/>
  <c r="G19" i="14" s="1"/>
  <c r="E19" i="16" l="1"/>
  <c r="J17" i="16" l="1"/>
  <c r="K17" i="16"/>
  <c r="I17" i="16" s="1"/>
  <c r="J18" i="16"/>
  <c r="K18" i="16"/>
  <c r="I18" i="16" s="1"/>
  <c r="J22" i="16" l="1"/>
  <c r="F19" i="16" s="1"/>
  <c r="B21" i="15" a="1"/>
  <c r="B21" i="15" s="1"/>
  <c r="B21" i="14" a="1"/>
  <c r="B21" i="14" s="1"/>
  <c r="D22" i="16"/>
  <c r="B22" i="16"/>
  <c r="D6" i="16"/>
  <c r="C16" i="1"/>
  <c r="D6" i="13"/>
  <c r="D6" i="12"/>
  <c r="E32" i="15"/>
  <c r="C35" i="15" a="1"/>
  <c r="C35" i="15" s="1"/>
  <c r="B35" i="15" a="1"/>
  <c r="B35" i="15" s="1"/>
  <c r="C40" i="14" a="1"/>
  <c r="C40" i="14" s="1"/>
  <c r="B40" i="14" a="1"/>
  <c r="B40" i="14" s="1"/>
  <c r="E37" i="14"/>
  <c r="B1" i="6"/>
  <c r="B1" i="8"/>
  <c r="B1" i="4"/>
  <c r="D6" i="8"/>
  <c r="D6" i="6"/>
  <c r="D6" i="4"/>
  <c r="E6" i="11"/>
  <c r="D6" i="11"/>
  <c r="B22" i="14" l="1" a="1"/>
  <c r="B22" i="14" s="1"/>
  <c r="A21" i="15"/>
  <c r="B22" i="15" a="1"/>
  <c r="B22" i="15" s="1"/>
  <c r="H21" i="15" a="1"/>
  <c r="H21" i="15" s="1"/>
  <c r="H17" i="15"/>
  <c r="H28" i="15"/>
  <c r="D23" i="16"/>
  <c r="D1" i="8"/>
  <c r="D1" i="6"/>
  <c r="D1" i="4"/>
  <c r="I19" i="16"/>
  <c r="D24" i="16" s="1"/>
  <c r="G17" i="14"/>
  <c r="G33" i="14"/>
  <c r="A21" i="14"/>
  <c r="G21" i="14" a="1"/>
  <c r="G21" i="14" s="1"/>
  <c r="B23" i="15" l="1" a="1"/>
  <c r="B23" i="15" s="1"/>
  <c r="B23" i="14" a="1"/>
  <c r="B23" i="14" s="1"/>
  <c r="B32" i="15"/>
  <c r="C32" i="15" s="1"/>
  <c r="G22" i="14" a="1"/>
  <c r="G22" i="14" s="1"/>
  <c r="A22" i="14"/>
  <c r="A22" i="15"/>
  <c r="H22" i="15" a="1"/>
  <c r="H22" i="15" s="1"/>
  <c r="B37" i="14"/>
  <c r="C37" i="14" s="1"/>
  <c r="A23" i="15" l="1"/>
  <c r="H23" i="15" a="1"/>
  <c r="H23" i="15" s="1"/>
  <c r="B24" i="15" a="1"/>
  <c r="B24" i="15" s="1"/>
  <c r="A23" i="14"/>
  <c r="G23" i="14" a="1"/>
  <c r="G23" i="14" s="1"/>
  <c r="B24" i="14" a="1"/>
  <c r="B24" i="14" s="1"/>
  <c r="B25" i="15" l="1" a="1"/>
  <c r="B25" i="15" s="1"/>
  <c r="H24" i="15" a="1"/>
  <c r="H24" i="15" s="1"/>
  <c r="A24" i="15"/>
  <c r="A24" i="14"/>
  <c r="G24" i="14" a="1"/>
  <c r="G24" i="14" s="1"/>
  <c r="B25" i="14" a="1"/>
  <c r="B25" i="14" s="1"/>
  <c r="H25" i="15" l="1" a="1"/>
  <c r="H25" i="15" s="1"/>
  <c r="A25" i="15"/>
  <c r="B26" i="14" a="1"/>
  <c r="B26" i="14" s="1"/>
  <c r="G25" i="14" a="1"/>
  <c r="G25" i="14" s="1"/>
  <c r="A25" i="14"/>
  <c r="B27" i="14" l="1" a="1"/>
  <c r="B27" i="14" s="1"/>
  <c r="G26" i="14" a="1"/>
  <c r="G26" i="14" s="1"/>
  <c r="A26" i="14"/>
  <c r="A27" i="14" l="1"/>
  <c r="B28" i="14" a="1"/>
  <c r="B28" i="14" s="1"/>
  <c r="G27" i="14" a="1"/>
  <c r="G27" i="14" s="1"/>
  <c r="H29" i="15" l="1"/>
  <c r="A28" i="14"/>
  <c r="B29" i="14" a="1"/>
  <c r="B29" i="14" s="1"/>
  <c r="G28" i="14" a="1"/>
  <c r="G28" i="14" s="1"/>
  <c r="D32" i="15" l="1" a="1"/>
  <c r="D32" i="15" s="1"/>
  <c r="A32" i="15" s="1"/>
  <c r="B30" i="14" a="1"/>
  <c r="B30" i="14" s="1"/>
  <c r="G29" i="14" a="1"/>
  <c r="G29" i="14" s="1"/>
  <c r="A29" i="14"/>
  <c r="A30" i="14" l="1"/>
  <c r="G30" i="14" a="1"/>
  <c r="G30" i="14" s="1"/>
  <c r="G34" i="14" l="1"/>
  <c r="D37" i="14" l="1"/>
  <c r="A3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<sst xmlns="http://schemas.openxmlformats.org/spreadsheetml/2006/main" count="3873" uniqueCount="743">
  <si>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</si>
  <si>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</si>
  <si>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</si>
  <si>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</si>
  <si>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</si>
  <si>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</si>
  <si>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</si>
  <si>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</si>
  <si>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</si>
  <si>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</si>
  <si>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</si>
  <si>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</si>
  <si>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</si>
  <si>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</si>
  <si>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</si>
  <si>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</si>
  <si>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</si>
  <si>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</si>
  <si>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</si>
  <si>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</si>
  <si>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</si>
  <si>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</si>
  <si>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</si>
  <si>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</si>
  <si>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</si>
  <si>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</si>
  <si>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</si>
  <si>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</si>
  <si>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</si>
  <si>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</si>
  <si>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</si>
  <si>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</si>
  <si>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</si>
  <si>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</si>
  <si>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</si>
  <si>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</si>
  <si>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</si>
  <si>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</si>
  <si>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</si>
  <si>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</si>
  <si>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</si>
  <si>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</si>
  <si>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</si>
  <si>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</si>
  <si>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</si>
  <si>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</si>
  <si>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</si>
  <si>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</si>
  <si>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</si>
  <si>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</si>
  <si>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</si>
  <si>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</si>
  <si>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</si>
  <si>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</si>
  <si>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</si>
  <si>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</si>
  <si>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</si>
  <si>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</si>
  <si>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</si>
  <si>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</si>
  <si>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</si>
  <si>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</si>
  <si>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</si>
  <si>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</si>
  <si>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</si>
  <si>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</si>
  <si>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</si>
  <si>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</si>
  <si>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</si>
  <si>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</si>
  <si>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</si>
  <si>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</si>
  <si>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</si>
  <si>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</si>
  <si>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</si>
  <si>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</si>
  <si>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</si>
  <si>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</si>
  <si>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</si>
  <si>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</si>
  <si>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</si>
  <si>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</si>
  <si>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</si>
  <si>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</si>
  <si>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</si>
  <si>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</si>
  <si>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</si>
  <si>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</si>
  <si>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</si>
  <si>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</si>
  <si>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</si>
  <si>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</si>
  <si>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</si>
  <si>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</si>
  <si>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</si>
  <si>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</si>
  <si>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</si>
  <si>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</si>
  <si>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</si>
  <si>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</si>
  <si>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</si>
  <si>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</si>
  <si>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</si>
  <si>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</si>
  <si>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</si>
  <si>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</si>
  <si>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</si>
  <si>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</si>
  <si>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</si>
  <si>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</si>
  <si>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</si>
  <si>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</si>
  <si>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</si>
  <si>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</si>
  <si>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</si>
  <si>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</si>
  <si>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</si>
  <si>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</si>
  <si>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</si>
  <si>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</si>
  <si>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</si>
  <si>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</si>
  <si>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</si>
  <si>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</si>
  <si>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</si>
  <si>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</si>
  <si>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</si>
  <si>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</si>
  <si>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</si>
  <si>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</si>
  <si>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</si>
  <si>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</si>
  <si>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</si>
  <si>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</si>
  <si>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</si>
  <si>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</si>
  <si>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</si>
  <si>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</si>
  <si>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</si>
  <si>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</si>
  <si>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</si>
  <si>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</si>
  <si>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</si>
  <si>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</si>
  <si>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</si>
  <si>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</si>
  <si>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</si>
  <si>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</si>
  <si>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</si>
  <si>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</si>
  <si>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</si>
  <si>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</si>
  <si>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</si>
  <si>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</si>
  <si>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</si>
  <si>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</si>
  <si>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</si>
  <si>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</si>
  <si>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</si>
  <si>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</si>
  <si>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</si>
  <si>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</si>
  <si>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</si>
  <si>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</si>
  <si>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</si>
  <si>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</si>
  <si>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</si>
  <si>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</si>
  <si>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</si>
  <si>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</si>
  <si>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</si>
  <si>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</si>
  <si>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</si>
  <si>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</si>
  <si>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</si>
  <si>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</si>
  <si>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</si>
  <si>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</si>
  <si>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</si>
  <si>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</si>
  <si>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</si>
  <si>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</si>
  <si>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</si>
  <si>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</si>
  <si>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</si>
  <si>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</si>
  <si>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</si>
  <si>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</si>
  <si>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</si>
  <si>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</si>
  <si>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</si>
  <si>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</si>
  <si>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</si>
  <si>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</si>
  <si>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</si>
  <si>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</si>
  <si>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</si>
  <si>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</si>
  <si>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</si>
  <si>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</si>
  <si>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</si>
  <si>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</si>
  <si>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</si>
  <si>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</si>
  <si>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</si>
  <si>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</si>
  <si>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</si>
  <si>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</si>
  <si>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</si>
  <si>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</si>
  <si>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</si>
  <si>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</si>
  <si>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</si>
  <si>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</si>
  <si>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</si>
  <si>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</si>
  <si>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</si>
  <si>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</si>
  <si>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</si>
  <si>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</si>
  <si>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</si>
  <si>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</si>
  <si>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</si>
  <si>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</si>
  <si>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</si>
  <si>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</si>
  <si>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</si>
  <si>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</si>
  <si>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</si>
  <si>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</si>
  <si>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</si>
  <si>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</si>
  <si>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</si>
  <si>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</si>
  <si>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</si>
  <si>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</si>
  <si>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</si>
  <si>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</si>
  <si>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</si>
  <si>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</si>
  <si>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</si>
  <si>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</si>
  <si>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</si>
  <si>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</si>
  <si>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</si>
  <si>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</si>
  <si>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</si>
  <si>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</si>
  <si>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</si>
  <si>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</si>
  <si>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</si>
  <si>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</si>
  <si>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</si>
  <si>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</si>
  <si>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</si>
  <si>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</si>
  <si>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</si>
  <si>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</si>
  <si>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</si>
  <si>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</si>
  <si>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</si>
  <si>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</si>
  <si>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</si>
  <si>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</si>
  <si>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</si>
  <si>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</si>
  <si>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</si>
  <si>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</si>
  <si>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</si>
  <si>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</si>
  <si>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</si>
  <si>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</si>
  <si>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</si>
  <si>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</si>
  <si>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</si>
  <si>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</si>
  <si>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</si>
  <si>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</si>
  <si>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</si>
  <si>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</si>
  <si>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</si>
  <si>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</si>
  <si>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</si>
  <si>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</si>
  <si>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</si>
  <si>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</si>
  <si>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</si>
  <si>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</si>
  <si>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</si>
  <si>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</si>
  <si>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</si>
  <si>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</si>
  <si>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</si>
  <si>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</si>
  <si>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</si>
  <si>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</si>
  <si>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</si>
  <si>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</si>
  <si>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</si>
  <si>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</si>
  <si>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</si>
  <si>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</si>
  <si>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</si>
  <si>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</si>
  <si>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</si>
  <si>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</si>
  <si>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</si>
  <si>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</si>
  <si>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</si>
  <si>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</si>
  <si>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</si>
  <si>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</si>
  <si>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</si>
  <si>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</si>
  <si>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</si>
  <si>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</si>
  <si>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</si>
  <si>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</si>
  <si>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</si>
  <si>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</si>
  <si>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</si>
  <si>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</si>
  <si>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</si>
  <si>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</si>
  <si>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</si>
  <si>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</si>
  <si>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</si>
  <si>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</si>
  <si>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</si>
  <si>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</si>
  <si>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</si>
  <si>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</si>
  <si>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</si>
  <si>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</si>
  <si>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</si>
  <si>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</si>
  <si>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</si>
  <si>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</si>
  <si>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</si>
  <si>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</si>
  <si>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</si>
  <si>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</si>
  <si>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</si>
  <si>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</si>
  <si>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</si>
  <si>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</si>
  <si>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</si>
  <si>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</si>
  <si>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</si>
  <si>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</si>
  <si>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</si>
  <si>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</si>
  <si>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</si>
  <si>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</si>
  <si>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</si>
  <si>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</si>
  <si>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</si>
  <si>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</si>
  <si>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</si>
  <si>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</si>
  <si>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</si>
  <si>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</si>
  <si>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</si>
  <si>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</si>
  <si>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</si>
  <si>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</si>
  <si>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</si>
  <si>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</si>
  <si>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</si>
  <si>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</si>
  <si>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</si>
  <si>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</si>
  <si>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</si>
  <si>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</si>
  <si>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</si>
  <si>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</si>
  <si>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</si>
  <si>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</si>
  <si>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</si>
  <si>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</si>
  <si>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</si>
  <si>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</si>
  <si>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</si>
  <si>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</si>
  <si>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</si>
  <si>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</si>
  <si>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</si>
  <si>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</si>
  <si>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</si>
  <si>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</si>
  <si>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</si>
  <si>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</si>
  <si>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</si>
  <si>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</si>
  <si>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</si>
  <si>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</si>
  <si>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</si>
  <si>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</si>
  <si>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</si>
  <si>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</si>
  <si>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</si>
  <si>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</si>
  <si>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</si>
  <si>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</si>
  <si>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</si>
  <si>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</si>
  <si>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</si>
  <si>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</si>
  <si>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</si>
  <si>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</si>
  <si>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</si>
  <si>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</si>
  <si>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</si>
  <si>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</si>
  <si>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</si>
  <si>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</si>
  <si>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</si>
  <si>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</si>
  <si>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</si>
  <si>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</si>
  <si>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</si>
  <si>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</si>
  <si>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</si>
  <si>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</si>
  <si>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</si>
  <si>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</si>
  <si>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</si>
  <si>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</si>
  <si>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</si>
  <si>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</si>
  <si>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</si>
  <si>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</si>
  <si>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</si>
  <si>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</si>
  <si>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</si>
  <si>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</si>
  <si>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</si>
  <si>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</si>
  <si>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</si>
  <si>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</si>
  <si>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</si>
  <si>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</si>
  <si>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</si>
  <si>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</si>
  <si>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</si>
  <si>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</si>
  <si>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</si>
  <si>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</si>
  <si>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</si>
  <si>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</si>
  <si>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</si>
  <si>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</si>
  <si>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</si>
  <si>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</si>
  <si>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</si>
  <si>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</si>
  <si>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</si>
  <si>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</si>
  <si>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</si>
  <si>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</si>
  <si>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</si>
  <si>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</si>
  <si>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</si>
  <si>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</si>
  <si>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</si>
  <si>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</si>
  <si>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</si>
  <si>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</si>
  <si>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</si>
  <si>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</si>
  <si>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</si>
  <si>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</si>
  <si>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</si>
  <si>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</si>
  <si>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</si>
  <si>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</si>
  <si>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</si>
  <si>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</si>
  <si>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</si>
  <si>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</si>
  <si>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</si>
  <si>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</si>
  <si>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</si>
  <si>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</si>
  <si>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</si>
  <si>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</si>
  <si>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</si>
  <si>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</si>
  <si>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</si>
  <si>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</si>
  <si>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</si>
  <si>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</si>
  <si>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</si>
  <si>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</si>
  <si>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</si>
  <si>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</si>
  <si>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</si>
  <si>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</si>
  <si>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</si>
  <si>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</si>
  <si>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</si>
  <si>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</si>
  <si>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</si>
  <si>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</si>
  <si>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</si>
  <si>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</si>
  <si>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</si>
  <si>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</si>
  <si>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</si>
  <si>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</si>
  <si>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</si>
  <si>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</si>
  <si>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</si>
  <si>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</si>
  <si>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</si>
  <si>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</si>
  <si>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</si>
  <si>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</si>
  <si>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</si>
  <si>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</si>
  <si>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</si>
  <si>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</si>
  <si>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</si>
  <si>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</si>
  <si>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</si>
  <si>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</si>
  <si>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</si>
  <si>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</si>
  <si>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</si>
  <si>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</si>
  <si>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</si>
  <si>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</si>
  <si>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</si>
  <si>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</si>
  <si>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</si>
  <si>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</si>
  <si>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</si>
  <si>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</si>
  <si>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</si>
  <si>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</si>
  <si>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</si>
  <si>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</si>
  <si>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</si>
  <si>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</si>
  <si>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</si>
  <si>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</si>
  <si>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</si>
  <si>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</si>
  <si>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</si>
  <si>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</si>
  <si>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</si>
  <si>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</si>
  <si>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</si>
  <si>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</si>
  <si>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</si>
  <si>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</si>
  <si>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</si>
  <si>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</si>
  <si>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</si>
  <si>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</si>
  <si>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</si>
  <si>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</si>
  <si>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</si>
  <si>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</si>
  <si>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</si>
  <si>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</si>
  <si>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</si>
  <si>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</si>
  <si>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</si>
  <si>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</si>
  <si>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</si>
  <si>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</si>
  <si>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</si>
  <si>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</si>
  <si>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</si>
  <si>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</si>
  <si>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</si>
  <si>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</si>
  <si>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</si>
  <si>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</si>
  <si>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</si>
  <si>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</si>
  <si>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</si>
  <si>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</si>
  <si>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</si>
  <si>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</si>
  <si>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</si>
  <si>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</si>
  <si>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</si>
  <si>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</si>
  <si>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</si>
  <si>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</si>
  <si>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</si>
  <si>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</si>
  <si>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</si>
  <si>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</si>
  <si>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</si>
  <si>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</si>
  <si>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</si>
  <si>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</si>
  <si>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</si>
  <si>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</si>
  <si>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</si>
  <si>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</si>
  <si>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</si>
  <si>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</si>
  <si>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</si>
  <si>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</si>
  <si>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</si>
  <si>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</si>
  <si>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</si>
  <si>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</si>
  <si>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</si>
  <si>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</si>
  <si>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</si>
  <si>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</si>
  <si>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</si>
  <si>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</si>
  <si>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</si>
  <si>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</si>
  <si>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</si>
  <si>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</si>
  <si>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</si>
  <si>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</si>
  <si>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</si>
  <si>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</si>
  <si>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</si>
  <si>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</si>
  <si>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</si>
  <si>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</si>
  <si>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</si>
  <si>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</si>
  <si>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</si>
  <si>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</si>
  <si>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</si>
  <si>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</si>
  <si>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</si>
  <si>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</si>
  <si>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</si>
  <si>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</si>
  <si>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</si>
  <si>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</si>
  <si>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</si>
  <si>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</si>
  <si>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</si>
  <si>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</si>
  <si>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</si>
  <si>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</si>
  <si>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</si>
  <si>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</si>
  <si>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</si>
  <si>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</si>
  <si>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</si>
  <si>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</si>
  <si>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</si>
  <si>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</si>
  <si>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</si>
  <si>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</si>
  <si>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</si>
  <si>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</si>
  <si>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</si>
  <si>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</si>
  <si>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</si>
  <si>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</si>
  <si>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</si>
  <si>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</si>
  <si>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</si>
  <si>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</si>
  <si>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</si>
  <si>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</si>
  <si>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</si>
  <si>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</si>
  <si>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</si>
  <si>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</si>
  <si>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</si>
  <si>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</si>
  <si>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</si>
  <si>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</si>
  <si>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</si>
  <si>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</si>
  <si>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</si>
  <si>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</si>
  <si>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</si>
  <si>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</si>
  <si>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</si>
  <si>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</si>
  <si>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</si>
  <si>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</si>
  <si>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</si>
  <si>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</si>
  <si>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</si>
  <si>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</si>
  <si>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</si>
  <si>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</si>
  <si>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</si>
  <si>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</si>
  <si>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</si>
  <si>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</si>
  <si>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</si>
  <si>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</si>
  <si>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</si>
  <si>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</si>
  <si>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</si>
  <si>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</si>
  <si>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</si>
  <si>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</si>
  <si>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</si>
  <si>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</si>
  <si>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</si>
  <si>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</si>
  <si>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</si>
  <si>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</si>
  <si>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</si>
  <si>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</si>
  <si>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</si>
  <si>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</si>
  <si>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</si>
  <si>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</si>
  <si>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</si>
  <si>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</si>
  <si>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</si>
  <si>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</si>
  <si>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</si>
  <si>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</si>
  <si>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</si>
  <si>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v4.1</t>
  </si>
  <si>
    <t>Room1</t>
  </si>
  <si>
    <t>Room2</t>
  </si>
  <si>
    <t>Room3</t>
  </si>
  <si>
    <t>Room4</t>
  </si>
  <si>
    <t>Room5</t>
  </si>
  <si>
    <t>Goa</t>
  </si>
  <si>
    <t>Hyd</t>
  </si>
  <si>
    <t>Energy Meter via upload</t>
  </si>
  <si>
    <t>Water meter via upload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</si>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</sst>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 vertical="center" indent="1"/>
    </xf>
    <xf numFmtId="0" fontId="2" fillId="2" borderId="7" xfId="0" applyFont="1" applyFill="1" applyBorder="1" applyAlignment="1">
      <alignment horizontal="left" vertical="center" indent="1"/>
    </xf>
    <xf numFmtId="0" fontId="0" fillId="2" borderId="9" xfId="0" applyFill="1" applyBorder="1"/>
    <xf numFmtId="0" fontId="2" fillId="4" borderId="76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2" fontId="3" fillId="2" borderId="0" xfId="0" applyNumberFormat="1" applyFont="1" applyFill="1" applyAlignment="1">
      <alignment horizontal="left" vertical="center"/>
    </xf>
    <xf numFmtId="2" fontId="3" fillId="2" borderId="0" xfId="0" applyNumberFormat="1" applyFont="1" applyFill="1" applyAlignment="1">
      <alignment horizontal="right" vertical="center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9525</xdr:rowOff>
        </xdr:from>
        <xdr:to>
          <xdr:col>2</xdr:col>
          <xdr:colOff>447675</xdr:colOff>
          <xdr:row>21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21</xdr:row>
          <xdr:rowOff>400050</xdr:rowOff>
        </xdr:from>
        <xdr:to>
          <xdr:col>3</xdr:col>
          <xdr:colOff>981075</xdr:colOff>
          <xdr:row>23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28575</xdr:rowOff>
        </xdr:from>
        <xdr:to>
          <xdr:col>2</xdr:col>
          <xdr:colOff>466725</xdr:colOff>
          <xdr:row>21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21</xdr:row>
          <xdr:rowOff>352425</xdr:rowOff>
        </xdr:from>
        <xdr:to>
          <xdr:col>3</xdr:col>
          <xdr:colOff>990600</xdr:colOff>
          <xdr:row>23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5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topLeftCell="A4" zoomScale="90" zoomScaleNormal="90" workbookViewId="0">
      <selection activeCell="F21" sqref="F21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63" t="s">
        <v>706</v>
      </c>
      <c r="D3" s="264"/>
      <c r="E3" s="264"/>
      <c r="F3" s="26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2" t="s">
        <v>624</v>
      </c>
      <c r="D8" s="193"/>
      <c r="E8" s="194"/>
      <c r="F8" s="195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6" t="s">
        <v>571</v>
      </c>
      <c r="D9" s="193"/>
      <c r="E9" s="194"/>
      <c r="F9" s="197" t="s">
        <v>707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8" t="s">
        <v>625</v>
      </c>
      <c r="D10" s="198"/>
      <c r="E10" s="193"/>
      <c r="F10" s="199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628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692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3"/>
      <c r="C15" s="261" t="s">
        <v>494</v>
      </c>
      <c r="D15" s="261"/>
      <c r="E15" s="261"/>
      <c r="F15" s="210">
        <v>2017</v>
      </c>
      <c r="G15" s="9"/>
      <c r="H15" s="9"/>
      <c r="I15" s="10"/>
      <c r="J15" s="9"/>
      <c r="K15" s="214"/>
      <c r="L15" s="127"/>
      <c r="M15" s="127"/>
      <c r="N15" s="127"/>
    </row>
    <row r="16" spans="2:14" x14ac:dyDescent="0.25">
      <c r="B16" s="213"/>
      <c r="C16" s="261" t="str">
        <f>CONCATENATE("Gross 
Floor Area 
",IF(Setup!$F$9="SI units","(sq m)","(sq ft)"))</f>
        <v>Gross 
Floor Area 
(sq ft)</v>
      </c>
      <c r="D16" s="261"/>
      <c r="E16" s="261"/>
      <c r="F16" s="212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3"/>
      <c r="C17" s="261" t="s">
        <v>495</v>
      </c>
      <c r="D17" s="261"/>
      <c r="E17" s="261"/>
      <c r="F17" s="211">
        <v>30</v>
      </c>
      <c r="G17" s="11"/>
      <c r="H17" s="11"/>
      <c r="I17" s="12"/>
      <c r="J17" s="11"/>
      <c r="K17" s="214"/>
      <c r="L17" s="127"/>
      <c r="M17" s="127"/>
      <c r="N17" s="127"/>
    </row>
    <row r="18" spans="2:19" x14ac:dyDescent="0.25">
      <c r="B18" s="213"/>
      <c r="C18" s="261" t="s">
        <v>496</v>
      </c>
      <c r="D18" s="261"/>
      <c r="E18" s="261"/>
      <c r="F18" s="211">
        <v>9</v>
      </c>
      <c r="G18" s="11"/>
      <c r="H18" s="11"/>
      <c r="I18" s="12"/>
      <c r="J18" s="11"/>
      <c r="K18" s="214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5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626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0"/>
      <c r="D24" s="200"/>
      <c r="E24" s="200"/>
      <c r="F24" s="200"/>
      <c r="G24" s="201"/>
      <c r="H24" s="201"/>
      <c r="I24" s="202"/>
      <c r="J24" s="201"/>
      <c r="K24" s="140"/>
    </row>
    <row r="25" spans="2:19" ht="21" customHeight="1" x14ac:dyDescent="0.25">
      <c r="B25" s="139"/>
      <c r="C25" s="203" t="s">
        <v>627</v>
      </c>
      <c r="D25" s="204"/>
      <c r="E25" s="200"/>
      <c r="F25" s="200"/>
      <c r="G25" s="205"/>
      <c r="H25" s="205"/>
      <c r="I25" s="205"/>
      <c r="J25" s="205"/>
      <c r="K25" s="140"/>
    </row>
    <row r="26" spans="2:19" ht="30.6" customHeight="1" x14ac:dyDescent="0.25">
      <c r="B26" s="139"/>
      <c r="C26" s="262" t="s">
        <v>575</v>
      </c>
      <c r="D26" s="262"/>
      <c r="E26" s="262"/>
      <c r="F26" s="262"/>
      <c r="G26" s="205"/>
      <c r="H26" s="205"/>
      <c r="I26" s="205"/>
      <c r="J26" s="205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8" t="s">
        <v>609</v>
      </c>
    </row>
    <row r="27" spans="2:19" ht="11.25" customHeight="1" x14ac:dyDescent="0.25">
      <c r="B27" s="207"/>
      <c r="C27" s="206"/>
      <c r="D27" s="206"/>
      <c r="E27" s="206"/>
      <c r="F27" s="206"/>
      <c r="G27" s="205"/>
      <c r="H27" s="205"/>
      <c r="I27" s="205"/>
      <c r="J27" s="205"/>
      <c r="K27" s="209"/>
      <c r="L27" s="208" t="s">
        <v>8</v>
      </c>
      <c r="M27" s="130" t="s">
        <v>9</v>
      </c>
      <c r="O27" s="128" t="s">
        <v>546</v>
      </c>
      <c r="Q27" s="128" t="s">
        <v>546</v>
      </c>
      <c r="S27" s="219" t="s">
        <v>636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9" t="s">
        <v>637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9" t="s">
        <v>638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9" t="s">
        <v>639</v>
      </c>
    </row>
    <row r="31" spans="2:19" x14ac:dyDescent="0.25">
      <c r="F31" s="129"/>
      <c r="K31" s="141" t="s">
        <v>725</v>
      </c>
      <c r="L31" s="130" t="s">
        <v>16</v>
      </c>
      <c r="M31" s="130" t="s">
        <v>17</v>
      </c>
      <c r="O31" s="128" t="s">
        <v>562</v>
      </c>
      <c r="S31" s="219" t="s">
        <v>640</v>
      </c>
    </row>
    <row r="32" spans="2:19" x14ac:dyDescent="0.25">
      <c r="K32" s="141" t="s">
        <v>631</v>
      </c>
      <c r="L32" s="130" t="s">
        <v>18</v>
      </c>
      <c r="M32" s="130" t="s">
        <v>19</v>
      </c>
      <c r="S32" s="219" t="s">
        <v>641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9" t="s">
        <v>642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9" t="s">
        <v>643</v>
      </c>
    </row>
    <row r="35" spans="11:19" x14ac:dyDescent="0.25">
      <c r="L35" s="130" t="s">
        <v>24</v>
      </c>
      <c r="M35" s="130" t="s">
        <v>25</v>
      </c>
      <c r="S35" s="219" t="s">
        <v>644</v>
      </c>
    </row>
    <row r="36" spans="11:19" x14ac:dyDescent="0.25">
      <c r="L36" s="130" t="s">
        <v>26</v>
      </c>
      <c r="M36" s="130" t="s">
        <v>27</v>
      </c>
      <c r="S36" s="219" t="s">
        <v>645</v>
      </c>
    </row>
    <row r="37" spans="11:19" x14ac:dyDescent="0.25">
      <c r="L37" s="130" t="s">
        <v>28</v>
      </c>
      <c r="M37" s="130" t="s">
        <v>29</v>
      </c>
      <c r="S37" s="219" t="s">
        <v>646</v>
      </c>
    </row>
    <row r="38" spans="11:19" x14ac:dyDescent="0.25">
      <c r="L38" s="130" t="s">
        <v>30</v>
      </c>
      <c r="M38" s="130" t="s">
        <v>31</v>
      </c>
      <c r="S38" s="219" t="s">
        <v>647</v>
      </c>
    </row>
    <row r="39" spans="11:19" x14ac:dyDescent="0.25">
      <c r="L39" s="130" t="s">
        <v>32</v>
      </c>
      <c r="M39" s="130" t="s">
        <v>33</v>
      </c>
      <c r="S39" s="219" t="s">
        <v>648</v>
      </c>
    </row>
    <row r="40" spans="11:19" x14ac:dyDescent="0.25">
      <c r="L40" s="130" t="s">
        <v>34</v>
      </c>
      <c r="M40" s="130" t="s">
        <v>35</v>
      </c>
      <c r="S40" s="219" t="s">
        <v>649</v>
      </c>
    </row>
    <row r="41" spans="11:19" x14ac:dyDescent="0.25">
      <c r="L41" s="130" t="s">
        <v>36</v>
      </c>
      <c r="M41" s="130" t="s">
        <v>37</v>
      </c>
      <c r="S41" s="219" t="s">
        <v>650</v>
      </c>
    </row>
    <row r="42" spans="11:19" x14ac:dyDescent="0.25">
      <c r="L42" s="130" t="s">
        <v>38</v>
      </c>
      <c r="M42" s="130" t="s">
        <v>39</v>
      </c>
      <c r="S42" s="219" t="s">
        <v>651</v>
      </c>
    </row>
    <row r="43" spans="11:19" x14ac:dyDescent="0.25">
      <c r="L43" s="130" t="s">
        <v>40</v>
      </c>
      <c r="M43" s="130" t="s">
        <v>41</v>
      </c>
      <c r="S43" s="219" t="s">
        <v>652</v>
      </c>
    </row>
    <row r="44" spans="11:19" x14ac:dyDescent="0.25">
      <c r="L44" s="130" t="s">
        <v>42</v>
      </c>
      <c r="M44" s="130" t="s">
        <v>43</v>
      </c>
      <c r="S44" s="219" t="s">
        <v>653</v>
      </c>
    </row>
    <row r="45" spans="11:19" x14ac:dyDescent="0.25">
      <c r="L45" s="130" t="s">
        <v>44</v>
      </c>
      <c r="M45" s="130" t="s">
        <v>45</v>
      </c>
      <c r="S45" s="219" t="s">
        <v>654</v>
      </c>
    </row>
    <row r="46" spans="11:19" x14ac:dyDescent="0.25">
      <c r="L46" s="130" t="s">
        <v>46</v>
      </c>
      <c r="M46" s="130" t="s">
        <v>47</v>
      </c>
      <c r="S46" s="219" t="s">
        <v>655</v>
      </c>
    </row>
    <row r="47" spans="11:19" x14ac:dyDescent="0.25">
      <c r="L47" s="130" t="s">
        <v>48</v>
      </c>
      <c r="M47" s="130" t="s">
        <v>49</v>
      </c>
      <c r="S47" s="219" t="s">
        <v>656</v>
      </c>
    </row>
    <row r="48" spans="11:19" x14ac:dyDescent="0.25">
      <c r="L48" s="130" t="s">
        <v>50</v>
      </c>
      <c r="M48" s="130" t="s">
        <v>51</v>
      </c>
      <c r="S48" s="219" t="s">
        <v>657</v>
      </c>
    </row>
    <row r="49" spans="12:19" x14ac:dyDescent="0.25">
      <c r="L49" s="130" t="s">
        <v>52</v>
      </c>
      <c r="M49" s="130" t="s">
        <v>53</v>
      </c>
      <c r="S49" s="219" t="s">
        <v>658</v>
      </c>
    </row>
    <row r="50" spans="12:19" x14ac:dyDescent="0.25">
      <c r="L50" s="130" t="s">
        <v>54</v>
      </c>
      <c r="M50" s="130" t="s">
        <v>55</v>
      </c>
      <c r="S50" s="219" t="s">
        <v>659</v>
      </c>
    </row>
    <row r="51" spans="12:19" x14ac:dyDescent="0.25">
      <c r="L51" s="130" t="s">
        <v>56</v>
      </c>
      <c r="M51" s="130" t="s">
        <v>57</v>
      </c>
      <c r="S51" s="219" t="s">
        <v>660</v>
      </c>
    </row>
    <row r="52" spans="12:19" x14ac:dyDescent="0.25">
      <c r="L52" s="130" t="s">
        <v>58</v>
      </c>
      <c r="M52" s="130" t="s">
        <v>59</v>
      </c>
      <c r="S52" s="219" t="s">
        <v>661</v>
      </c>
    </row>
    <row r="53" spans="12:19" x14ac:dyDescent="0.25">
      <c r="L53" s="130" t="s">
        <v>60</v>
      </c>
      <c r="M53" s="130" t="s">
        <v>61</v>
      </c>
      <c r="S53" s="219" t="s">
        <v>662</v>
      </c>
    </row>
    <row r="54" spans="12:19" x14ac:dyDescent="0.25">
      <c r="L54" s="130" t="s">
        <v>62</v>
      </c>
      <c r="M54" s="130" t="s">
        <v>63</v>
      </c>
      <c r="S54" s="219" t="s">
        <v>663</v>
      </c>
    </row>
    <row r="55" spans="12:19" x14ac:dyDescent="0.25">
      <c r="L55" s="130" t="s">
        <v>64</v>
      </c>
      <c r="M55" s="130" t="s">
        <v>65</v>
      </c>
      <c r="S55" s="219" t="s">
        <v>664</v>
      </c>
    </row>
    <row r="56" spans="12:19" x14ac:dyDescent="0.25">
      <c r="L56" s="130" t="s">
        <v>66</v>
      </c>
      <c r="M56" s="130" t="s">
        <v>67</v>
      </c>
      <c r="S56" s="219" t="s">
        <v>665</v>
      </c>
    </row>
    <row r="57" spans="12:19" x14ac:dyDescent="0.25">
      <c r="L57" s="130" t="s">
        <v>68</v>
      </c>
      <c r="M57" s="130" t="s">
        <v>69</v>
      </c>
      <c r="S57" s="219" t="s">
        <v>666</v>
      </c>
    </row>
    <row r="58" spans="12:19" x14ac:dyDescent="0.25">
      <c r="L58" s="130" t="s">
        <v>70</v>
      </c>
      <c r="M58" s="130" t="s">
        <v>71</v>
      </c>
      <c r="S58" s="219" t="s">
        <v>667</v>
      </c>
    </row>
    <row r="59" spans="12:19" x14ac:dyDescent="0.25">
      <c r="L59" s="130" t="s">
        <v>72</v>
      </c>
      <c r="M59" s="130" t="s">
        <v>73</v>
      </c>
      <c r="S59" s="219" t="s">
        <v>668</v>
      </c>
    </row>
    <row r="60" spans="12:19" x14ac:dyDescent="0.25">
      <c r="L60" s="130" t="s">
        <v>74</v>
      </c>
      <c r="M60" s="130" t="s">
        <v>75</v>
      </c>
      <c r="S60" s="219" t="s">
        <v>669</v>
      </c>
    </row>
    <row r="61" spans="12:19" x14ac:dyDescent="0.25">
      <c r="L61" s="130" t="s">
        <v>76</v>
      </c>
      <c r="M61" s="130" t="s">
        <v>77</v>
      </c>
      <c r="S61" s="219" t="s">
        <v>670</v>
      </c>
    </row>
    <row r="62" spans="12:19" x14ac:dyDescent="0.25">
      <c r="L62" s="130" t="s">
        <v>78</v>
      </c>
      <c r="M62" s="130" t="s">
        <v>79</v>
      </c>
      <c r="S62" s="219" t="s">
        <v>671</v>
      </c>
    </row>
    <row r="63" spans="12:19" x14ac:dyDescent="0.25">
      <c r="L63" s="130" t="s">
        <v>80</v>
      </c>
      <c r="M63" s="130" t="s">
        <v>81</v>
      </c>
      <c r="S63" s="219" t="s">
        <v>672</v>
      </c>
    </row>
    <row r="64" spans="12:19" x14ac:dyDescent="0.25">
      <c r="L64" s="130" t="s">
        <v>82</v>
      </c>
      <c r="M64" s="130" t="s">
        <v>83</v>
      </c>
      <c r="S64" s="219" t="s">
        <v>673</v>
      </c>
    </row>
    <row r="65" spans="12:19" x14ac:dyDescent="0.25">
      <c r="L65" s="130" t="s">
        <v>84</v>
      </c>
      <c r="M65" s="130" t="s">
        <v>85</v>
      </c>
      <c r="S65" s="219" t="s">
        <v>674</v>
      </c>
    </row>
    <row r="66" spans="12:19" x14ac:dyDescent="0.25">
      <c r="L66" s="130" t="s">
        <v>86</v>
      </c>
      <c r="M66" s="130" t="s">
        <v>87</v>
      </c>
      <c r="S66" s="219" t="s">
        <v>675</v>
      </c>
    </row>
    <row r="67" spans="12:19" x14ac:dyDescent="0.25">
      <c r="L67" s="130" t="s">
        <v>88</v>
      </c>
      <c r="M67" s="130" t="s">
        <v>89</v>
      </c>
      <c r="S67" s="219" t="s">
        <v>676</v>
      </c>
    </row>
    <row r="68" spans="12:19" x14ac:dyDescent="0.25">
      <c r="L68" s="130" t="s">
        <v>90</v>
      </c>
      <c r="M68" s="130" t="s">
        <v>91</v>
      </c>
      <c r="S68" s="219" t="s">
        <v>677</v>
      </c>
    </row>
    <row r="69" spans="12:19" x14ac:dyDescent="0.25">
      <c r="L69" s="130" t="s">
        <v>92</v>
      </c>
      <c r="M69" s="130" t="s">
        <v>93</v>
      </c>
      <c r="S69" s="219" t="s">
        <v>678</v>
      </c>
    </row>
    <row r="70" spans="12:19" x14ac:dyDescent="0.25">
      <c r="L70" s="130" t="s">
        <v>94</v>
      </c>
      <c r="M70" s="130" t="s">
        <v>95</v>
      </c>
      <c r="S70" s="219" t="s">
        <v>679</v>
      </c>
    </row>
    <row r="71" spans="12:19" x14ac:dyDescent="0.25">
      <c r="L71" s="130" t="s">
        <v>96</v>
      </c>
      <c r="M71" s="130" t="s">
        <v>97</v>
      </c>
      <c r="S71" s="219" t="s">
        <v>680</v>
      </c>
    </row>
    <row r="72" spans="12:19" x14ac:dyDescent="0.25">
      <c r="L72" s="130" t="s">
        <v>98</v>
      </c>
      <c r="M72" s="130" t="s">
        <v>99</v>
      </c>
      <c r="S72" s="219" t="s">
        <v>681</v>
      </c>
    </row>
    <row r="73" spans="12:19" x14ac:dyDescent="0.25">
      <c r="L73" s="130" t="s">
        <v>100</v>
      </c>
      <c r="M73" s="130" t="s">
        <v>101</v>
      </c>
      <c r="S73" s="219" t="s">
        <v>682</v>
      </c>
    </row>
    <row r="74" spans="12:19" x14ac:dyDescent="0.25">
      <c r="L74" s="130" t="s">
        <v>102</v>
      </c>
      <c r="M74" s="130" t="s">
        <v>103</v>
      </c>
      <c r="S74" s="219" t="s">
        <v>683</v>
      </c>
    </row>
    <row r="75" spans="12:19" x14ac:dyDescent="0.25">
      <c r="L75" s="130" t="s">
        <v>104</v>
      </c>
      <c r="M75" s="130" t="s">
        <v>105</v>
      </c>
      <c r="S75" s="219" t="s">
        <v>684</v>
      </c>
    </row>
    <row r="76" spans="12:19" x14ac:dyDescent="0.25">
      <c r="L76" s="130" t="s">
        <v>106</v>
      </c>
      <c r="M76" s="130" t="s">
        <v>107</v>
      </c>
      <c r="S76" s="219" t="s">
        <v>685</v>
      </c>
    </row>
    <row r="77" spans="12:19" x14ac:dyDescent="0.25">
      <c r="L77" s="130" t="s">
        <v>108</v>
      </c>
      <c r="M77" s="130" t="s">
        <v>109</v>
      </c>
      <c r="S77" s="219" t="s">
        <v>686</v>
      </c>
    </row>
    <row r="78" spans="12:19" x14ac:dyDescent="0.25">
      <c r="L78" s="130" t="s">
        <v>110</v>
      </c>
      <c r="M78" s="130" t="s">
        <v>111</v>
      </c>
      <c r="S78" s="219" t="s">
        <v>687</v>
      </c>
    </row>
    <row r="79" spans="12:19" x14ac:dyDescent="0.25">
      <c r="L79" s="130" t="s">
        <v>112</v>
      </c>
      <c r="M79" s="130" t="s">
        <v>113</v>
      </c>
      <c r="S79" s="219" t="s">
        <v>688</v>
      </c>
    </row>
    <row r="80" spans="12:19" x14ac:dyDescent="0.25">
      <c r="L80" s="130" t="s">
        <v>114</v>
      </c>
      <c r="M80" s="130" t="s">
        <v>115</v>
      </c>
      <c r="S80" s="219" t="s">
        <v>689</v>
      </c>
    </row>
    <row r="81" spans="12:19" x14ac:dyDescent="0.25">
      <c r="L81" s="130" t="s">
        <v>116</v>
      </c>
      <c r="M81" s="130" t="s">
        <v>117</v>
      </c>
      <c r="S81" s="219" t="s">
        <v>690</v>
      </c>
    </row>
    <row r="82" spans="12:19" x14ac:dyDescent="0.25">
      <c r="L82" s="130" t="s">
        <v>118</v>
      </c>
      <c r="M82" s="130" t="s">
        <v>119</v>
      </c>
      <c r="S82" s="219" t="s">
        <v>691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sheetProtection algorithmName="SHA-512" hashValue="iV3rLUN50kd8hQFnSELIDJXj9yhtm+QNzSQjwGeXQ80sRFlul78blTEzeiTYZWEIuHZ3SrsQfni/a9sb3Ouj2A==" saltValue="msgATsbMm/0DkkC9ElUTZg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43" t="str">
        <f ca="1">B1</f>
        <v>base_w</v>
      </c>
      <c r="E1" s="1"/>
    </row>
    <row r="2" spans="1:9" x14ac:dyDescent="0.25">
      <c r="A2" s="6" t="s">
        <v>603</v>
      </c>
      <c r="B2" s="233" t="s">
        <v>570</v>
      </c>
      <c r="C2" s="241"/>
      <c r="D2" s="234"/>
      <c r="E2" s="1"/>
    </row>
    <row r="3" spans="1:9" x14ac:dyDescent="0.25">
      <c r="A3" s="6" t="s">
        <v>603</v>
      </c>
      <c r="B3" s="232" t="s">
        <v>700</v>
      </c>
      <c r="C3" s="242"/>
      <c r="D3" s="234" t="s">
        <v>695</v>
      </c>
      <c r="E3" s="1"/>
    </row>
    <row r="4" spans="1:9" x14ac:dyDescent="0.25">
      <c r="A4" s="6" t="s">
        <v>603</v>
      </c>
      <c r="B4" s="232" t="s">
        <v>571</v>
      </c>
      <c r="C4" s="242"/>
      <c r="D4" s="234" t="s">
        <v>530</v>
      </c>
      <c r="E4" s="1"/>
    </row>
    <row r="5" spans="1:9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9" ht="24.75" customHeight="1" x14ac:dyDescent="0.25">
      <c r="A6" s="6">
        <v>10</v>
      </c>
      <c r="B6" s="237" t="s">
        <v>549</v>
      </c>
      <c r="C6" s="237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695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696</v>
      </c>
    </row>
    <row r="11" spans="1:9" x14ac:dyDescent="0.25">
      <c r="I11" t="s">
        <v>697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698</v>
      </c>
    </row>
    <row r="28" spans="8:8" x14ac:dyDescent="0.25">
      <c r="H28" s="5" t="s">
        <v>699</v>
      </c>
    </row>
    <row r="29" spans="8:8" x14ac:dyDescent="0.25">
      <c r="H29" s="5" t="s">
        <v>693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33" t="s">
        <v>570</v>
      </c>
      <c r="C2" s="241"/>
      <c r="D2" s="234"/>
      <c r="E2" s="1"/>
    </row>
    <row r="3" spans="1:10" x14ac:dyDescent="0.25">
      <c r="A3" s="6" t="s">
        <v>603</v>
      </c>
      <c r="B3" s="232" t="s">
        <v>700</v>
      </c>
      <c r="C3" s="242"/>
      <c r="D3" s="234" t="s">
        <v>694</v>
      </c>
      <c r="E3" s="1"/>
    </row>
    <row r="4" spans="1:10" x14ac:dyDescent="0.25">
      <c r="A4" s="6" t="s">
        <v>603</v>
      </c>
      <c r="B4" s="232" t="s">
        <v>571</v>
      </c>
      <c r="C4" s="242"/>
      <c r="D4" s="234" t="s">
        <v>535</v>
      </c>
      <c r="E4" s="1"/>
    </row>
    <row r="5" spans="1:10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10" ht="24" customHeight="1" x14ac:dyDescent="0.25">
      <c r="A6" s="6">
        <v>10</v>
      </c>
      <c r="B6" s="237" t="s">
        <v>549</v>
      </c>
      <c r="C6" s="23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33" t="s">
        <v>570</v>
      </c>
      <c r="C2" s="238"/>
      <c r="D2" s="234"/>
      <c r="E2" s="1"/>
    </row>
    <row r="3" spans="1:24" ht="29.25" customHeight="1" x14ac:dyDescent="0.25">
      <c r="A3" s="6" t="s">
        <v>603</v>
      </c>
      <c r="B3" s="232" t="s">
        <v>572</v>
      </c>
      <c r="C3" s="239"/>
      <c r="D3" s="235" t="s">
        <v>518</v>
      </c>
      <c r="E3" s="1"/>
    </row>
    <row r="4" spans="1:24" ht="15.75" customHeight="1" x14ac:dyDescent="0.25">
      <c r="A4" s="6" t="s">
        <v>603</v>
      </c>
      <c r="B4" s="232" t="s">
        <v>571</v>
      </c>
      <c r="C4" s="12"/>
      <c r="D4" s="236" t="s">
        <v>535</v>
      </c>
      <c r="E4" s="1"/>
    </row>
    <row r="5" spans="1:24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24" ht="24" customHeight="1" x14ac:dyDescent="0.25">
      <c r="A6" s="6">
        <v>10</v>
      </c>
      <c r="B6" s="237" t="s">
        <v>549</v>
      </c>
      <c r="C6" s="237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6"/>
  <sheetViews>
    <sheetView showGridLines="0" topLeftCell="A3" zoomScale="90" zoomScaleNormal="90" workbookViewId="0">
      <selection activeCell="E23" sqref="E23"/>
    </sheetView>
  </sheetViews>
  <sheetFormatPr defaultColWidth="9.140625" defaultRowHeight="12.75" x14ac:dyDescent="0.2"/>
  <cols>
    <col min="1" max="1" width="2.7109375" style="227" customWidth="1"/>
    <col min="2" max="2" width="38.5703125" style="161" customWidth="1"/>
    <col min="3" max="3" width="45.7109375" style="184" customWidth="1"/>
    <col min="4" max="4" width="15.7109375" style="184" customWidth="1"/>
    <col min="5" max="5" width="14.7109375" style="184" customWidth="1"/>
    <col min="6" max="6" width="19.85546875" style="184" customWidth="1"/>
    <col min="7" max="9" width="14.7109375" style="184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2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3"/>
      <c r="B2" s="158" t="s">
        <v>623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2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4"/>
      <c r="B4" s="267" t="s">
        <v>606</v>
      </c>
      <c r="C4" s="267"/>
      <c r="D4" s="267"/>
      <c r="E4" s="267"/>
      <c r="F4" s="267"/>
      <c r="G4" s="267"/>
      <c r="H4" s="267"/>
      <c r="I4" s="267"/>
    </row>
    <row r="5" spans="1:12" ht="17.45" customHeight="1" x14ac:dyDescent="0.2">
      <c r="A5" s="225"/>
      <c r="B5" s="162"/>
      <c r="C5" s="163"/>
      <c r="D5" s="163"/>
      <c r="E5" s="163"/>
      <c r="F5" s="164"/>
      <c r="G5" s="165" t="s">
        <v>607</v>
      </c>
      <c r="H5" s="166"/>
      <c r="I5" s="167"/>
      <c r="J5" s="168"/>
      <c r="K5" s="168"/>
      <c r="L5" s="160"/>
    </row>
    <row r="6" spans="1:12" ht="44.45" customHeight="1" x14ac:dyDescent="0.2">
      <c r="A6" s="226">
        <v>19</v>
      </c>
      <c r="B6" s="169" t="s">
        <v>608</v>
      </c>
      <c r="C6" s="170" t="s">
        <v>609</v>
      </c>
      <c r="D6" s="170" t="str">
        <f>CONCATENATE("Gross 
Floor Area
",IF(Setup!$F$9="SI Units","(sq m)","(sq ft)"))</f>
        <v>Gross 
Floor Area
(sq ft)</v>
      </c>
      <c r="E6" s="170" t="s">
        <v>610</v>
      </c>
      <c r="F6" s="170" t="s">
        <v>611</v>
      </c>
      <c r="G6" s="171" t="s">
        <v>612</v>
      </c>
      <c r="H6" s="172" t="s">
        <v>613</v>
      </c>
      <c r="I6" s="173" t="s">
        <v>614</v>
      </c>
      <c r="J6" s="174" t="s">
        <v>615</v>
      </c>
      <c r="K6" s="220" t="s">
        <v>616</v>
      </c>
      <c r="L6" s="221"/>
    </row>
    <row r="7" spans="1:12" ht="15" customHeight="1" x14ac:dyDescent="0.2">
      <c r="A7" s="175"/>
      <c r="B7" s="176" t="s">
        <v>726</v>
      </c>
      <c r="C7" s="180" t="s">
        <v>638</v>
      </c>
      <c r="D7" s="178">
        <v>111</v>
      </c>
      <c r="E7" s="177">
        <v>10</v>
      </c>
      <c r="F7" s="177">
        <v>1</v>
      </c>
      <c r="G7" s="177">
        <v>2</v>
      </c>
      <c r="H7" s="181">
        <v>2</v>
      </c>
      <c r="I7" s="179">
        <v>3</v>
      </c>
      <c r="J7" s="161">
        <f t="shared" ref="J7" si="0">E7*D7</f>
        <v>1110</v>
      </c>
      <c r="K7" s="161">
        <f t="shared" ref="K7" si="1">E7/7</f>
        <v>1.4285714285714286</v>
      </c>
    </row>
    <row r="8" spans="1:12" ht="15" customHeight="1" x14ac:dyDescent="0.2">
      <c r="A8" s="175"/>
      <c r="B8" s="176" t="s">
        <v>727</v>
      </c>
      <c r="C8" s="180" t="s">
        <v>639</v>
      </c>
      <c r="D8" s="178">
        <v>20</v>
      </c>
      <c r="E8" s="177">
        <v>10</v>
      </c>
      <c r="F8" s="177">
        <v>1</v>
      </c>
      <c r="G8" s="177">
        <v>1</v>
      </c>
      <c r="H8" s="181">
        <v>11</v>
      </c>
      <c r="I8" s="179">
        <v>8</v>
      </c>
      <c r="J8" s="161">
        <f t="shared" ref="J8:J16" si="2">E8*D8</f>
        <v>200</v>
      </c>
      <c r="K8" s="161">
        <f t="shared" ref="K8:K16" si="3">E8/7</f>
        <v>1.4285714285714286</v>
      </c>
    </row>
    <row r="9" spans="1:12" ht="15" customHeight="1" x14ac:dyDescent="0.2">
      <c r="A9" s="175"/>
      <c r="B9" s="176" t="s">
        <v>728</v>
      </c>
      <c r="C9" s="180" t="s">
        <v>641</v>
      </c>
      <c r="D9" s="178">
        <v>20</v>
      </c>
      <c r="E9" s="177">
        <v>20</v>
      </c>
      <c r="F9" s="177">
        <v>23</v>
      </c>
      <c r="G9" s="177">
        <v>22</v>
      </c>
      <c r="H9" s="181">
        <v>3</v>
      </c>
      <c r="I9" s="179">
        <v>23</v>
      </c>
      <c r="J9" s="161">
        <f t="shared" si="2"/>
        <v>400</v>
      </c>
      <c r="K9" s="161">
        <f t="shared" si="3"/>
        <v>2.8571428571428572</v>
      </c>
    </row>
    <row r="10" spans="1:12" ht="15" customHeight="1" x14ac:dyDescent="0.2">
      <c r="A10" s="175"/>
      <c r="B10" s="176" t="s">
        <v>729</v>
      </c>
      <c r="C10" s="180" t="s">
        <v>643</v>
      </c>
      <c r="D10" s="178">
        <v>22</v>
      </c>
      <c r="E10" s="177">
        <v>33</v>
      </c>
      <c r="F10" s="177">
        <v>33</v>
      </c>
      <c r="G10" s="177">
        <v>33</v>
      </c>
      <c r="H10" s="181">
        <v>3</v>
      </c>
      <c r="I10" s="179">
        <v>21</v>
      </c>
      <c r="J10" s="161">
        <f t="shared" si="2"/>
        <v>726</v>
      </c>
      <c r="K10" s="161">
        <f t="shared" si="3"/>
        <v>4.7142857142857144</v>
      </c>
    </row>
    <row r="11" spans="1:12" ht="15" customHeight="1" x14ac:dyDescent="0.2">
      <c r="A11" s="175"/>
      <c r="B11" s="176" t="s">
        <v>730</v>
      </c>
      <c r="C11" s="180" t="s">
        <v>666</v>
      </c>
      <c r="D11" s="178">
        <v>1111</v>
      </c>
      <c r="E11" s="177">
        <v>1</v>
      </c>
      <c r="F11" s="177">
        <v>1</v>
      </c>
      <c r="G11" s="177">
        <v>1</v>
      </c>
      <c r="H11" s="181">
        <v>1</v>
      </c>
      <c r="I11" s="179">
        <v>7</v>
      </c>
      <c r="J11" s="161">
        <f t="shared" si="2"/>
        <v>1111</v>
      </c>
      <c r="K11" s="161">
        <f t="shared" si="3"/>
        <v>0.14285714285714285</v>
      </c>
    </row>
    <row r="12" spans="1:12" ht="15" customHeight="1" x14ac:dyDescent="0.2">
      <c r="A12" s="175"/>
      <c r="B12" s="176"/>
      <c r="C12" s="180"/>
      <c r="D12" s="178"/>
      <c r="E12" s="177">
        <v>10</v>
      </c>
      <c r="F12" s="177"/>
      <c r="G12" s="177"/>
      <c r="H12" s="181"/>
      <c r="I12" s="179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/>
      <c r="B13" s="176"/>
      <c r="C13" s="180"/>
      <c r="D13" s="178"/>
      <c r="E13" s="177"/>
      <c r="F13" s="177"/>
      <c r="G13" s="177"/>
      <c r="H13" s="181"/>
      <c r="I13" s="179"/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76"/>
      <c r="C14" s="180"/>
      <c r="D14" s="178"/>
      <c r="E14" s="177"/>
      <c r="F14" s="177"/>
      <c r="G14" s="177"/>
      <c r="H14" s="181"/>
      <c r="I14" s="179" t="str">
        <f t="shared" ref="I14:I16" si="4">IFERROR((G14/K14)*H14," ")</f>
        <v xml:space="preserve"> </v>
      </c>
      <c r="J14" s="161">
        <f t="shared" si="2"/>
        <v>0</v>
      </c>
      <c r="K14" s="161">
        <f t="shared" si="3"/>
        <v>0</v>
      </c>
    </row>
    <row r="15" spans="1:12" ht="15" customHeight="1" x14ac:dyDescent="0.2">
      <c r="A15" s="175"/>
      <c r="B15" s="176"/>
      <c r="C15" s="180"/>
      <c r="D15" s="178"/>
      <c r="E15" s="177"/>
      <c r="F15" s="177"/>
      <c r="G15" s="177"/>
      <c r="H15" s="181"/>
      <c r="I15" s="179" t="str">
        <f t="shared" si="4"/>
        <v xml:space="preserve"> </v>
      </c>
      <c r="J15" s="161">
        <f t="shared" si="2"/>
        <v>0</v>
      </c>
      <c r="K15" s="161">
        <f t="shared" si="3"/>
        <v>0</v>
      </c>
    </row>
    <row r="16" spans="1:12" ht="15" customHeight="1" x14ac:dyDescent="0.2">
      <c r="A16" s="175"/>
      <c r="B16" s="176"/>
      <c r="C16" s="180"/>
      <c r="D16" s="178"/>
      <c r="E16" s="177"/>
      <c r="F16" s="177"/>
      <c r="G16" s="177"/>
      <c r="H16" s="181"/>
      <c r="I16" s="179" t="str">
        <f t="shared" si="4"/>
        <v xml:space="preserve"> </v>
      </c>
      <c r="J16" s="161">
        <f t="shared" si="2"/>
        <v>0</v>
      </c>
      <c r="K16" s="161">
        <f t="shared" si="3"/>
        <v>0</v>
      </c>
    </row>
    <row r="17" spans="1:11" ht="15" customHeight="1" x14ac:dyDescent="0.2">
      <c r="A17" s="175"/>
      <c r="B17" s="176"/>
      <c r="C17" s="180"/>
      <c r="D17" s="178"/>
      <c r="E17" s="177"/>
      <c r="F17" s="177"/>
      <c r="G17" s="177"/>
      <c r="H17" s="181"/>
      <c r="I17" s="179" t="str">
        <f t="shared" ref="I17:I18" si="5">IFERROR((G17/K17)*H17," ")</f>
        <v xml:space="preserve"> </v>
      </c>
      <c r="J17" s="161">
        <f t="shared" ref="J17:J18" si="6">E17*D17</f>
        <v>0</v>
      </c>
      <c r="K17" s="161">
        <f t="shared" ref="K17:K18" si="7">E17/7</f>
        <v>0</v>
      </c>
    </row>
    <row r="18" spans="1:11" ht="15" customHeight="1" x14ac:dyDescent="0.2">
      <c r="A18" s="175"/>
      <c r="B18" s="176"/>
      <c r="C18" s="180"/>
      <c r="D18" s="178"/>
      <c r="E18" s="177"/>
      <c r="F18" s="177"/>
      <c r="G18" s="177"/>
      <c r="H18" s="181"/>
      <c r="I18" s="179" t="str">
        <f t="shared" si="5"/>
        <v xml:space="preserve"> </v>
      </c>
      <c r="J18" s="161">
        <f t="shared" si="6"/>
        <v>0</v>
      </c>
      <c r="K18" s="161">
        <f t="shared" si="7"/>
        <v>0</v>
      </c>
    </row>
    <row r="19" spans="1:11" ht="20.25" customHeight="1" x14ac:dyDescent="0.2">
      <c r="A19" s="175" t="s">
        <v>551</v>
      </c>
      <c r="B19" s="268" t="s">
        <v>617</v>
      </c>
      <c r="C19" s="269"/>
      <c r="D19" s="246">
        <f>IFERROR(SUM(D7:D18)," ")</f>
        <v>1284</v>
      </c>
      <c r="E19" s="182">
        <f>SUM(E7:E18)</f>
        <v>84</v>
      </c>
      <c r="F19" s="182">
        <f>SUM(F7:F18)+J22</f>
        <v>74.125</v>
      </c>
      <c r="G19" s="182">
        <f>SUM(G7:G18)</f>
        <v>59</v>
      </c>
      <c r="H19" s="182">
        <f>SUM(H7:H18)</f>
        <v>20</v>
      </c>
      <c r="I19" s="183">
        <f>SUM(I7:I18)</f>
        <v>62</v>
      </c>
    </row>
    <row r="20" spans="1:11" ht="33.75" customHeight="1" x14ac:dyDescent="0.2"/>
    <row r="21" spans="1:11" x14ac:dyDescent="0.2">
      <c r="B21" s="160"/>
    </row>
    <row r="22" spans="1:11" x14ac:dyDescent="0.2">
      <c r="A22" s="228"/>
      <c r="B22" s="270" t="str">
        <f>CONCATENATE("Gross 
Floor Area 
",IF(Setup!$F$9="SI Units","(sq m)","(sq ft)"))</f>
        <v>Gross 
Floor Area 
(sq ft)</v>
      </c>
      <c r="C22" s="271"/>
      <c r="D22" s="244">
        <f>IFERROR(D19," ")</f>
        <v>1284</v>
      </c>
      <c r="F22" s="185"/>
      <c r="G22" s="272" t="s">
        <v>618</v>
      </c>
      <c r="H22" s="273"/>
      <c r="J22" s="229">
        <f>(G24*H24)/8</f>
        <v>15.125</v>
      </c>
    </row>
    <row r="23" spans="1:11" ht="38.25" x14ac:dyDescent="0.2">
      <c r="A23" s="228"/>
      <c r="B23" s="265" t="s">
        <v>619</v>
      </c>
      <c r="C23" s="274"/>
      <c r="D23" s="245">
        <f>IFERROR(SUM(J7:J18)/D19," ")</f>
        <v>2.7624610591900312</v>
      </c>
      <c r="F23" s="186"/>
      <c r="G23" s="187" t="s">
        <v>620</v>
      </c>
      <c r="H23" s="187" t="s">
        <v>621</v>
      </c>
    </row>
    <row r="24" spans="1:11" x14ac:dyDescent="0.2">
      <c r="A24" s="228"/>
      <c r="B24" s="265" t="s">
        <v>622</v>
      </c>
      <c r="C24" s="266"/>
      <c r="D24" s="188">
        <f>IFERROR((F19+I19)," ")</f>
        <v>136.125</v>
      </c>
      <c r="G24" s="189">
        <v>11</v>
      </c>
      <c r="H24" s="190">
        <v>11</v>
      </c>
    </row>
    <row r="25" spans="1:11" x14ac:dyDescent="0.2">
      <c r="C25" s="191"/>
      <c r="D25" s="191"/>
      <c r="I25" s="186"/>
    </row>
    <row r="26" spans="1:11" x14ac:dyDescent="0.2">
      <c r="I26" s="186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2"/>
  <sheetViews>
    <sheetView zoomScaleNormal="100" workbookViewId="0">
      <selection activeCell="G22" sqref="G22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77" t="s">
        <v>570</v>
      </c>
      <c r="C2" s="278"/>
      <c r="D2" s="42" t="s">
        <v>605</v>
      </c>
      <c r="E2" s="1"/>
    </row>
    <row r="3" spans="1:6" x14ac:dyDescent="0.25">
      <c r="A3" s="6" t="s">
        <v>603</v>
      </c>
      <c r="B3" s="275" t="s">
        <v>700</v>
      </c>
      <c r="C3" s="276"/>
      <c r="D3" s="42" t="s">
        <v>563</v>
      </c>
      <c r="E3" s="1"/>
    </row>
    <row r="4" spans="1:6" ht="15" customHeight="1" x14ac:dyDescent="0.25">
      <c r="A4" s="6" t="s">
        <v>603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7" t="s">
        <v>634</v>
      </c>
      <c r="C5" s="153"/>
      <c r="D5" s="216"/>
      <c r="E5" s="1"/>
    </row>
    <row r="6" spans="1:6" ht="48" customHeight="1" x14ac:dyDescent="0.25">
      <c r="A6" s="6">
        <v>22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19" si="0">INDEX(Dates,1,E7)</f>
        <v>43100</v>
      </c>
      <c r="C7" s="114">
        <f t="shared" ref="C7" si="1">B7</f>
        <v>43100</v>
      </c>
      <c r="D7" s="115">
        <f t="shared" ref="D7:D19" si="2">HLOOKUP(B7,ReadingTable,2,FALSE)</f>
        <v>0.5</v>
      </c>
      <c r="E7" s="116">
        <f>IF(E6="",7,E6+1)</f>
        <v>7</v>
      </c>
    </row>
    <row r="8" spans="1:6" x14ac:dyDescent="0.25">
      <c r="A8" s="113">
        <f t="shared" ref="A8:A19" si="3">IFERROR(IF(D8="",1,0),1)</f>
        <v>0</v>
      </c>
      <c r="B8" s="114">
        <f t="shared" si="0"/>
        <v>43131</v>
      </c>
      <c r="C8" s="114">
        <f t="shared" ref="C8:C19" si="4">B8</f>
        <v>43131</v>
      </c>
      <c r="D8" s="115">
        <f t="shared" si="2"/>
        <v>0.5</v>
      </c>
      <c r="E8" s="116">
        <f t="shared" ref="E8:E19" si="5">IF(E7="",7,E7+1)</f>
        <v>8</v>
      </c>
    </row>
    <row r="9" spans="1:6" x14ac:dyDescent="0.25">
      <c r="A9" s="113">
        <f t="shared" si="3"/>
        <v>0</v>
      </c>
      <c r="B9" s="114">
        <f t="shared" si="0"/>
        <v>43159</v>
      </c>
      <c r="C9" s="114">
        <f t="shared" si="4"/>
        <v>43159</v>
      </c>
      <c r="D9" s="115">
        <f t="shared" si="2"/>
        <v>0.5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43190</v>
      </c>
      <c r="C10" s="114">
        <f t="shared" si="4"/>
        <v>43190</v>
      </c>
      <c r="D10" s="115">
        <f t="shared" si="2"/>
        <v>0.19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43220</v>
      </c>
      <c r="C11" s="114">
        <f t="shared" si="4"/>
        <v>43220</v>
      </c>
      <c r="D11" s="115">
        <f t="shared" si="2"/>
        <v>0.33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43251</v>
      </c>
      <c r="C12" s="114">
        <f t="shared" si="4"/>
        <v>43251</v>
      </c>
      <c r="D12" s="115">
        <f t="shared" si="2"/>
        <v>0.25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43281</v>
      </c>
      <c r="C13" s="114">
        <f t="shared" si="4"/>
        <v>43281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43312</v>
      </c>
      <c r="C14" s="114">
        <f t="shared" si="4"/>
        <v>43312</v>
      </c>
      <c r="D14" s="115">
        <f t="shared" si="2"/>
        <v>0.11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43343</v>
      </c>
      <c r="C15" s="114">
        <f t="shared" si="4"/>
        <v>43343</v>
      </c>
      <c r="D15" s="115">
        <f t="shared" si="2"/>
        <v>0.99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43373</v>
      </c>
      <c r="C16" s="114">
        <f t="shared" si="4"/>
        <v>43373</v>
      </c>
      <c r="D16" s="115">
        <f t="shared" si="2"/>
        <v>0.73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43404</v>
      </c>
      <c r="C17" s="114">
        <f t="shared" si="4"/>
        <v>43404</v>
      </c>
      <c r="D17" s="115">
        <f t="shared" si="2"/>
        <v>0.44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43434</v>
      </c>
      <c r="C18" s="114">
        <f t="shared" si="4"/>
        <v>43434</v>
      </c>
      <c r="D18" s="115">
        <f t="shared" si="2"/>
        <v>0.19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43465</v>
      </c>
      <c r="C19" s="114">
        <f t="shared" si="4"/>
        <v>43465</v>
      </c>
      <c r="D19" s="115">
        <f t="shared" si="2"/>
        <v>0.62</v>
      </c>
      <c r="E19" s="116">
        <f t="shared" si="5"/>
        <v>19</v>
      </c>
    </row>
    <row r="20" spans="1:5" x14ac:dyDescent="0.25">
      <c r="A20" s="6" t="s">
        <v>551</v>
      </c>
      <c r="B20" s="45"/>
      <c r="C20" s="45"/>
      <c r="D20" s="45"/>
      <c r="E20" s="45"/>
    </row>
    <row r="21" spans="1:5" x14ac:dyDescent="0.25">
      <c r="A21" s="6"/>
      <c r="B21" s="45"/>
      <c r="C21" s="45"/>
      <c r="D21" s="45"/>
      <c r="E21" s="45"/>
    </row>
    <row r="22" spans="1:5" ht="36.6" customHeight="1" x14ac:dyDescent="0.25">
      <c r="A22" s="6" t="s">
        <v>551</v>
      </c>
      <c r="B22" s="34"/>
      <c r="C22" s="34"/>
      <c r="D22" s="34"/>
      <c r="E22" s="1"/>
    </row>
  </sheetData>
  <sheetProtection algorithmName="SHA-512" hashValue="/2bs38Jh23eHv71+wHfS/0O8TYh3Xfi4UoOWhEaKjpDUD1sWzwSucPK2NfLU5ApmJawzBlxmNM5Xjd/SyodTvA==" saltValue="fe/lujP9D+6YBXBymjhSjw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19" xr:uid="{00000000-0002-0000-0500-000001000000}">
      <formula1>1</formula1>
      <formula2>73051</formula2>
    </dataValidation>
    <dataValidation type="decimal" allowBlank="1" showInputMessage="1" showErrorMessage="1" error="Please enter a valid reading." sqref="D7:D19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21</xdr:row>
                    <xdr:rowOff>9525</xdr:rowOff>
                  </from>
                  <to>
                    <xdr:col>2</xdr:col>
                    <xdr:colOff>447675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21</xdr:row>
                    <xdr:rowOff>400050</xdr:rowOff>
                  </from>
                  <to>
                    <xdr:col>3</xdr:col>
                    <xdr:colOff>981075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S4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603</v>
      </c>
      <c r="B1" s="86" t="s">
        <v>632</v>
      </c>
    </row>
    <row r="2" spans="1:6" ht="33.75" customHeight="1" x14ac:dyDescent="0.25">
      <c r="A2" s="85" t="s">
        <v>603</v>
      </c>
      <c r="B2" s="88" t="s">
        <v>583</v>
      </c>
      <c r="C2" s="89" t="s">
        <v>708</v>
      </c>
      <c r="D2" s="90" t="s">
        <v>584</v>
      </c>
      <c r="E2" s="91" t="s">
        <v>585</v>
      </c>
      <c r="F2" s="92" t="s">
        <v>595</v>
      </c>
    </row>
    <row r="3" spans="1:6" x14ac:dyDescent="0.25">
      <c r="B3" s="122" t="s">
        <v>731</v>
      </c>
      <c r="C3" s="260">
        <v>43070</v>
      </c>
      <c r="D3" s="260">
        <v>43100</v>
      </c>
      <c r="E3" s="151">
        <v>0.375</v>
      </c>
      <c r="F3" s="143">
        <v>0.5</v>
      </c>
    </row>
    <row r="4" spans="1:6" x14ac:dyDescent="0.25">
      <c r="B4" s="122" t="s">
        <v>732</v>
      </c>
      <c r="C4" s="260">
        <v>43101</v>
      </c>
      <c r="D4" s="260">
        <v>43131</v>
      </c>
      <c r="E4" s="151">
        <v>0.41666666666666669</v>
      </c>
      <c r="F4" s="143">
        <v>0.5</v>
      </c>
    </row>
    <row r="5" spans="1:6" x14ac:dyDescent="0.25">
      <c r="B5" s="122" t="s">
        <v>735</v>
      </c>
      <c r="C5" s="260">
        <v>43132</v>
      </c>
      <c r="D5" s="260">
        <v>43159</v>
      </c>
      <c r="E5" s="151">
        <v>0.45833333333333331</v>
      </c>
      <c r="F5" s="143">
        <v>0.5</v>
      </c>
    </row>
    <row r="6" spans="1:6" x14ac:dyDescent="0.25">
      <c r="B6" s="122" t="s">
        <v>736</v>
      </c>
      <c r="C6" s="260">
        <v>43160</v>
      </c>
      <c r="D6" s="260">
        <v>43190</v>
      </c>
      <c r="E6" s="151">
        <v>0.10416666666666667</v>
      </c>
      <c r="F6" s="143">
        <v>0.19</v>
      </c>
    </row>
    <row r="7" spans="1:6" x14ac:dyDescent="0.25">
      <c r="B7" s="122" t="s">
        <v>737</v>
      </c>
      <c r="C7" s="260">
        <v>43191</v>
      </c>
      <c r="D7" s="260">
        <v>43220</v>
      </c>
      <c r="E7" s="151">
        <v>0.14583333333333334</v>
      </c>
      <c r="F7" s="143">
        <v>0.33</v>
      </c>
    </row>
    <row r="8" spans="1:6" x14ac:dyDescent="0.25">
      <c r="B8" s="122" t="s">
        <v>732</v>
      </c>
      <c r="C8" s="260">
        <v>43221</v>
      </c>
      <c r="D8" s="260">
        <v>43251</v>
      </c>
      <c r="E8" s="151">
        <v>8.3333333333333329E-2</v>
      </c>
      <c r="F8" s="143">
        <v>0.25</v>
      </c>
    </row>
    <row r="9" spans="1:6" x14ac:dyDescent="0.25">
      <c r="B9" s="122" t="s">
        <v>735</v>
      </c>
      <c r="C9" s="260">
        <v>43252</v>
      </c>
      <c r="D9" s="260">
        <v>43281</v>
      </c>
      <c r="E9" s="151">
        <v>0.125</v>
      </c>
      <c r="F9" s="143">
        <v>0.25</v>
      </c>
    </row>
    <row r="10" spans="1:6" x14ac:dyDescent="0.25">
      <c r="B10" s="122" t="s">
        <v>731</v>
      </c>
      <c r="C10" s="260">
        <v>43282</v>
      </c>
      <c r="D10" s="260">
        <v>43312</v>
      </c>
      <c r="E10" s="151">
        <v>0.33333333333333331</v>
      </c>
      <c r="F10" s="143">
        <v>0.11</v>
      </c>
    </row>
    <row r="11" spans="1:6" x14ac:dyDescent="0.25">
      <c r="B11" s="122" t="s">
        <v>738</v>
      </c>
      <c r="C11" s="260">
        <v>43313</v>
      </c>
      <c r="D11" s="260">
        <v>43343</v>
      </c>
      <c r="E11" s="151">
        <v>0.30555555555555552</v>
      </c>
      <c r="F11" s="143">
        <v>0.99</v>
      </c>
    </row>
    <row r="12" spans="1:6" x14ac:dyDescent="0.25">
      <c r="B12" s="122" t="s">
        <v>739</v>
      </c>
      <c r="C12" s="260">
        <v>43344</v>
      </c>
      <c r="D12" s="260">
        <v>43373</v>
      </c>
      <c r="E12" s="151">
        <v>0.26458333333333334</v>
      </c>
      <c r="F12" s="143">
        <v>0.73</v>
      </c>
    </row>
    <row r="13" spans="1:6" x14ac:dyDescent="0.25">
      <c r="B13" s="122" t="s">
        <v>740</v>
      </c>
      <c r="C13" s="260">
        <v>43374</v>
      </c>
      <c r="D13" s="260">
        <v>43404</v>
      </c>
      <c r="E13" s="151">
        <v>0.5083333333333333</v>
      </c>
      <c r="F13" s="143">
        <v>0.44</v>
      </c>
    </row>
    <row r="14" spans="1:6" x14ac:dyDescent="0.25">
      <c r="B14" s="122" t="s">
        <v>741</v>
      </c>
      <c r="C14" s="260">
        <v>43405</v>
      </c>
      <c r="D14" s="260">
        <v>43434</v>
      </c>
      <c r="E14" s="151">
        <v>5.486111111111111E-2</v>
      </c>
      <c r="F14" s="143">
        <v>0.19</v>
      </c>
    </row>
    <row r="15" spans="1:6" x14ac:dyDescent="0.25">
      <c r="B15" s="122" t="s">
        <v>742</v>
      </c>
      <c r="C15" s="260">
        <v>43435</v>
      </c>
      <c r="D15" s="260">
        <v>43465</v>
      </c>
      <c r="E15" s="151">
        <v>0.38194444444444442</v>
      </c>
      <c r="F15" s="143">
        <v>0.62</v>
      </c>
    </row>
    <row r="16" spans="1:6" ht="39" customHeight="1" x14ac:dyDescent="0.25"/>
    <row r="17" spans="1:19" s="93" customFormat="1" ht="51" customHeight="1" x14ac:dyDescent="0.2">
      <c r="A17" s="85" t="s">
        <v>593</v>
      </c>
      <c r="B17" s="86" t="s">
        <v>587</v>
      </c>
      <c r="F17" s="94"/>
      <c r="G17" s="95">
        <f t="shared" ref="G17:H17" si="0">IF(G19="",1,0)</f>
        <v>0</v>
      </c>
      <c r="H17" s="95">
        <f t="shared" si="0"/>
        <v>0</v>
      </c>
      <c r="I17" s="95">
        <f t="shared" ref="I17:S17" si="1">IF(I19="",1,0)</f>
        <v>0</v>
      </c>
      <c r="J17" s="95">
        <f t="shared" si="1"/>
        <v>0</v>
      </c>
      <c r="K17" s="95">
        <f t="shared" si="1"/>
        <v>0</v>
      </c>
      <c r="L17" s="95">
        <f t="shared" si="1"/>
        <v>0</v>
      </c>
      <c r="M17" s="95">
        <f t="shared" si="1"/>
        <v>0</v>
      </c>
      <c r="N17" s="95">
        <f t="shared" si="1"/>
        <v>0</v>
      </c>
      <c r="O17" s="95">
        <f t="shared" si="1"/>
        <v>0</v>
      </c>
      <c r="P17" s="95">
        <f t="shared" si="1"/>
        <v>0</v>
      </c>
      <c r="Q17" s="95">
        <f t="shared" si="1"/>
        <v>0</v>
      </c>
      <c r="R17" s="95">
        <f t="shared" si="1"/>
        <v>0</v>
      </c>
      <c r="S17" s="95">
        <f t="shared" si="1"/>
        <v>0</v>
      </c>
    </row>
    <row r="18" spans="1:19" ht="21" customHeight="1" x14ac:dyDescent="0.25">
      <c r="A18" s="85" t="s">
        <v>603</v>
      </c>
      <c r="B18" s="279" t="s">
        <v>583</v>
      </c>
      <c r="C18" s="96"/>
      <c r="D18" s="96"/>
      <c r="E18" s="96"/>
      <c r="F18" s="97"/>
      <c r="G18" s="98" t="s">
        <v>584</v>
      </c>
      <c r="H18" s="98" t="s">
        <v>584</v>
      </c>
      <c r="I18" s="98" t="s">
        <v>584</v>
      </c>
      <c r="J18" s="98" t="s">
        <v>584</v>
      </c>
      <c r="K18" s="98" t="s">
        <v>584</v>
      </c>
      <c r="L18" s="98" t="s">
        <v>584</v>
      </c>
      <c r="M18" s="98" t="s">
        <v>584</v>
      </c>
      <c r="N18" s="98" t="s">
        <v>584</v>
      </c>
      <c r="O18" s="98" t="s">
        <v>584</v>
      </c>
      <c r="P18" s="98" t="s">
        <v>584</v>
      </c>
      <c r="Q18" s="98" t="s">
        <v>584</v>
      </c>
      <c r="R18" s="98" t="s">
        <v>584</v>
      </c>
      <c r="S18" s="98" t="s">
        <v>584</v>
      </c>
    </row>
    <row r="19" spans="1:19" ht="15" customHeight="1" x14ac:dyDescent="0.25">
      <c r="A19" s="85" t="s">
        <v>603</v>
      </c>
      <c r="B19" s="280"/>
      <c r="C19" s="99"/>
      <c r="D19" s="99"/>
      <c r="E19" s="99"/>
      <c r="F19" s="100"/>
      <c r="G19" s="230">
        <f t="array" ref="G19">IFERROR(INDEX($D$3:$D$16, MATCH(0,IF(ISBLANK($D$3:$D$16),1,COUNTIF($F$19:F19, $D$3:$D$16)), 0)),"")</f>
        <v>43100</v>
      </c>
      <c r="H19" s="230">
        <f t="array" ref="H19">IFERROR(INDEX($D$3:$D$16, MATCH(0,IF(ISBLANK($D$3:$D$16),1,COUNTIF($F$19:G19, $D$3:$D$16)), 0)),"")</f>
        <v>43131</v>
      </c>
      <c r="I19" s="230">
        <f t="array" ref="I19">IFERROR(INDEX($D$3:$D$16, MATCH(0,IF(ISBLANK($D$3:$D$16),1,COUNTIF($F$19:H19, $D$3:$D$16)), 0)),"")</f>
        <v>43159</v>
      </c>
      <c r="J19" s="230">
        <f t="array" ref="J19">IFERROR(INDEX($D$3:$D$16, MATCH(0,IF(ISBLANK($D$3:$D$16),1,COUNTIF($F$19:I19, $D$3:$D$16)), 0)),"")</f>
        <v>43190</v>
      </c>
      <c r="K19" s="230">
        <f t="array" ref="K19">IFERROR(INDEX($D$3:$D$16, MATCH(0,IF(ISBLANK($D$3:$D$16),1,COUNTIF($F$19:J19, $D$3:$D$16)), 0)),"")</f>
        <v>43220</v>
      </c>
      <c r="L19" s="230">
        <f t="array" ref="L19">IFERROR(INDEX($D$3:$D$16, MATCH(0,IF(ISBLANK($D$3:$D$16),1,COUNTIF($F$19:K19, $D$3:$D$16)), 0)),"")</f>
        <v>43251</v>
      </c>
      <c r="M19" s="230">
        <f t="array" ref="M19">IFERROR(INDEX($D$3:$D$16, MATCH(0,IF(ISBLANK($D$3:$D$16),1,COUNTIF($F$19:L19, $D$3:$D$16)), 0)),"")</f>
        <v>43281</v>
      </c>
      <c r="N19" s="230">
        <f t="array" ref="N19">IFERROR(INDEX($D$3:$D$16, MATCH(0,IF(ISBLANK($D$3:$D$16),1,COUNTIF($F$19:M19, $D$3:$D$16)), 0)),"")</f>
        <v>43312</v>
      </c>
      <c r="O19" s="230">
        <f t="array" ref="O19">IFERROR(INDEX($D$3:$D$16, MATCH(0,IF(ISBLANK($D$3:$D$16),1,COUNTIF($F$19:N19, $D$3:$D$16)), 0)),"")</f>
        <v>43343</v>
      </c>
      <c r="P19" s="230">
        <f t="array" ref="P19">IFERROR(INDEX($D$3:$D$16, MATCH(0,IF(ISBLANK($D$3:$D$16),1,COUNTIF($F$19:O19, $D$3:$D$16)), 0)),"")</f>
        <v>43373</v>
      </c>
      <c r="Q19" s="230">
        <f t="array" ref="Q19">IFERROR(INDEX($D$3:$D$16, MATCH(0,IF(ISBLANK($D$3:$D$16),1,COUNTIF($F$19:P19, $D$3:$D$16)), 0)),"")</f>
        <v>43404</v>
      </c>
      <c r="R19" s="230">
        <f t="array" ref="R19">IFERROR(INDEX($D$3:$D$16, MATCH(0,IF(ISBLANK($D$3:$D$16),1,COUNTIF($F$19:Q19, $D$3:$D$16)), 0)),"")</f>
        <v>43434</v>
      </c>
      <c r="S19" s="230">
        <f t="array" ref="S19">IFERROR(INDEX($D$3:$D$16, MATCH(0,IF(ISBLANK($D$3:$D$16),1,COUNTIF($F$19:R19, $D$3:$D$16)), 0)),"")</f>
        <v>43465</v>
      </c>
    </row>
    <row r="20" spans="1:19" ht="27.75" customHeight="1" x14ac:dyDescent="0.25">
      <c r="A20" s="85" t="s">
        <v>603</v>
      </c>
      <c r="B20" s="281"/>
      <c r="C20" s="101"/>
      <c r="D20" s="101"/>
      <c r="E20" s="101"/>
      <c r="F20" s="102"/>
      <c r="G20" s="103" t="s">
        <v>594</v>
      </c>
      <c r="H20" s="103" t="s">
        <v>594</v>
      </c>
      <c r="I20" s="103" t="s">
        <v>594</v>
      </c>
      <c r="J20" s="103" t="s">
        <v>594</v>
      </c>
      <c r="K20" s="103" t="s">
        <v>594</v>
      </c>
      <c r="L20" s="103" t="s">
        <v>594</v>
      </c>
      <c r="M20" s="103" t="s">
        <v>594</v>
      </c>
      <c r="N20" s="103" t="s">
        <v>594</v>
      </c>
      <c r="O20" s="103" t="s">
        <v>594</v>
      </c>
      <c r="P20" s="103" t="s">
        <v>594</v>
      </c>
      <c r="Q20" s="103" t="s">
        <v>594</v>
      </c>
      <c r="R20" s="103" t="s">
        <v>594</v>
      </c>
      <c r="S20" s="103" t="s">
        <v>594</v>
      </c>
    </row>
    <row r="21" spans="1:19" ht="15" customHeight="1" x14ac:dyDescent="0.25">
      <c r="A21" s="85">
        <f>IF(B21="",1,0)</f>
        <v>0</v>
      </c>
      <c r="B21" s="104" t="str">
        <f t="array" ref="B21">IFERROR(INDEX($B$3:$B$16, MATCH(0,IF(ISBLANK($B$3:$B$16),1,COUNTIF($B$20:B20, $B$3:$B$16)), 0)),"")</f>
        <v>Goa</v>
      </c>
      <c r="C21" s="105"/>
      <c r="D21" s="105"/>
      <c r="E21" s="105"/>
      <c r="F21" s="106"/>
      <c r="G21" s="144">
        <f t="array" ref="G21">IFERROR(PERCENTILE(IF($B$3:$B$16=$B21,IF($D$3:$D$16=G$19,IF($F$3:$F$16&lt;&gt;"",$F$3:$F$16))),0.95),"")</f>
        <v>0.5</v>
      </c>
      <c r="H21" s="144" t="str">
        <f t="array" ref="H21">IFERROR(PERCENTILE(IF($B$3:$B$16=$B21,IF($D$3:$D$16=H$19,IF($F$3:$F$16&lt;&gt;"",$F$3:$F$16))),0.95),"")</f>
        <v/>
      </c>
      <c r="I21" s="144" t="str">
        <f t="array" ref="I21">IFERROR(PERCENTILE(IF($B$3:$B$16=$B21,IF($D$3:$D$16=I$19,IF($F$3:$F$16&lt;&gt;"",$F$3:$F$16))),0.95),"")</f>
        <v/>
      </c>
      <c r="J21" s="144" t="str">
        <f t="array" ref="J21">IFERROR(PERCENTILE(IF($B$3:$B$16=$B21,IF($D$3:$D$16=J$19,IF($F$3:$F$16&lt;&gt;"",$F$3:$F$16))),0.95),"")</f>
        <v/>
      </c>
      <c r="K21" s="144" t="str">
        <f t="array" ref="K21">IFERROR(PERCENTILE(IF($B$3:$B$16=$B21,IF($D$3:$D$16=K$19,IF($F$3:$F$16&lt;&gt;"",$F$3:$F$16))),0.95),"")</f>
        <v/>
      </c>
      <c r="L21" s="144" t="str">
        <f t="array" ref="L21">IFERROR(PERCENTILE(IF($B$3:$B$16=$B21,IF($D$3:$D$16=L$19,IF($F$3:$F$16&lt;&gt;"",$F$3:$F$16))),0.95),"")</f>
        <v/>
      </c>
      <c r="M21" s="144" t="str">
        <f t="array" ref="M21">IFERROR(PERCENTILE(IF($B$3:$B$16=$B21,IF($D$3:$D$16=M$19,IF($F$3:$F$16&lt;&gt;"",$F$3:$F$16))),0.95),"")</f>
        <v/>
      </c>
      <c r="N21" s="144">
        <f t="array" ref="N21">IFERROR(PERCENTILE(IF($B$3:$B$16=$B21,IF($D$3:$D$16=N$19,IF($F$3:$F$16&lt;&gt;"",$F$3:$F$16))),0.95),"")</f>
        <v>0.11</v>
      </c>
      <c r="O21" s="144" t="str">
        <f t="array" ref="O21">IFERROR(PERCENTILE(IF($B$3:$B$16=$B21,IF($D$3:$D$16=O$19,IF($F$3:$F$16&lt;&gt;"",$F$3:$F$16))),0.95),"")</f>
        <v/>
      </c>
      <c r="P21" s="144" t="str">
        <f t="array" ref="P21">IFERROR(PERCENTILE(IF($B$3:$B$16=$B21,IF($D$3:$D$16=P$19,IF($F$3:$F$16&lt;&gt;"",$F$3:$F$16))),0.95),"")</f>
        <v/>
      </c>
      <c r="Q21" s="144" t="str">
        <f t="array" ref="Q21">IFERROR(PERCENTILE(IF($B$3:$B$16=$B21,IF($D$3:$D$16=Q$19,IF($F$3:$F$16&lt;&gt;"",$F$3:$F$16))),0.95),"")</f>
        <v/>
      </c>
      <c r="R21" s="144" t="str">
        <f t="array" ref="R21">IFERROR(PERCENTILE(IF($B$3:$B$16=$B21,IF($D$3:$D$16=R$19,IF($F$3:$F$16&lt;&gt;"",$F$3:$F$16))),0.95),"")</f>
        <v/>
      </c>
      <c r="S21" s="144" t="str">
        <f t="array" ref="S21">IFERROR(PERCENTILE(IF($B$3:$B$16=$B21,IF($D$3:$D$16=S$19,IF($F$3:$F$16&lt;&gt;"",$F$3:$F$16))),0.95),"")</f>
        <v/>
      </c>
    </row>
    <row r="22" spans="1:19" ht="15" customHeight="1" x14ac:dyDescent="0.25">
      <c r="A22" s="85">
        <f t="shared" ref="A22" si="2">IF(B22="",1,0)</f>
        <v>0</v>
      </c>
      <c r="B22" s="104" t="str">
        <f t="array" ref="B22">IFERROR(INDEX($B$3:$B$16, MATCH(0,IF(ISBLANK($B$3:$B$16),1,COUNTIF($B$20:B21, $B$3:$B$16)), 0)),"")</f>
        <v>Hyd</v>
      </c>
      <c r="C22" s="105"/>
      <c r="D22" s="105"/>
      <c r="E22" s="105"/>
      <c r="F22" s="106"/>
      <c r="G22" s="144" t="str">
        <f t="array" ref="G22">IFERROR(PERCENTILE(IF($B$3:$B$16=$B22,IF($D$3:$D$16=G$19,IF($F$3:$F$16&lt;&gt;"",$F$3:$F$16))),0.95),"")</f>
        <v/>
      </c>
      <c r="H22" s="144">
        <f t="array" ref="H22">IFERROR(PERCENTILE(IF($B$3:$B$16=$B22,IF($D$3:$D$16=H$19,IF($F$3:$F$16&lt;&gt;"",$F$3:$F$16))),0.95),"")</f>
        <v>0.5</v>
      </c>
      <c r="I22" s="144" t="str">
        <f t="array" ref="I22">IFERROR(PERCENTILE(IF($B$3:$B$16=$B22,IF($D$3:$D$16=I$19,IF($F$3:$F$16&lt;&gt;"",$F$3:$F$16))),0.95),"")</f>
        <v/>
      </c>
      <c r="J22" s="144" t="str">
        <f t="array" ref="J22">IFERROR(PERCENTILE(IF($B$3:$B$16=$B22,IF($D$3:$D$16=J$19,IF($F$3:$F$16&lt;&gt;"",$F$3:$F$16))),0.95),"")</f>
        <v/>
      </c>
      <c r="K22" s="144" t="str">
        <f t="array" ref="K22">IFERROR(PERCENTILE(IF($B$3:$B$16=$B22,IF($D$3:$D$16=K$19,IF($F$3:$F$16&lt;&gt;"",$F$3:$F$16))),0.95),"")</f>
        <v/>
      </c>
      <c r="L22" s="144">
        <f t="array" ref="L22">IFERROR(PERCENTILE(IF($B$3:$B$16=$B22,IF($D$3:$D$16=L$19,IF($F$3:$F$16&lt;&gt;"",$F$3:$F$16))),0.95),"")</f>
        <v>0.25</v>
      </c>
      <c r="M22" s="144" t="str">
        <f t="array" ref="M22">IFERROR(PERCENTILE(IF($B$3:$B$16=$B22,IF($D$3:$D$16=M$19,IF($F$3:$F$16&lt;&gt;"",$F$3:$F$16))),0.95),"")</f>
        <v/>
      </c>
      <c r="N22" s="144" t="str">
        <f t="array" ref="N22">IFERROR(PERCENTILE(IF($B$3:$B$16=$B22,IF($D$3:$D$16=N$19,IF($F$3:$F$16&lt;&gt;"",$F$3:$F$16))),0.95),"")</f>
        <v/>
      </c>
      <c r="O22" s="144" t="str">
        <f t="array" ref="O22">IFERROR(PERCENTILE(IF($B$3:$B$16=$B22,IF($D$3:$D$16=O$19,IF($F$3:$F$16&lt;&gt;"",$F$3:$F$16))),0.95),"")</f>
        <v/>
      </c>
      <c r="P22" s="144" t="str">
        <f t="array" ref="P22">IFERROR(PERCENTILE(IF($B$3:$B$16=$B22,IF($D$3:$D$16=P$19,IF($F$3:$F$16&lt;&gt;"",$F$3:$F$16))),0.95),"")</f>
        <v/>
      </c>
      <c r="Q22" s="144" t="str">
        <f t="array" ref="Q22">IFERROR(PERCENTILE(IF($B$3:$B$16=$B22,IF($D$3:$D$16=Q$19,IF($F$3:$F$16&lt;&gt;"",$F$3:$F$16))),0.95),"")</f>
        <v/>
      </c>
      <c r="R22" s="144" t="str">
        <f t="array" ref="R22">IFERROR(PERCENTILE(IF($B$3:$B$16=$B22,IF($D$3:$D$16=R$19,IF($F$3:$F$16&lt;&gt;"",$F$3:$F$16))),0.95),"")</f>
        <v/>
      </c>
      <c r="S22" s="144" t="str">
        <f t="array" ref="S22">IFERROR(PERCENTILE(IF($B$3:$B$16=$B22,IF($D$3:$D$16=S$19,IF($F$3:$F$16&lt;&gt;"",$F$3:$F$16))),0.95),"")</f>
        <v/>
      </c>
    </row>
    <row r="23" spans="1:19" ht="15" customHeight="1" x14ac:dyDescent="0.25">
      <c r="A23" s="85">
        <f t="shared" ref="A23:A29" si="3">IF(B23="",1,0)</f>
        <v>0</v>
      </c>
      <c r="B23" s="104" t="str">
        <f t="array" ref="B23">IFERROR(INDEX($B$3:$B$16, MATCH(0,IF(ISBLANK($B$3:$B$16),1,COUNTIF($B$20:B22, $B$3:$B$16)), 0)),"")</f>
        <v>Delhi</v>
      </c>
      <c r="C23" s="105"/>
      <c r="D23" s="105"/>
      <c r="E23" s="105"/>
      <c r="F23" s="106"/>
      <c r="G23" s="144" t="str">
        <f t="array" ref="G23">IFERROR(PERCENTILE(IF($B$3:$B$16=$B23,IF($D$3:$D$16=G$19,IF($F$3:$F$16&lt;&gt;"",$F$3:$F$16))),0.95),"")</f>
        <v/>
      </c>
      <c r="H23" s="144" t="str">
        <f t="array" ref="H23">IFERROR(PERCENTILE(IF($B$3:$B$16=$B23,IF($D$3:$D$16=H$19,IF($F$3:$F$16&lt;&gt;"",$F$3:$F$16))),0.95),"")</f>
        <v/>
      </c>
      <c r="I23" s="144">
        <f t="array" ref="I23">IFERROR(PERCENTILE(IF($B$3:$B$16=$B23,IF($D$3:$D$16=I$19,IF($F$3:$F$16&lt;&gt;"",$F$3:$F$16))),0.95),"")</f>
        <v>0.5</v>
      </c>
      <c r="J23" s="144" t="str">
        <f t="array" ref="J23">IFERROR(PERCENTILE(IF($B$3:$B$16=$B23,IF($D$3:$D$16=J$19,IF($F$3:$F$16&lt;&gt;"",$F$3:$F$16))),0.95),"")</f>
        <v/>
      </c>
      <c r="K23" s="144" t="str">
        <f t="array" ref="K23">IFERROR(PERCENTILE(IF($B$3:$B$16=$B23,IF($D$3:$D$16=K$19,IF($F$3:$F$16&lt;&gt;"",$F$3:$F$16))),0.95),"")</f>
        <v/>
      </c>
      <c r="L23" s="144" t="str">
        <f t="array" ref="L23">IFERROR(PERCENTILE(IF($B$3:$B$16=$B23,IF($D$3:$D$16=L$19,IF($F$3:$F$16&lt;&gt;"",$F$3:$F$16))),0.95),"")</f>
        <v/>
      </c>
      <c r="M23" s="144">
        <f t="array" ref="M23">IFERROR(PERCENTILE(IF($B$3:$B$16=$B23,IF($D$3:$D$16=M$19,IF($F$3:$F$16&lt;&gt;"",$F$3:$F$16))),0.95),"")</f>
        <v>0.25</v>
      </c>
      <c r="N23" s="144" t="str">
        <f t="array" ref="N23">IFERROR(PERCENTILE(IF($B$3:$B$16=$B23,IF($D$3:$D$16=N$19,IF($F$3:$F$16&lt;&gt;"",$F$3:$F$16))),0.95),"")</f>
        <v/>
      </c>
      <c r="O23" s="144" t="str">
        <f t="array" ref="O23">IFERROR(PERCENTILE(IF($B$3:$B$16=$B23,IF($D$3:$D$16=O$19,IF($F$3:$F$16&lt;&gt;"",$F$3:$F$16))),0.95),"")</f>
        <v/>
      </c>
      <c r="P23" s="144" t="str">
        <f t="array" ref="P23">IFERROR(PERCENTILE(IF($B$3:$B$16=$B23,IF($D$3:$D$16=P$19,IF($F$3:$F$16&lt;&gt;"",$F$3:$F$16))),0.95),"")</f>
        <v/>
      </c>
      <c r="Q23" s="144" t="str">
        <f t="array" ref="Q23">IFERROR(PERCENTILE(IF($B$3:$B$16=$B23,IF($D$3:$D$16=Q$19,IF($F$3:$F$16&lt;&gt;"",$F$3:$F$16))),0.95),"")</f>
        <v/>
      </c>
      <c r="R23" s="144" t="str">
        <f t="array" ref="R23">IFERROR(PERCENTILE(IF($B$3:$B$16=$B23,IF($D$3:$D$16=R$19,IF($F$3:$F$16&lt;&gt;"",$F$3:$F$16))),0.95),"")</f>
        <v/>
      </c>
      <c r="S23" s="144" t="str">
        <f t="array" ref="S23">IFERROR(PERCENTILE(IF($B$3:$B$16=$B23,IF($D$3:$D$16=S$19,IF($F$3:$F$16&lt;&gt;"",$F$3:$F$16))),0.95),"")</f>
        <v/>
      </c>
    </row>
    <row r="24" spans="1:19" ht="15" customHeight="1" x14ac:dyDescent="0.25">
      <c r="A24" s="85">
        <f t="shared" si="3"/>
        <v>0</v>
      </c>
      <c r="B24" s="104" t="str">
        <f t="array" ref="B24">IFERROR(INDEX($B$3:$B$16, MATCH(0,IF(ISBLANK($B$3:$B$16),1,COUNTIF($B$20:B23, $B$3:$B$16)), 0)),"")</f>
        <v>Banglore</v>
      </c>
      <c r="C24" s="105"/>
      <c r="D24" s="105"/>
      <c r="E24" s="105"/>
      <c r="F24" s="106"/>
      <c r="G24" s="144" t="str">
        <f t="array" ref="G24">IFERROR(PERCENTILE(IF($B$3:$B$16=$B24,IF($D$3:$D$16=G$19,IF($F$3:$F$16&lt;&gt;"",$F$3:$F$16))),0.95),"")</f>
        <v/>
      </c>
      <c r="H24" s="144" t="str">
        <f t="array" ref="H24">IFERROR(PERCENTILE(IF($B$3:$B$16=$B24,IF($D$3:$D$16=H$19,IF($F$3:$F$16&lt;&gt;"",$F$3:$F$16))),0.95),"")</f>
        <v/>
      </c>
      <c r="I24" s="144" t="str">
        <f t="array" ref="I24">IFERROR(PERCENTILE(IF($B$3:$B$16=$B24,IF($D$3:$D$16=I$19,IF($F$3:$F$16&lt;&gt;"",$F$3:$F$16))),0.95),"")</f>
        <v/>
      </c>
      <c r="J24" s="144">
        <f t="array" ref="J24">IFERROR(PERCENTILE(IF($B$3:$B$16=$B24,IF($D$3:$D$16=J$19,IF($F$3:$F$16&lt;&gt;"",$F$3:$F$16))),0.95),"")</f>
        <v>0.19</v>
      </c>
      <c r="K24" s="144" t="str">
        <f t="array" ref="K24">IFERROR(PERCENTILE(IF($B$3:$B$16=$B24,IF($D$3:$D$16=K$19,IF($F$3:$F$16&lt;&gt;"",$F$3:$F$16))),0.95),"")</f>
        <v/>
      </c>
      <c r="L24" s="144" t="str">
        <f t="array" ref="L24">IFERROR(PERCENTILE(IF($B$3:$B$16=$B24,IF($D$3:$D$16=L$19,IF($F$3:$F$16&lt;&gt;"",$F$3:$F$16))),0.95),"")</f>
        <v/>
      </c>
      <c r="M24" s="144" t="str">
        <f t="array" ref="M24">IFERROR(PERCENTILE(IF($B$3:$B$16=$B24,IF($D$3:$D$16=M$19,IF($F$3:$F$16&lt;&gt;"",$F$3:$F$16))),0.95),"")</f>
        <v/>
      </c>
      <c r="N24" s="144" t="str">
        <f t="array" ref="N24">IFERROR(PERCENTILE(IF($B$3:$B$16=$B24,IF($D$3:$D$16=N$19,IF($F$3:$F$16&lt;&gt;"",$F$3:$F$16))),0.95),"")</f>
        <v/>
      </c>
      <c r="O24" s="144" t="str">
        <f t="array" ref="O24">IFERROR(PERCENTILE(IF($B$3:$B$16=$B24,IF($D$3:$D$16=O$19,IF($F$3:$F$16&lt;&gt;"",$F$3:$F$16))),0.95),"")</f>
        <v/>
      </c>
      <c r="P24" s="144" t="str">
        <f t="array" ref="P24">IFERROR(PERCENTILE(IF($B$3:$B$16=$B24,IF($D$3:$D$16=P$19,IF($F$3:$F$16&lt;&gt;"",$F$3:$F$16))),0.95),"")</f>
        <v/>
      </c>
      <c r="Q24" s="144" t="str">
        <f t="array" ref="Q24">IFERROR(PERCENTILE(IF($B$3:$B$16=$B24,IF($D$3:$D$16=Q$19,IF($F$3:$F$16&lt;&gt;"",$F$3:$F$16))),0.95),"")</f>
        <v/>
      </c>
      <c r="R24" s="144" t="str">
        <f t="array" ref="R24">IFERROR(PERCENTILE(IF($B$3:$B$16=$B24,IF($D$3:$D$16=R$19,IF($F$3:$F$16&lt;&gt;"",$F$3:$F$16))),0.95),"")</f>
        <v/>
      </c>
      <c r="S24" s="144" t="str">
        <f t="array" ref="S24">IFERROR(PERCENTILE(IF($B$3:$B$16=$B24,IF($D$3:$D$16=S$19,IF($F$3:$F$16&lt;&gt;"",$F$3:$F$16))),0.95),"")</f>
        <v/>
      </c>
    </row>
    <row r="25" spans="1:19" ht="15" customHeight="1" x14ac:dyDescent="0.25">
      <c r="A25" s="85">
        <f t="shared" si="3"/>
        <v>0</v>
      </c>
      <c r="B25" s="104" t="str">
        <f t="array" ref="B25">IFERROR(INDEX($B$3:$B$16, MATCH(0,IF(ISBLANK($B$3:$B$16),1,COUNTIF($B$20:B24, $B$3:$B$16)), 0)),"")</f>
        <v>Chennai</v>
      </c>
      <c r="C25" s="105"/>
      <c r="D25" s="105"/>
      <c r="E25" s="105"/>
      <c r="F25" s="106"/>
      <c r="G25" s="144" t="str">
        <f t="array" ref="G25">IFERROR(PERCENTILE(IF($B$3:$B$16=$B25,IF($D$3:$D$16=G$19,IF($F$3:$F$16&lt;&gt;"",$F$3:$F$16))),0.95),"")</f>
        <v/>
      </c>
      <c r="H25" s="144" t="str">
        <f t="array" ref="H25">IFERROR(PERCENTILE(IF($B$3:$B$16=$B25,IF($D$3:$D$16=H$19,IF($F$3:$F$16&lt;&gt;"",$F$3:$F$16))),0.95),"")</f>
        <v/>
      </c>
      <c r="I25" s="144" t="str">
        <f t="array" ref="I25">IFERROR(PERCENTILE(IF($B$3:$B$16=$B25,IF($D$3:$D$16=I$19,IF($F$3:$F$16&lt;&gt;"",$F$3:$F$16))),0.95),"")</f>
        <v/>
      </c>
      <c r="J25" s="144" t="str">
        <f t="array" ref="J25">IFERROR(PERCENTILE(IF($B$3:$B$16=$B25,IF($D$3:$D$16=J$19,IF($F$3:$F$16&lt;&gt;"",$F$3:$F$16))),0.95),"")</f>
        <v/>
      </c>
      <c r="K25" s="144">
        <f t="array" ref="K25">IFERROR(PERCENTILE(IF($B$3:$B$16=$B25,IF($D$3:$D$16=K$19,IF($F$3:$F$16&lt;&gt;"",$F$3:$F$16))),0.95),"")</f>
        <v>0.33</v>
      </c>
      <c r="L25" s="144" t="str">
        <f t="array" ref="L25">IFERROR(PERCENTILE(IF($B$3:$B$16=$B25,IF($D$3:$D$16=L$19,IF($F$3:$F$16&lt;&gt;"",$F$3:$F$16))),0.95),"")</f>
        <v/>
      </c>
      <c r="M25" s="144" t="str">
        <f t="array" ref="M25">IFERROR(PERCENTILE(IF($B$3:$B$16=$B25,IF($D$3:$D$16=M$19,IF($F$3:$F$16&lt;&gt;"",$F$3:$F$16))),0.95),"")</f>
        <v/>
      </c>
      <c r="N25" s="144" t="str">
        <f t="array" ref="N25">IFERROR(PERCENTILE(IF($B$3:$B$16=$B25,IF($D$3:$D$16=N$19,IF($F$3:$F$16&lt;&gt;"",$F$3:$F$16))),0.95),"")</f>
        <v/>
      </c>
      <c r="O25" s="144" t="str">
        <f t="array" ref="O25">IFERROR(PERCENTILE(IF($B$3:$B$16=$B25,IF($D$3:$D$16=O$19,IF($F$3:$F$16&lt;&gt;"",$F$3:$F$16))),0.95),"")</f>
        <v/>
      </c>
      <c r="P25" s="144" t="str">
        <f t="array" ref="P25">IFERROR(PERCENTILE(IF($B$3:$B$16=$B25,IF($D$3:$D$16=P$19,IF($F$3:$F$16&lt;&gt;"",$F$3:$F$16))),0.95),"")</f>
        <v/>
      </c>
      <c r="Q25" s="144" t="str">
        <f t="array" ref="Q25">IFERROR(PERCENTILE(IF($B$3:$B$16=$B25,IF($D$3:$D$16=Q$19,IF($F$3:$F$16&lt;&gt;"",$F$3:$F$16))),0.95),"")</f>
        <v/>
      </c>
      <c r="R25" s="144" t="str">
        <f t="array" ref="R25">IFERROR(PERCENTILE(IF($B$3:$B$16=$B25,IF($D$3:$D$16=R$19,IF($F$3:$F$16&lt;&gt;"",$F$3:$F$16))),0.95),"")</f>
        <v/>
      </c>
      <c r="S25" s="144" t="str">
        <f t="array" ref="S25">IFERROR(PERCENTILE(IF($B$3:$B$16=$B25,IF($D$3:$D$16=S$19,IF($F$3:$F$16&lt;&gt;"",$F$3:$F$16))),0.95),"")</f>
        <v/>
      </c>
    </row>
    <row r="26" spans="1:19" ht="15" customHeight="1" x14ac:dyDescent="0.25">
      <c r="A26" s="85">
        <f t="shared" si="3"/>
        <v>0</v>
      </c>
      <c r="B26" s="104" t="str">
        <f t="array" ref="B26">IFERROR(INDEX($B$3:$B$16, MATCH(0,IF(ISBLANK($B$3:$B$16),1,COUNTIF($B$20:B25, $B$3:$B$16)), 0)),"")</f>
        <v>Madhya Pradesh</v>
      </c>
      <c r="C26" s="105"/>
      <c r="D26" s="105"/>
      <c r="E26" s="105"/>
      <c r="F26" s="106"/>
      <c r="G26" s="144" t="str">
        <f t="array" ref="G26">IFERROR(PERCENTILE(IF($B$3:$B$16=$B26,IF($D$3:$D$16=G$19,IF($F$3:$F$16&lt;&gt;"",$F$3:$F$16))),0.95),"")</f>
        <v/>
      </c>
      <c r="H26" s="144" t="str">
        <f t="array" ref="H26">IFERROR(PERCENTILE(IF($B$3:$B$16=$B26,IF($D$3:$D$16=H$19,IF($F$3:$F$16&lt;&gt;"",$F$3:$F$16))),0.95),"")</f>
        <v/>
      </c>
      <c r="I26" s="144" t="str">
        <f t="array" ref="I26">IFERROR(PERCENTILE(IF($B$3:$B$16=$B26,IF($D$3:$D$16=I$19,IF($F$3:$F$16&lt;&gt;"",$F$3:$F$16))),0.95),"")</f>
        <v/>
      </c>
      <c r="J26" s="144" t="str">
        <f t="array" ref="J26">IFERROR(PERCENTILE(IF($B$3:$B$16=$B26,IF($D$3:$D$16=J$19,IF($F$3:$F$16&lt;&gt;"",$F$3:$F$16))),0.95),"")</f>
        <v/>
      </c>
      <c r="K26" s="144" t="str">
        <f t="array" ref="K26">IFERROR(PERCENTILE(IF($B$3:$B$16=$B26,IF($D$3:$D$16=K$19,IF($F$3:$F$16&lt;&gt;"",$F$3:$F$16))),0.95),"")</f>
        <v/>
      </c>
      <c r="L26" s="144" t="str">
        <f t="array" ref="L26">IFERROR(PERCENTILE(IF($B$3:$B$16=$B26,IF($D$3:$D$16=L$19,IF($F$3:$F$16&lt;&gt;"",$F$3:$F$16))),0.95),"")</f>
        <v/>
      </c>
      <c r="M26" s="144" t="str">
        <f t="array" ref="M26">IFERROR(PERCENTILE(IF($B$3:$B$16=$B26,IF($D$3:$D$16=M$19,IF($F$3:$F$16&lt;&gt;"",$F$3:$F$16))),0.95),"")</f>
        <v/>
      </c>
      <c r="N26" s="144" t="str">
        <f t="array" ref="N26">IFERROR(PERCENTILE(IF($B$3:$B$16=$B26,IF($D$3:$D$16=N$19,IF($F$3:$F$16&lt;&gt;"",$F$3:$F$16))),0.95),"")</f>
        <v/>
      </c>
      <c r="O26" s="144">
        <f t="array" ref="O26">IFERROR(PERCENTILE(IF($B$3:$B$16=$B26,IF($D$3:$D$16=O$19,IF($F$3:$F$16&lt;&gt;"",$F$3:$F$16))),0.95),"")</f>
        <v>0.99</v>
      </c>
      <c r="P26" s="144" t="str">
        <f t="array" ref="P26">IFERROR(PERCENTILE(IF($B$3:$B$16=$B26,IF($D$3:$D$16=P$19,IF($F$3:$F$16&lt;&gt;"",$F$3:$F$16))),0.95),"")</f>
        <v/>
      </c>
      <c r="Q26" s="144" t="str">
        <f t="array" ref="Q26">IFERROR(PERCENTILE(IF($B$3:$B$16=$B26,IF($D$3:$D$16=Q$19,IF($F$3:$F$16&lt;&gt;"",$F$3:$F$16))),0.95),"")</f>
        <v/>
      </c>
      <c r="R26" s="144" t="str">
        <f t="array" ref="R26">IFERROR(PERCENTILE(IF($B$3:$B$16=$B26,IF($D$3:$D$16=R$19,IF($F$3:$F$16&lt;&gt;"",$F$3:$F$16))),0.95),"")</f>
        <v/>
      </c>
      <c r="S26" s="144" t="str">
        <f t="array" ref="S26">IFERROR(PERCENTILE(IF($B$3:$B$16=$B26,IF($D$3:$D$16=S$19,IF($F$3:$F$16&lt;&gt;"",$F$3:$F$16))),0.95),"")</f>
        <v/>
      </c>
    </row>
    <row r="27" spans="1:19" ht="15" customHeight="1" x14ac:dyDescent="0.25">
      <c r="A27" s="85">
        <f t="shared" si="3"/>
        <v>0</v>
      </c>
      <c r="B27" s="104" t="str">
        <f t="array" ref="B27">IFERROR(INDEX($B$3:$B$16, MATCH(0,IF(ISBLANK($B$3:$B$16),1,COUNTIF($B$20:B26, $B$3:$B$16)), 0)),"")</f>
        <v>Gujrat</v>
      </c>
      <c r="C27" s="105"/>
      <c r="D27" s="105"/>
      <c r="E27" s="105"/>
      <c r="F27" s="106"/>
      <c r="G27" s="144" t="str">
        <f t="array" ref="G27">IFERROR(PERCENTILE(IF($B$3:$B$16=$B27,IF($D$3:$D$16=G$19,IF($F$3:$F$16&lt;&gt;"",$F$3:$F$16))),0.95),"")</f>
        <v/>
      </c>
      <c r="H27" s="144" t="str">
        <f t="array" ref="H27">IFERROR(PERCENTILE(IF($B$3:$B$16=$B27,IF($D$3:$D$16=H$19,IF($F$3:$F$16&lt;&gt;"",$F$3:$F$16))),0.95),"")</f>
        <v/>
      </c>
      <c r="I27" s="144" t="str">
        <f t="array" ref="I27">IFERROR(PERCENTILE(IF($B$3:$B$16=$B27,IF($D$3:$D$16=I$19,IF($F$3:$F$16&lt;&gt;"",$F$3:$F$16))),0.95),"")</f>
        <v/>
      </c>
      <c r="J27" s="144" t="str">
        <f t="array" ref="J27">IFERROR(PERCENTILE(IF($B$3:$B$16=$B27,IF($D$3:$D$16=J$19,IF($F$3:$F$16&lt;&gt;"",$F$3:$F$16))),0.95),"")</f>
        <v/>
      </c>
      <c r="K27" s="144" t="str">
        <f t="array" ref="K27">IFERROR(PERCENTILE(IF($B$3:$B$16=$B27,IF($D$3:$D$16=K$19,IF($F$3:$F$16&lt;&gt;"",$F$3:$F$16))),0.95),"")</f>
        <v/>
      </c>
      <c r="L27" s="144" t="str">
        <f t="array" ref="L27">IFERROR(PERCENTILE(IF($B$3:$B$16=$B27,IF($D$3:$D$16=L$19,IF($F$3:$F$16&lt;&gt;"",$F$3:$F$16))),0.95),"")</f>
        <v/>
      </c>
      <c r="M27" s="144" t="str">
        <f t="array" ref="M27">IFERROR(PERCENTILE(IF($B$3:$B$16=$B27,IF($D$3:$D$16=M$19,IF($F$3:$F$16&lt;&gt;"",$F$3:$F$16))),0.95),"")</f>
        <v/>
      </c>
      <c r="N27" s="144" t="str">
        <f t="array" ref="N27">IFERROR(PERCENTILE(IF($B$3:$B$16=$B27,IF($D$3:$D$16=N$19,IF($F$3:$F$16&lt;&gt;"",$F$3:$F$16))),0.95),"")</f>
        <v/>
      </c>
      <c r="O27" s="144" t="str">
        <f t="array" ref="O27">IFERROR(PERCENTILE(IF($B$3:$B$16=$B27,IF($D$3:$D$16=O$19,IF($F$3:$F$16&lt;&gt;"",$F$3:$F$16))),0.95),"")</f>
        <v/>
      </c>
      <c r="P27" s="144">
        <f t="array" ref="P27">IFERROR(PERCENTILE(IF($B$3:$B$16=$B27,IF($D$3:$D$16=P$19,IF($F$3:$F$16&lt;&gt;"",$F$3:$F$16))),0.95),"")</f>
        <v>0.73</v>
      </c>
      <c r="Q27" s="144" t="str">
        <f t="array" ref="Q27">IFERROR(PERCENTILE(IF($B$3:$B$16=$B27,IF($D$3:$D$16=Q$19,IF($F$3:$F$16&lt;&gt;"",$F$3:$F$16))),0.95),"")</f>
        <v/>
      </c>
      <c r="R27" s="144" t="str">
        <f t="array" ref="R27">IFERROR(PERCENTILE(IF($B$3:$B$16=$B27,IF($D$3:$D$16=R$19,IF($F$3:$F$16&lt;&gt;"",$F$3:$F$16))),0.95),"")</f>
        <v/>
      </c>
      <c r="S27" s="144" t="str">
        <f t="array" ref="S27">IFERROR(PERCENTILE(IF($B$3:$B$16=$B27,IF($D$3:$D$16=S$19,IF($F$3:$F$16&lt;&gt;"",$F$3:$F$16))),0.95),"")</f>
        <v/>
      </c>
    </row>
    <row r="28" spans="1:19" ht="15" customHeight="1" x14ac:dyDescent="0.25">
      <c r="A28" s="85">
        <f t="shared" si="3"/>
        <v>0</v>
      </c>
      <c r="B28" s="104" t="str">
        <f t="array" ref="B28">IFERROR(INDEX($B$3:$B$16, MATCH(0,IF(ISBLANK($B$3:$B$16),1,COUNTIF($B$20:B27, $B$3:$B$16)), 0)),"")</f>
        <v>Ludhiyana</v>
      </c>
      <c r="C28" s="105"/>
      <c r="D28" s="105"/>
      <c r="E28" s="105"/>
      <c r="F28" s="106"/>
      <c r="G28" s="144" t="str">
        <f t="array" ref="G28">IFERROR(PERCENTILE(IF($B$3:$B$16=$B28,IF($D$3:$D$16=G$19,IF($F$3:$F$16&lt;&gt;"",$F$3:$F$16))),0.95),"")</f>
        <v/>
      </c>
      <c r="H28" s="144" t="str">
        <f t="array" ref="H28">IFERROR(PERCENTILE(IF($B$3:$B$16=$B28,IF($D$3:$D$16=H$19,IF($F$3:$F$16&lt;&gt;"",$F$3:$F$16))),0.95),"")</f>
        <v/>
      </c>
      <c r="I28" s="144" t="str">
        <f t="array" ref="I28">IFERROR(PERCENTILE(IF($B$3:$B$16=$B28,IF($D$3:$D$16=I$19,IF($F$3:$F$16&lt;&gt;"",$F$3:$F$16))),0.95),"")</f>
        <v/>
      </c>
      <c r="J28" s="144" t="str">
        <f t="array" ref="J28">IFERROR(PERCENTILE(IF($B$3:$B$16=$B28,IF($D$3:$D$16=J$19,IF($F$3:$F$16&lt;&gt;"",$F$3:$F$16))),0.95),"")</f>
        <v/>
      </c>
      <c r="K28" s="144" t="str">
        <f t="array" ref="K28">IFERROR(PERCENTILE(IF($B$3:$B$16=$B28,IF($D$3:$D$16=K$19,IF($F$3:$F$16&lt;&gt;"",$F$3:$F$16))),0.95),"")</f>
        <v/>
      </c>
      <c r="L28" s="144" t="str">
        <f t="array" ref="L28">IFERROR(PERCENTILE(IF($B$3:$B$16=$B28,IF($D$3:$D$16=L$19,IF($F$3:$F$16&lt;&gt;"",$F$3:$F$16))),0.95),"")</f>
        <v/>
      </c>
      <c r="M28" s="144" t="str">
        <f t="array" ref="M28">IFERROR(PERCENTILE(IF($B$3:$B$16=$B28,IF($D$3:$D$16=M$19,IF($F$3:$F$16&lt;&gt;"",$F$3:$F$16))),0.95),"")</f>
        <v/>
      </c>
      <c r="N28" s="144" t="str">
        <f t="array" ref="N28">IFERROR(PERCENTILE(IF($B$3:$B$16=$B28,IF($D$3:$D$16=N$19,IF($F$3:$F$16&lt;&gt;"",$F$3:$F$16))),0.95),"")</f>
        <v/>
      </c>
      <c r="O28" s="144" t="str">
        <f t="array" ref="O28">IFERROR(PERCENTILE(IF($B$3:$B$16=$B28,IF($D$3:$D$16=O$19,IF($F$3:$F$16&lt;&gt;"",$F$3:$F$16))),0.95),"")</f>
        <v/>
      </c>
      <c r="P28" s="144" t="str">
        <f t="array" ref="P28">IFERROR(PERCENTILE(IF($B$3:$B$16=$B28,IF($D$3:$D$16=P$19,IF($F$3:$F$16&lt;&gt;"",$F$3:$F$16))),0.95),"")</f>
        <v/>
      </c>
      <c r="Q28" s="144">
        <f t="array" ref="Q28">IFERROR(PERCENTILE(IF($B$3:$B$16=$B28,IF($D$3:$D$16=Q$19,IF($F$3:$F$16&lt;&gt;"",$F$3:$F$16))),0.95),"")</f>
        <v>0.44</v>
      </c>
      <c r="R28" s="144" t="str">
        <f t="array" ref="R28">IFERROR(PERCENTILE(IF($B$3:$B$16=$B28,IF($D$3:$D$16=R$19,IF($F$3:$F$16&lt;&gt;"",$F$3:$F$16))),0.95),"")</f>
        <v/>
      </c>
      <c r="S28" s="144" t="str">
        <f t="array" ref="S28">IFERROR(PERCENTILE(IF($B$3:$B$16=$B28,IF($D$3:$D$16=S$19,IF($F$3:$F$16&lt;&gt;"",$F$3:$F$16))),0.95),"")</f>
        <v/>
      </c>
    </row>
    <row r="29" spans="1:19" ht="15" customHeight="1" x14ac:dyDescent="0.25">
      <c r="A29" s="85">
        <f t="shared" si="3"/>
        <v>0</v>
      </c>
      <c r="B29" s="104" t="str">
        <f t="array" ref="B29">IFERROR(INDEX($B$3:$B$16, MATCH(0,IF(ISBLANK($B$3:$B$16),1,COUNTIF($B$20:B28, $B$3:$B$16)), 0)),"")</f>
        <v>Uttar Pradesh</v>
      </c>
      <c r="C29" s="105"/>
      <c r="D29" s="105"/>
      <c r="E29" s="105"/>
      <c r="F29" s="106"/>
      <c r="G29" s="144" t="str">
        <f t="array" ref="G29">IFERROR(PERCENTILE(IF($B$3:$B$16=$B29,IF($D$3:$D$16=G$19,IF($F$3:$F$16&lt;&gt;"",$F$3:$F$16))),0.95),"")</f>
        <v/>
      </c>
      <c r="H29" s="144" t="str">
        <f t="array" ref="H29">IFERROR(PERCENTILE(IF($B$3:$B$16=$B29,IF($D$3:$D$16=H$19,IF($F$3:$F$16&lt;&gt;"",$F$3:$F$16))),0.95),"")</f>
        <v/>
      </c>
      <c r="I29" s="144" t="str">
        <f t="array" ref="I29">IFERROR(PERCENTILE(IF($B$3:$B$16=$B29,IF($D$3:$D$16=I$19,IF($F$3:$F$16&lt;&gt;"",$F$3:$F$16))),0.95),"")</f>
        <v/>
      </c>
      <c r="J29" s="144" t="str">
        <f t="array" ref="J29">IFERROR(PERCENTILE(IF($B$3:$B$16=$B29,IF($D$3:$D$16=J$19,IF($F$3:$F$16&lt;&gt;"",$F$3:$F$16))),0.95),"")</f>
        <v/>
      </c>
      <c r="K29" s="144" t="str">
        <f t="array" ref="K29">IFERROR(PERCENTILE(IF($B$3:$B$16=$B29,IF($D$3:$D$16=K$19,IF($F$3:$F$16&lt;&gt;"",$F$3:$F$16))),0.95),"")</f>
        <v/>
      </c>
      <c r="L29" s="144" t="str">
        <f t="array" ref="L29">IFERROR(PERCENTILE(IF($B$3:$B$16=$B29,IF($D$3:$D$16=L$19,IF($F$3:$F$16&lt;&gt;"",$F$3:$F$16))),0.95),"")</f>
        <v/>
      </c>
      <c r="M29" s="144" t="str">
        <f t="array" ref="M29">IFERROR(PERCENTILE(IF($B$3:$B$16=$B29,IF($D$3:$D$16=M$19,IF($F$3:$F$16&lt;&gt;"",$F$3:$F$16))),0.95),"")</f>
        <v/>
      </c>
      <c r="N29" s="144" t="str">
        <f t="array" ref="N29">IFERROR(PERCENTILE(IF($B$3:$B$16=$B29,IF($D$3:$D$16=N$19,IF($F$3:$F$16&lt;&gt;"",$F$3:$F$16))),0.95),"")</f>
        <v/>
      </c>
      <c r="O29" s="144" t="str">
        <f t="array" ref="O29">IFERROR(PERCENTILE(IF($B$3:$B$16=$B29,IF($D$3:$D$16=O$19,IF($F$3:$F$16&lt;&gt;"",$F$3:$F$16))),0.95),"")</f>
        <v/>
      </c>
      <c r="P29" s="144" t="str">
        <f t="array" ref="P29">IFERROR(PERCENTILE(IF($B$3:$B$16=$B29,IF($D$3:$D$16=P$19,IF($F$3:$F$16&lt;&gt;"",$F$3:$F$16))),0.95),"")</f>
        <v/>
      </c>
      <c r="Q29" s="144" t="str">
        <f t="array" ref="Q29">IFERROR(PERCENTILE(IF($B$3:$B$16=$B29,IF($D$3:$D$16=Q$19,IF($F$3:$F$16&lt;&gt;"",$F$3:$F$16))),0.95),"")</f>
        <v/>
      </c>
      <c r="R29" s="144">
        <f t="array" ref="R29">IFERROR(PERCENTILE(IF($B$3:$B$16=$B29,IF($D$3:$D$16=R$19,IF($F$3:$F$16&lt;&gt;"",$F$3:$F$16))),0.95),"")</f>
        <v>0.19</v>
      </c>
      <c r="S29" s="144" t="str">
        <f t="array" ref="S29">IFERROR(PERCENTILE(IF($B$3:$B$16=$B29,IF($D$3:$D$16=S$19,IF($F$3:$F$16&lt;&gt;"",$F$3:$F$16))),0.95),"")</f>
        <v/>
      </c>
    </row>
    <row r="30" spans="1:19" ht="15" customHeight="1" x14ac:dyDescent="0.25">
      <c r="A30" s="85">
        <f t="shared" ref="A30" si="4">IF(B30="",1,0)</f>
        <v>0</v>
      </c>
      <c r="B30" s="104" t="str">
        <f t="array" ref="B30">IFERROR(INDEX($B$3:$B$16, MATCH(0,IF(ISBLANK($B$3:$B$16),1,COUNTIF($B$20:B29, $B$3:$B$16)), 0)),"")</f>
        <v>Sikkim</v>
      </c>
      <c r="C30" s="105"/>
      <c r="D30" s="105"/>
      <c r="E30" s="105"/>
      <c r="F30" s="106"/>
      <c r="G30" s="144" t="str">
        <f t="array" ref="G30">IFERROR(PERCENTILE(IF($B$3:$B$16=$B30,IF($D$3:$D$16=G$19,IF($F$3:$F$16&lt;&gt;"",$F$3:$F$16))),0.95),"")</f>
        <v/>
      </c>
      <c r="H30" s="144" t="str">
        <f t="array" ref="H30">IFERROR(PERCENTILE(IF($B$3:$B$16=$B30,IF($D$3:$D$16=H$19,IF($F$3:$F$16&lt;&gt;"",$F$3:$F$16))),0.95),"")</f>
        <v/>
      </c>
      <c r="I30" s="144" t="str">
        <f t="array" ref="I30">IFERROR(PERCENTILE(IF($B$3:$B$16=$B30,IF($D$3:$D$16=I$19,IF($F$3:$F$16&lt;&gt;"",$F$3:$F$16))),0.95),"")</f>
        <v/>
      </c>
      <c r="J30" s="144" t="str">
        <f t="array" ref="J30">IFERROR(PERCENTILE(IF($B$3:$B$16=$B30,IF($D$3:$D$16=J$19,IF($F$3:$F$16&lt;&gt;"",$F$3:$F$16))),0.95),"")</f>
        <v/>
      </c>
      <c r="K30" s="144" t="str">
        <f t="array" ref="K30">IFERROR(PERCENTILE(IF($B$3:$B$16=$B30,IF($D$3:$D$16=K$19,IF($F$3:$F$16&lt;&gt;"",$F$3:$F$16))),0.95),"")</f>
        <v/>
      </c>
      <c r="L30" s="144" t="str">
        <f t="array" ref="L30">IFERROR(PERCENTILE(IF($B$3:$B$16=$B30,IF($D$3:$D$16=L$19,IF($F$3:$F$16&lt;&gt;"",$F$3:$F$16))),0.95),"")</f>
        <v/>
      </c>
      <c r="M30" s="144" t="str">
        <f t="array" ref="M30">IFERROR(PERCENTILE(IF($B$3:$B$16=$B30,IF($D$3:$D$16=M$19,IF($F$3:$F$16&lt;&gt;"",$F$3:$F$16))),0.95),"")</f>
        <v/>
      </c>
      <c r="N30" s="144" t="str">
        <f t="array" ref="N30">IFERROR(PERCENTILE(IF($B$3:$B$16=$B30,IF($D$3:$D$16=N$19,IF($F$3:$F$16&lt;&gt;"",$F$3:$F$16))),0.95),"")</f>
        <v/>
      </c>
      <c r="O30" s="144" t="str">
        <f t="array" ref="O30">IFERROR(PERCENTILE(IF($B$3:$B$16=$B30,IF($D$3:$D$16=O$19,IF($F$3:$F$16&lt;&gt;"",$F$3:$F$16))),0.95),"")</f>
        <v/>
      </c>
      <c r="P30" s="144" t="str">
        <f t="array" ref="P30">IFERROR(PERCENTILE(IF($B$3:$B$16=$B30,IF($D$3:$D$16=P$19,IF($F$3:$F$16&lt;&gt;"",$F$3:$F$16))),0.95),"")</f>
        <v/>
      </c>
      <c r="Q30" s="144" t="str">
        <f t="array" ref="Q30">IFERROR(PERCENTILE(IF($B$3:$B$16=$B30,IF($D$3:$D$16=Q$19,IF($F$3:$F$16&lt;&gt;"",$F$3:$F$16))),0.95),"")</f>
        <v/>
      </c>
      <c r="R30" s="144" t="str">
        <f t="array" ref="R30">IFERROR(PERCENTILE(IF($B$3:$B$16=$B30,IF($D$3:$D$16=R$19,IF($F$3:$F$16&lt;&gt;"",$F$3:$F$16))),0.95),"")</f>
        <v/>
      </c>
      <c r="S30" s="144">
        <f t="array" ref="S30">IFERROR(PERCENTILE(IF($B$3:$B$16=$B30,IF($D$3:$D$16=S$19,IF($F$3:$F$16&lt;&gt;"",$F$3:$F$16))),0.95),"")</f>
        <v>0.62</v>
      </c>
    </row>
    <row r="31" spans="1:19" ht="9" customHeight="1" x14ac:dyDescent="0.25"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</row>
    <row r="32" spans="1:19" ht="9" customHeight="1" x14ac:dyDescent="0.25">
      <c r="A32" s="85" t="s">
        <v>551</v>
      </c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</row>
    <row r="33" spans="1:19" ht="15" hidden="1" customHeight="1" x14ac:dyDescent="0.25">
      <c r="G33" s="107">
        <f t="shared" ref="G33:S33" si="5">G19</f>
        <v>43100</v>
      </c>
      <c r="H33" s="107">
        <f t="shared" si="5"/>
        <v>43131</v>
      </c>
      <c r="I33" s="107">
        <f t="shared" si="5"/>
        <v>43159</v>
      </c>
      <c r="J33" s="107">
        <f t="shared" si="5"/>
        <v>43190</v>
      </c>
      <c r="K33" s="107">
        <f t="shared" si="5"/>
        <v>43220</v>
      </c>
      <c r="L33" s="107">
        <f t="shared" si="5"/>
        <v>43251</v>
      </c>
      <c r="M33" s="107">
        <f t="shared" si="5"/>
        <v>43281</v>
      </c>
      <c r="N33" s="107">
        <f t="shared" si="5"/>
        <v>43312</v>
      </c>
      <c r="O33" s="107">
        <f t="shared" si="5"/>
        <v>43343</v>
      </c>
      <c r="P33" s="107">
        <f t="shared" si="5"/>
        <v>43373</v>
      </c>
      <c r="Q33" s="107">
        <f t="shared" si="5"/>
        <v>43404</v>
      </c>
      <c r="R33" s="107">
        <f t="shared" si="5"/>
        <v>43434</v>
      </c>
      <c r="S33" s="107">
        <f t="shared" si="5"/>
        <v>43465</v>
      </c>
    </row>
    <row r="34" spans="1:19" ht="20.25" customHeight="1" x14ac:dyDescent="0.25">
      <c r="B34" s="108" t="s">
        <v>588</v>
      </c>
      <c r="C34" s="109"/>
      <c r="D34" s="109"/>
      <c r="E34" s="109"/>
      <c r="F34" s="110"/>
      <c r="G34" s="146">
        <f t="shared" ref="G34:S34" si="6">IFERROR(AVERAGE(G21:G32),0)</f>
        <v>0.5</v>
      </c>
      <c r="H34" s="146">
        <f t="shared" si="6"/>
        <v>0.5</v>
      </c>
      <c r="I34" s="146">
        <f t="shared" si="6"/>
        <v>0.5</v>
      </c>
      <c r="J34" s="146">
        <f t="shared" si="6"/>
        <v>0.19</v>
      </c>
      <c r="K34" s="146">
        <f t="shared" si="6"/>
        <v>0.33</v>
      </c>
      <c r="L34" s="146">
        <f t="shared" si="6"/>
        <v>0.25</v>
      </c>
      <c r="M34" s="146">
        <f t="shared" si="6"/>
        <v>0.25</v>
      </c>
      <c r="N34" s="146">
        <f t="shared" si="6"/>
        <v>0.11</v>
      </c>
      <c r="O34" s="146">
        <f t="shared" si="6"/>
        <v>0.99</v>
      </c>
      <c r="P34" s="146">
        <f t="shared" si="6"/>
        <v>0.73</v>
      </c>
      <c r="Q34" s="146">
        <f t="shared" si="6"/>
        <v>0.44</v>
      </c>
      <c r="R34" s="146">
        <f t="shared" si="6"/>
        <v>0.19</v>
      </c>
      <c r="S34" s="146">
        <f t="shared" si="6"/>
        <v>0.62</v>
      </c>
    </row>
    <row r="35" spans="1:19" ht="24.75" customHeight="1" x14ac:dyDescent="0.25"/>
    <row r="36" spans="1:19" ht="28.5" hidden="1" customHeight="1" x14ac:dyDescent="0.25">
      <c r="A36" s="85">
        <v>10</v>
      </c>
      <c r="B36" s="111" t="s">
        <v>589</v>
      </c>
      <c r="C36" s="111" t="s">
        <v>590</v>
      </c>
      <c r="D36" s="111" t="s">
        <v>591</v>
      </c>
      <c r="E36" s="112"/>
    </row>
    <row r="37" spans="1:19" ht="15" hidden="1" customHeight="1" x14ac:dyDescent="0.25">
      <c r="A37" s="113">
        <f>IFERROR(IF(D37="",1,0),1)</f>
        <v>0</v>
      </c>
      <c r="B37" s="114">
        <f>INDEX(Dates,1,E37)</f>
        <v>43100</v>
      </c>
      <c r="C37" s="114">
        <f t="shared" ref="C37" si="7">B37</f>
        <v>43100</v>
      </c>
      <c r="D37" s="115">
        <f>HLOOKUP(B37,ReadingTable,2,FALSE)</f>
        <v>0.5</v>
      </c>
      <c r="E37" s="116">
        <f>IF(E36="",7,E36+1)</f>
        <v>7</v>
      </c>
    </row>
    <row r="38" spans="1:19" hidden="1" x14ac:dyDescent="0.25"/>
    <row r="39" spans="1:19" ht="24" hidden="1" x14ac:dyDescent="0.25">
      <c r="B39" s="117" t="s">
        <v>586</v>
      </c>
      <c r="C39" s="117" t="s">
        <v>592</v>
      </c>
    </row>
    <row r="40" spans="1:19" hidden="1" x14ac:dyDescent="0.25">
      <c r="B40" s="118">
        <f t="array" ref="B40">SUM(IF($D$3:$D$16&lt;&gt;"",1/COUNTIF($D$3:$D$16, $D$3:$D$16), 0))</f>
        <v>13</v>
      </c>
      <c r="C40" s="118">
        <f t="array" ref="C40">SUM(IF($B$3:$B$16&lt;&gt;"",1/COUNTIF($B$3:$B$16, $B$3:$B$16), 0))</f>
        <v>10</v>
      </c>
    </row>
    <row r="41" spans="1:19" hidden="1" x14ac:dyDescent="0.25"/>
    <row r="42" spans="1:19" ht="25.5" hidden="1" x14ac:dyDescent="0.25">
      <c r="B42" s="111" t="s">
        <v>597</v>
      </c>
    </row>
    <row r="43" spans="1:19" ht="15" hidden="1" x14ac:dyDescent="0.25">
      <c r="A43" s="28"/>
      <c r="B43" s="48"/>
      <c r="C43" s="48"/>
      <c r="D43" s="84"/>
      <c r="E43" s="119"/>
    </row>
  </sheetData>
  <sheetProtection algorithmName="SHA-512" hashValue="3LsChm1nD4P3jFAlVJXBUW2kqlNkUSq4vGan4uXsfILs9joIXelV9XTPCRPgJOFloOCgdznXHipIhKG3go7wWw==" saltValue="MGxtmfCXTZ5J+1a8NNdoqA==" spinCount="100000" sheet="1" objects="1" scenarios="1"/>
  <autoFilter ref="B2:F4" xr:uid="{00000000-0009-0000-0000-000006000000}"/>
  <mergeCells count="1">
    <mergeCell ref="B18:B20"/>
  </mergeCells>
  <dataValidations count="4">
    <dataValidation type="decimal" allowBlank="1" showInputMessage="1" showErrorMessage="1" error="Please enter a valid reading." sqref="D43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43:C43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15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15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22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77" t="s">
        <v>570</v>
      </c>
      <c r="C2" s="278"/>
      <c r="D2" s="41" t="s">
        <v>629</v>
      </c>
      <c r="E2" s="45"/>
    </row>
    <row r="3" spans="1:5" x14ac:dyDescent="0.25">
      <c r="A3" s="6" t="s">
        <v>603</v>
      </c>
      <c r="B3" s="275" t="s">
        <v>700</v>
      </c>
      <c r="C3" s="276"/>
      <c r="D3" s="41" t="s">
        <v>630</v>
      </c>
      <c r="E3" s="45"/>
    </row>
    <row r="4" spans="1:5" x14ac:dyDescent="0.25">
      <c r="A4" s="6" t="s">
        <v>603</v>
      </c>
      <c r="B4" s="44" t="s">
        <v>571</v>
      </c>
      <c r="C4" s="27"/>
      <c r="D4" s="41" t="s">
        <v>604</v>
      </c>
      <c r="E4" s="45"/>
    </row>
    <row r="5" spans="1:5" s="3" customFormat="1" ht="20.45" customHeight="1" x14ac:dyDescent="0.25">
      <c r="A5" s="6"/>
      <c r="B5" s="217" t="s">
        <v>635</v>
      </c>
      <c r="C5" s="153"/>
      <c r="D5" s="216"/>
      <c r="E5" s="1"/>
    </row>
    <row r="6" spans="1:5" ht="33.75" customHeight="1" x14ac:dyDescent="0.25">
      <c r="A6" s="6">
        <v>22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9" si="0">INDEX(DatesVOC,1,E7)</f>
        <v>43100</v>
      </c>
      <c r="C7" s="66">
        <f t="shared" ref="C7" si="1">B7</f>
        <v>43100</v>
      </c>
      <c r="D7" s="67">
        <f t="array" ref="D7">HLOOKUP(B7,ReadingTableVOC,2,FALSE)</f>
        <v>3221</v>
      </c>
      <c r="E7" s="82">
        <f>IF(E6="",8,E6+1)</f>
        <v>8</v>
      </c>
    </row>
    <row r="8" spans="1:5" ht="15" customHeight="1" x14ac:dyDescent="0.25">
      <c r="A8" s="51">
        <f t="shared" ref="A8:A19" si="2">IFERROR(IF(D8="",1,0),1)</f>
        <v>0</v>
      </c>
      <c r="B8" s="66">
        <f t="shared" si="0"/>
        <v>43131</v>
      </c>
      <c r="C8" s="66">
        <f t="shared" ref="C8:C19" si="3">B8</f>
        <v>43131</v>
      </c>
      <c r="D8" s="67">
        <f t="array" ref="D8">HLOOKUP(B8,ReadingTableVOC,2,FALSE)</f>
        <v>1232</v>
      </c>
      <c r="E8" s="82">
        <f t="shared" ref="E8:E19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43159</v>
      </c>
      <c r="C9" s="66">
        <f t="shared" si="3"/>
        <v>43159</v>
      </c>
      <c r="D9" s="67">
        <f t="array" ref="D9">HLOOKUP(B9,ReadingTableVOC,2,FALSE)</f>
        <v>2677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43190</v>
      </c>
      <c r="C10" s="66">
        <f t="shared" si="3"/>
        <v>43190</v>
      </c>
      <c r="D10" s="67">
        <f t="array" ref="D10">HLOOKUP(B10,ReadingTableVOC,2,FALSE)</f>
        <v>2756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43220</v>
      </c>
      <c r="C11" s="66">
        <f t="shared" si="3"/>
        <v>43220</v>
      </c>
      <c r="D11" s="67">
        <f t="array" ref="D11">HLOOKUP(B11,ReadingTableVOC,2,FALSE)</f>
        <v>2577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43251</v>
      </c>
      <c r="C12" s="66">
        <f t="shared" si="3"/>
        <v>43251</v>
      </c>
      <c r="D12" s="67">
        <f t="array" ref="D12">HLOOKUP(B12,ReadingTableVOC,2,FALSE)</f>
        <v>2566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43281</v>
      </c>
      <c r="C13" s="66">
        <f t="shared" si="3"/>
        <v>43281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43312</v>
      </c>
      <c r="C14" s="66">
        <f t="shared" si="3"/>
        <v>43312</v>
      </c>
      <c r="D14" s="67">
        <f t="array" ref="D14">HLOOKUP(B14,ReadingTableVOC,2,FALSE)</f>
        <v>1993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43343</v>
      </c>
      <c r="C15" s="66">
        <f t="shared" si="3"/>
        <v>43343</v>
      </c>
      <c r="D15" s="67">
        <f t="array" ref="D15">HLOOKUP(B15,ReadingTableVOC,2,FALSE)</f>
        <v>1212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43373</v>
      </c>
      <c r="C16" s="66">
        <f t="shared" si="3"/>
        <v>43373</v>
      </c>
      <c r="D16" s="67">
        <f t="array" ref="D16">HLOOKUP(B16,ReadingTableVOC,2,FALSE)</f>
        <v>986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43404</v>
      </c>
      <c r="C17" s="66">
        <f t="shared" si="3"/>
        <v>43404</v>
      </c>
      <c r="D17" s="67">
        <f t="array" ref="D17">HLOOKUP(B17,ReadingTableVOC,2,FALSE)</f>
        <v>1098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43434</v>
      </c>
      <c r="C18" s="66">
        <f t="shared" si="3"/>
        <v>43434</v>
      </c>
      <c r="D18" s="67">
        <f t="array" ref="D18">HLOOKUP(B18,ReadingTableVOC,2,FALSE)</f>
        <v>1173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43465</v>
      </c>
      <c r="C19" s="66">
        <f t="shared" si="3"/>
        <v>43465</v>
      </c>
      <c r="D19" s="67">
        <f t="array" ref="D19">HLOOKUP(B19,ReadingTableVOC,2,FALSE)</f>
        <v>2654</v>
      </c>
      <c r="E19" s="82">
        <f t="shared" si="4"/>
        <v>20</v>
      </c>
    </row>
    <row r="20" spans="1:5" ht="15" customHeight="1" x14ac:dyDescent="0.25">
      <c r="A20" s="6" t="s">
        <v>551</v>
      </c>
      <c r="B20" s="47"/>
      <c r="C20" s="47"/>
      <c r="D20" s="47"/>
      <c r="E20" s="45"/>
    </row>
    <row r="21" spans="1:5" ht="15" hidden="1" customHeight="1" x14ac:dyDescent="0.25">
      <c r="A21" s="6"/>
      <c r="B21" s="47"/>
      <c r="C21" s="47"/>
      <c r="D21" s="47"/>
      <c r="E21" s="45"/>
    </row>
    <row r="22" spans="1:5" ht="33.6" customHeight="1" x14ac:dyDescent="0.25">
      <c r="A22" s="6" t="s">
        <v>551</v>
      </c>
      <c r="B22" s="47"/>
      <c r="C22" s="47"/>
      <c r="D22" s="47"/>
      <c r="E22" s="45"/>
    </row>
  </sheetData>
  <sheetProtection algorithmName="SHA-512" hashValue="5/HXktLIsPtmjBYr8u9epKqMG/0tyY6mTXRMyORXZeXc5r6ifHTmyl8N328p3PFsz8lR95YAPHwQasI+nDTQmA==" saltValue="WpP+5Y6BvxEctQPMRbt++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20:D22" xr:uid="{00000000-0002-0000-0700-000000000000}"/>
    <dataValidation type="decimal" allowBlank="1" showInputMessage="1" showErrorMessage="1" error="Please enter a valid reading." sqref="D7:D19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19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21</xdr:row>
                    <xdr:rowOff>28575</xdr:rowOff>
                  </from>
                  <to>
                    <xdr:col>2</xdr:col>
                    <xdr:colOff>466725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21</xdr:row>
                    <xdr:rowOff>352425</xdr:rowOff>
                  </from>
                  <to>
                    <xdr:col>3</xdr:col>
                    <xdr:colOff>990600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T36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603</v>
      </c>
      <c r="B1" s="54" t="s">
        <v>633</v>
      </c>
    </row>
    <row r="2" spans="1:8" ht="33.75" customHeight="1" x14ac:dyDescent="0.25">
      <c r="A2" s="52" t="s">
        <v>603</v>
      </c>
      <c r="B2" s="55" t="s">
        <v>583</v>
      </c>
      <c r="C2" s="56" t="s">
        <v>708</v>
      </c>
      <c r="D2" s="57" t="s">
        <v>584</v>
      </c>
      <c r="E2" s="58" t="s">
        <v>598</v>
      </c>
      <c r="F2" s="120" t="s">
        <v>599</v>
      </c>
      <c r="G2" s="59" t="s">
        <v>602</v>
      </c>
    </row>
    <row r="3" spans="1:8" x14ac:dyDescent="0.25">
      <c r="B3" s="122" t="s">
        <v>731</v>
      </c>
      <c r="C3" s="260">
        <v>43070</v>
      </c>
      <c r="D3" s="142">
        <v>43100</v>
      </c>
      <c r="E3" s="151">
        <v>0.375</v>
      </c>
      <c r="F3" s="152">
        <v>0.5</v>
      </c>
      <c r="G3" s="143">
        <v>3221</v>
      </c>
    </row>
    <row r="4" spans="1:8" x14ac:dyDescent="0.25">
      <c r="B4" s="122" t="s">
        <v>732</v>
      </c>
      <c r="C4" s="260">
        <v>43101</v>
      </c>
      <c r="D4" s="142">
        <v>43131</v>
      </c>
      <c r="E4" s="151">
        <v>0.41666666666666669</v>
      </c>
      <c r="F4" s="152">
        <v>0.5</v>
      </c>
      <c r="G4" s="143">
        <v>1232</v>
      </c>
      <c r="H4" s="60"/>
    </row>
    <row r="5" spans="1:8" x14ac:dyDescent="0.25">
      <c r="B5" s="122" t="s">
        <v>735</v>
      </c>
      <c r="C5" s="260">
        <v>43132</v>
      </c>
      <c r="D5" s="142">
        <v>43159</v>
      </c>
      <c r="E5" s="151">
        <v>0.45833333333333331</v>
      </c>
      <c r="F5" s="152">
        <v>0.5</v>
      </c>
      <c r="G5" s="143">
        <v>2677</v>
      </c>
      <c r="H5" s="60"/>
    </row>
    <row r="6" spans="1:8" x14ac:dyDescent="0.25">
      <c r="B6" s="122" t="s">
        <v>736</v>
      </c>
      <c r="C6" s="260">
        <v>43160</v>
      </c>
      <c r="D6" s="142">
        <v>43190</v>
      </c>
      <c r="E6" s="151">
        <v>0.10416666666666667</v>
      </c>
      <c r="F6" s="152">
        <v>0.18958333333333333</v>
      </c>
      <c r="G6" s="143">
        <v>2756</v>
      </c>
      <c r="H6" s="60"/>
    </row>
    <row r="7" spans="1:8" x14ac:dyDescent="0.25">
      <c r="B7" s="122" t="s">
        <v>737</v>
      </c>
      <c r="C7" s="260">
        <v>43191</v>
      </c>
      <c r="D7" s="142">
        <v>43220</v>
      </c>
      <c r="E7" s="151">
        <v>0.14583333333333334</v>
      </c>
      <c r="F7" s="152">
        <v>0.3298611111111111</v>
      </c>
      <c r="G7" s="143">
        <v>2577</v>
      </c>
      <c r="H7" s="60"/>
    </row>
    <row r="8" spans="1:8" x14ac:dyDescent="0.25">
      <c r="B8" s="122" t="s">
        <v>732</v>
      </c>
      <c r="C8" s="260">
        <v>43221</v>
      </c>
      <c r="D8" s="142">
        <v>43251</v>
      </c>
      <c r="E8" s="151">
        <v>8.3333333333333329E-2</v>
      </c>
      <c r="F8" s="152">
        <v>0.25</v>
      </c>
      <c r="G8" s="143">
        <v>2566</v>
      </c>
      <c r="H8" s="60"/>
    </row>
    <row r="9" spans="1:8" x14ac:dyDescent="0.25">
      <c r="B9" s="122" t="s">
        <v>735</v>
      </c>
      <c r="C9" s="260">
        <v>43252</v>
      </c>
      <c r="D9" s="142">
        <v>43281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B10" s="122" t="s">
        <v>731</v>
      </c>
      <c r="C10" s="260">
        <v>43282</v>
      </c>
      <c r="D10" s="142">
        <v>43312</v>
      </c>
      <c r="E10" s="151">
        <v>0.29166666666666669</v>
      </c>
      <c r="F10" s="152">
        <v>0.5</v>
      </c>
      <c r="G10" s="143">
        <v>1993</v>
      </c>
      <c r="H10" s="60"/>
    </row>
    <row r="11" spans="1:8" x14ac:dyDescent="0.25">
      <c r="B11" s="122" t="s">
        <v>732</v>
      </c>
      <c r="C11" s="260">
        <v>43313</v>
      </c>
      <c r="D11" s="142">
        <v>43343</v>
      </c>
      <c r="E11" s="151">
        <v>0.45833333333333331</v>
      </c>
      <c r="F11" s="152">
        <v>0.5</v>
      </c>
      <c r="G11" s="143">
        <v>1212</v>
      </c>
      <c r="H11" s="60"/>
    </row>
    <row r="12" spans="1:8" x14ac:dyDescent="0.25">
      <c r="B12" s="122" t="s">
        <v>735</v>
      </c>
      <c r="C12" s="260">
        <v>43344</v>
      </c>
      <c r="D12" s="142">
        <v>43373</v>
      </c>
      <c r="E12" s="151">
        <v>0.10416666666666667</v>
      </c>
      <c r="F12" s="152">
        <v>0.18958333333333333</v>
      </c>
      <c r="G12" s="143">
        <v>986</v>
      </c>
      <c r="H12" s="60"/>
    </row>
    <row r="13" spans="1:8" x14ac:dyDescent="0.25">
      <c r="B13" s="122" t="s">
        <v>736</v>
      </c>
      <c r="C13" s="260">
        <v>43374</v>
      </c>
      <c r="D13" s="142">
        <v>43404</v>
      </c>
      <c r="E13" s="151">
        <v>0.14583333333333334</v>
      </c>
      <c r="F13" s="152">
        <v>0.3298611111111111</v>
      </c>
      <c r="G13" s="143">
        <v>1098</v>
      </c>
      <c r="H13" s="60"/>
    </row>
    <row r="14" spans="1:8" x14ac:dyDescent="0.25">
      <c r="B14" s="122" t="s">
        <v>737</v>
      </c>
      <c r="C14" s="260">
        <v>43405</v>
      </c>
      <c r="D14" s="142">
        <v>43434</v>
      </c>
      <c r="E14" s="151">
        <v>8.3333333333333329E-2</v>
      </c>
      <c r="F14" s="152">
        <v>0.25</v>
      </c>
      <c r="G14" s="143">
        <v>1173</v>
      </c>
      <c r="H14" s="60"/>
    </row>
    <row r="15" spans="1:8" x14ac:dyDescent="0.25">
      <c r="B15" s="122" t="s">
        <v>732</v>
      </c>
      <c r="C15" s="260">
        <v>43435</v>
      </c>
      <c r="D15" s="142">
        <v>43465</v>
      </c>
      <c r="E15" s="151">
        <v>0.125</v>
      </c>
      <c r="F15" s="152">
        <v>0.25</v>
      </c>
      <c r="G15" s="143">
        <v>2654</v>
      </c>
      <c r="H15" s="60"/>
    </row>
    <row r="16" spans="1:8" ht="39" customHeight="1" x14ac:dyDescent="0.25"/>
    <row r="17" spans="1:20" s="73" customFormat="1" ht="51" customHeight="1" x14ac:dyDescent="0.2">
      <c r="A17" s="52" t="s">
        <v>593</v>
      </c>
      <c r="B17" s="54" t="s">
        <v>587</v>
      </c>
      <c r="G17" s="74"/>
      <c r="H17" s="83">
        <f t="shared" ref="H17:I17" si="0">IF(H19="",1,0)</f>
        <v>0</v>
      </c>
      <c r="I17" s="83">
        <f t="shared" si="0"/>
        <v>0</v>
      </c>
      <c r="J17" s="83">
        <f t="shared" ref="J17:T17" si="1">IF(J19="",1,0)</f>
        <v>0</v>
      </c>
      <c r="K17" s="83">
        <f t="shared" si="1"/>
        <v>0</v>
      </c>
      <c r="L17" s="83">
        <f t="shared" si="1"/>
        <v>0</v>
      </c>
      <c r="M17" s="83">
        <f t="shared" si="1"/>
        <v>0</v>
      </c>
      <c r="N17" s="83">
        <f t="shared" si="1"/>
        <v>0</v>
      </c>
      <c r="O17" s="83">
        <f t="shared" si="1"/>
        <v>0</v>
      </c>
      <c r="P17" s="83">
        <f t="shared" si="1"/>
        <v>0</v>
      </c>
      <c r="Q17" s="83">
        <f t="shared" si="1"/>
        <v>0</v>
      </c>
      <c r="R17" s="83">
        <f t="shared" si="1"/>
        <v>0</v>
      </c>
      <c r="S17" s="83">
        <f t="shared" si="1"/>
        <v>0</v>
      </c>
      <c r="T17" s="83">
        <f t="shared" si="1"/>
        <v>0</v>
      </c>
    </row>
    <row r="18" spans="1:20" ht="21" customHeight="1" x14ac:dyDescent="0.25">
      <c r="A18" s="52" t="s">
        <v>603</v>
      </c>
      <c r="B18" s="282" t="s">
        <v>583</v>
      </c>
      <c r="C18" s="75"/>
      <c r="D18" s="75"/>
      <c r="E18" s="75"/>
      <c r="F18" s="75"/>
      <c r="G18" s="76"/>
      <c r="H18" s="61" t="s">
        <v>584</v>
      </c>
      <c r="I18" s="61" t="s">
        <v>584</v>
      </c>
      <c r="J18" s="61" t="s">
        <v>584</v>
      </c>
      <c r="K18" s="61" t="s">
        <v>584</v>
      </c>
      <c r="L18" s="61" t="s">
        <v>584</v>
      </c>
      <c r="M18" s="61" t="s">
        <v>584</v>
      </c>
      <c r="N18" s="61" t="s">
        <v>584</v>
      </c>
      <c r="O18" s="61" t="s">
        <v>584</v>
      </c>
      <c r="P18" s="61" t="s">
        <v>584</v>
      </c>
      <c r="Q18" s="61" t="s">
        <v>584</v>
      </c>
      <c r="R18" s="61" t="s">
        <v>584</v>
      </c>
      <c r="S18" s="61" t="s">
        <v>584</v>
      </c>
      <c r="T18" s="61" t="s">
        <v>584</v>
      </c>
    </row>
    <row r="19" spans="1:20" ht="15" customHeight="1" x14ac:dyDescent="0.25">
      <c r="A19" s="52" t="s">
        <v>603</v>
      </c>
      <c r="B19" s="283"/>
      <c r="C19" s="77"/>
      <c r="D19" s="77"/>
      <c r="E19" s="77"/>
      <c r="F19" s="77"/>
      <c r="G19" s="78"/>
      <c r="H19" s="231">
        <f t="array" ref="H19">IFERROR(INDEX($D$3:$D$16, MATCH(0,IF(ISBLANK($D$3:$D$16),1,COUNTIF($G$19:G19, $D$3:$D$16)), 0)),"")</f>
        <v>43100</v>
      </c>
      <c r="I19" s="231">
        <f t="array" ref="I19">IFERROR(INDEX($D$3:$D$16, MATCH(0,IF(ISBLANK($D$3:$D$16),1,COUNTIF($G$19:H19, $D$3:$D$16)), 0)),"")</f>
        <v>43131</v>
      </c>
      <c r="J19" s="231">
        <f t="array" ref="J19">IFERROR(INDEX($D$3:$D$16, MATCH(0,IF(ISBLANK($D$3:$D$16),1,COUNTIF($G$19:I19, $D$3:$D$16)), 0)),"")</f>
        <v>43159</v>
      </c>
      <c r="K19" s="231">
        <f t="array" ref="K19">IFERROR(INDEX($D$3:$D$16, MATCH(0,IF(ISBLANK($D$3:$D$16),1,COUNTIF($G$19:J19, $D$3:$D$16)), 0)),"")</f>
        <v>43190</v>
      </c>
      <c r="L19" s="231">
        <f t="array" ref="L19">IFERROR(INDEX($D$3:$D$16, MATCH(0,IF(ISBLANK($D$3:$D$16),1,COUNTIF($G$19:K19, $D$3:$D$16)), 0)),"")</f>
        <v>43220</v>
      </c>
      <c r="M19" s="231">
        <f t="array" ref="M19">IFERROR(INDEX($D$3:$D$16, MATCH(0,IF(ISBLANK($D$3:$D$16),1,COUNTIF($G$19:L19, $D$3:$D$16)), 0)),"")</f>
        <v>43251</v>
      </c>
      <c r="N19" s="231">
        <f t="array" ref="N19">IFERROR(INDEX($D$3:$D$16, MATCH(0,IF(ISBLANK($D$3:$D$16),1,COUNTIF($G$19:M19, $D$3:$D$16)), 0)),"")</f>
        <v>43281</v>
      </c>
      <c r="O19" s="231">
        <f t="array" ref="O19">IFERROR(INDEX($D$3:$D$16, MATCH(0,IF(ISBLANK($D$3:$D$16),1,COUNTIF($G$19:N19, $D$3:$D$16)), 0)),"")</f>
        <v>43312</v>
      </c>
      <c r="P19" s="231">
        <f t="array" ref="P19">IFERROR(INDEX($D$3:$D$16, MATCH(0,IF(ISBLANK($D$3:$D$16),1,COUNTIF($G$19:O19, $D$3:$D$16)), 0)),"")</f>
        <v>43343</v>
      </c>
      <c r="Q19" s="231">
        <f t="array" ref="Q19">IFERROR(INDEX($D$3:$D$16, MATCH(0,IF(ISBLANK($D$3:$D$16),1,COUNTIF($G$19:P19, $D$3:$D$16)), 0)),"")</f>
        <v>43373</v>
      </c>
      <c r="R19" s="231">
        <f t="array" ref="R19">IFERROR(INDEX($D$3:$D$16, MATCH(0,IF(ISBLANK($D$3:$D$16),1,COUNTIF($G$19:Q19, $D$3:$D$16)), 0)),"")</f>
        <v>43404</v>
      </c>
      <c r="S19" s="231">
        <f t="array" ref="S19">IFERROR(INDEX($D$3:$D$16, MATCH(0,IF(ISBLANK($D$3:$D$16),1,COUNTIF($G$19:R19, $D$3:$D$16)), 0)),"")</f>
        <v>43434</v>
      </c>
      <c r="T19" s="231">
        <f t="array" ref="T19">IFERROR(INDEX($D$3:$D$16, MATCH(0,IF(ISBLANK($D$3:$D$16),1,COUNTIF($G$19:S19, $D$3:$D$16)), 0)),"")</f>
        <v>43465</v>
      </c>
    </row>
    <row r="20" spans="1:20" ht="27.75" customHeight="1" x14ac:dyDescent="0.25">
      <c r="A20" s="52" t="s">
        <v>603</v>
      </c>
      <c r="B20" s="284"/>
      <c r="C20" s="79"/>
      <c r="D20" s="79"/>
      <c r="E20" s="79"/>
      <c r="F20" s="79"/>
      <c r="G20" s="80"/>
      <c r="H20" s="121" t="s">
        <v>600</v>
      </c>
      <c r="I20" s="121" t="s">
        <v>600</v>
      </c>
      <c r="J20" s="121" t="s">
        <v>600</v>
      </c>
      <c r="K20" s="121" t="s">
        <v>600</v>
      </c>
      <c r="L20" s="121" t="s">
        <v>600</v>
      </c>
      <c r="M20" s="121" t="s">
        <v>600</v>
      </c>
      <c r="N20" s="121" t="s">
        <v>600</v>
      </c>
      <c r="O20" s="121" t="s">
        <v>600</v>
      </c>
      <c r="P20" s="121" t="s">
        <v>600</v>
      </c>
      <c r="Q20" s="121" t="s">
        <v>600</v>
      </c>
      <c r="R20" s="121" t="s">
        <v>600</v>
      </c>
      <c r="S20" s="121" t="s">
        <v>600</v>
      </c>
      <c r="T20" s="121" t="s">
        <v>600</v>
      </c>
    </row>
    <row r="21" spans="1:20" ht="15" customHeight="1" x14ac:dyDescent="0.25">
      <c r="A21" s="52">
        <f>IF(B21="",1,0)</f>
        <v>0</v>
      </c>
      <c r="B21" s="62" t="str">
        <f t="array" ref="B21">IFERROR(INDEX($B$3:$B$16, MATCH(0,IF(ISBLANK($B$3:$B$16),1,COUNTIF($B$20:B20, $B$3:$B$16)), 0)),"")</f>
        <v>Goa</v>
      </c>
      <c r="C21" s="63"/>
      <c r="D21" s="63"/>
      <c r="E21" s="63"/>
      <c r="F21" s="63"/>
      <c r="G21" s="72"/>
      <c r="H21" s="147">
        <f t="array" ref="H21">IFERROR(AVERAGE(IF($B$3:$B$16=$B21,IF($D$3:$D$16=H$19,IF($G$3:$G$16&lt;&gt;"",$G$3:$G$16)))),"")</f>
        <v>3221</v>
      </c>
      <c r="I21" s="147" t="str">
        <f t="array" ref="I21">IFERROR(AVERAGE(IF($B$3:$B$16=$B21,IF($D$3:$D$16=I$19,IF($G$3:$G$16&lt;&gt;"",$G$3:$G$16)))),"")</f>
        <v/>
      </c>
      <c r="J21" s="147" t="str">
        <f t="array" ref="J21">IFERROR(AVERAGE(IF($B$3:$B$16=$B21,IF($D$3:$D$16=J$19,IF($G$3:$G$16&lt;&gt;"",$G$3:$G$16)))),"")</f>
        <v/>
      </c>
      <c r="K21" s="147" t="str">
        <f t="array" ref="K21">IFERROR(AVERAGE(IF($B$3:$B$16=$B21,IF($D$3:$D$16=K$19,IF($G$3:$G$16&lt;&gt;"",$G$3:$G$16)))),"")</f>
        <v/>
      </c>
      <c r="L21" s="147" t="str">
        <f t="array" ref="L21">IFERROR(AVERAGE(IF($B$3:$B$16=$B21,IF($D$3:$D$16=L$19,IF($G$3:$G$16&lt;&gt;"",$G$3:$G$16)))),"")</f>
        <v/>
      </c>
      <c r="M21" s="147" t="str">
        <f t="array" ref="M21">IFERROR(AVERAGE(IF($B$3:$B$16=$B21,IF($D$3:$D$16=M$19,IF($G$3:$G$16&lt;&gt;"",$G$3:$G$16)))),"")</f>
        <v/>
      </c>
      <c r="N21" s="147" t="str">
        <f t="array" ref="N21">IFERROR(AVERAGE(IF($B$3:$B$16=$B21,IF($D$3:$D$16=N$19,IF($G$3:$G$16&lt;&gt;"",$G$3:$G$16)))),"")</f>
        <v/>
      </c>
      <c r="O21" s="147">
        <f t="array" ref="O21">IFERROR(AVERAGE(IF($B$3:$B$16=$B21,IF($D$3:$D$16=O$19,IF($G$3:$G$16&lt;&gt;"",$G$3:$G$16)))),"")</f>
        <v>1993</v>
      </c>
      <c r="P21" s="147" t="str">
        <f t="array" ref="P21">IFERROR(AVERAGE(IF($B$3:$B$16=$B21,IF($D$3:$D$16=P$19,IF($G$3:$G$16&lt;&gt;"",$G$3:$G$16)))),"")</f>
        <v/>
      </c>
      <c r="Q21" s="147" t="str">
        <f t="array" ref="Q21">IFERROR(AVERAGE(IF($B$3:$B$16=$B21,IF($D$3:$D$16=Q$19,IF($G$3:$G$16&lt;&gt;"",$G$3:$G$16)))),"")</f>
        <v/>
      </c>
      <c r="R21" s="147" t="str">
        <f t="array" ref="R21">IFERROR(AVERAGE(IF($B$3:$B$16=$B21,IF($D$3:$D$16=R$19,IF($G$3:$G$16&lt;&gt;"",$G$3:$G$16)))),"")</f>
        <v/>
      </c>
      <c r="S21" s="147" t="str">
        <f t="array" ref="S21">IFERROR(AVERAGE(IF($B$3:$B$16=$B21,IF($D$3:$D$16=S$19,IF($G$3:$G$16&lt;&gt;"",$G$3:$G$16)))),"")</f>
        <v/>
      </c>
      <c r="T21" s="147" t="str">
        <f t="array" ref="T21">IFERROR(AVERAGE(IF($B$3:$B$16=$B21,IF($D$3:$D$16=T$19,IF($G$3:$G$16&lt;&gt;"",$G$3:$G$16)))),"")</f>
        <v/>
      </c>
    </row>
    <row r="22" spans="1:20" ht="15" customHeight="1" x14ac:dyDescent="0.25">
      <c r="A22" s="52">
        <f t="shared" ref="A22" si="2">IF(B22="",1,0)</f>
        <v>0</v>
      </c>
      <c r="B22" s="62" t="str">
        <f t="array" ref="B22">IFERROR(INDEX($B$3:$B$16, MATCH(0,IF(ISBLANK($B$3:$B$16),1,COUNTIF($B$20:B21, $B$3:$B$16)), 0)),"")</f>
        <v>Hyd</v>
      </c>
      <c r="C22" s="63"/>
      <c r="D22" s="63"/>
      <c r="E22" s="63"/>
      <c r="F22" s="63"/>
      <c r="G22" s="72"/>
      <c r="H22" s="147" t="str">
        <f t="array" ref="H22">IFERROR(AVERAGE(IF($B$3:$B$16=$B22,IF($D$3:$D$16=H$19,IF($G$3:$G$16&lt;&gt;"",$G$3:$G$16)))),"")</f>
        <v/>
      </c>
      <c r="I22" s="147">
        <f t="array" ref="I22">IFERROR(AVERAGE(IF($B$3:$B$16=$B22,IF($D$3:$D$16=I$19,IF($G$3:$G$16&lt;&gt;"",$G$3:$G$16)))),"")</f>
        <v>1232</v>
      </c>
      <c r="J22" s="147" t="str">
        <f t="array" ref="J22">IFERROR(AVERAGE(IF($B$3:$B$16=$B22,IF($D$3:$D$16=J$19,IF($G$3:$G$16&lt;&gt;"",$G$3:$G$16)))),"")</f>
        <v/>
      </c>
      <c r="K22" s="147" t="str">
        <f t="array" ref="K22">IFERROR(AVERAGE(IF($B$3:$B$16=$B22,IF($D$3:$D$16=K$19,IF($G$3:$G$16&lt;&gt;"",$G$3:$G$16)))),"")</f>
        <v/>
      </c>
      <c r="L22" s="147" t="str">
        <f t="array" ref="L22">IFERROR(AVERAGE(IF($B$3:$B$16=$B22,IF($D$3:$D$16=L$19,IF($G$3:$G$16&lt;&gt;"",$G$3:$G$16)))),"")</f>
        <v/>
      </c>
      <c r="M22" s="147">
        <f t="array" ref="M22">IFERROR(AVERAGE(IF($B$3:$B$16=$B22,IF($D$3:$D$16=M$19,IF($G$3:$G$16&lt;&gt;"",$G$3:$G$16)))),"")</f>
        <v>2566</v>
      </c>
      <c r="N22" s="147" t="str">
        <f t="array" ref="N22">IFERROR(AVERAGE(IF($B$3:$B$16=$B22,IF($D$3:$D$16=N$19,IF($G$3:$G$16&lt;&gt;"",$G$3:$G$16)))),"")</f>
        <v/>
      </c>
      <c r="O22" s="147" t="str">
        <f t="array" ref="O22">IFERROR(AVERAGE(IF($B$3:$B$16=$B22,IF($D$3:$D$16=O$19,IF($G$3:$G$16&lt;&gt;"",$G$3:$G$16)))),"")</f>
        <v/>
      </c>
      <c r="P22" s="147">
        <f t="array" ref="P22">IFERROR(AVERAGE(IF($B$3:$B$16=$B22,IF($D$3:$D$16=P$19,IF($G$3:$G$16&lt;&gt;"",$G$3:$G$16)))),"")</f>
        <v>1212</v>
      </c>
      <c r="Q22" s="147" t="str">
        <f t="array" ref="Q22">IFERROR(AVERAGE(IF($B$3:$B$16=$B22,IF($D$3:$D$16=Q$19,IF($G$3:$G$16&lt;&gt;"",$G$3:$G$16)))),"")</f>
        <v/>
      </c>
      <c r="R22" s="147" t="str">
        <f t="array" ref="R22">IFERROR(AVERAGE(IF($B$3:$B$16=$B22,IF($D$3:$D$16=R$19,IF($G$3:$G$16&lt;&gt;"",$G$3:$G$16)))),"")</f>
        <v/>
      </c>
      <c r="S22" s="147" t="str">
        <f t="array" ref="S22">IFERROR(AVERAGE(IF($B$3:$B$16=$B22,IF($D$3:$D$16=S$19,IF($G$3:$G$16&lt;&gt;"",$G$3:$G$16)))),"")</f>
        <v/>
      </c>
      <c r="T22" s="147">
        <f t="array" ref="T22">IFERROR(AVERAGE(IF($B$3:$B$16=$B22,IF($D$3:$D$16=T$19,IF($G$3:$G$16&lt;&gt;"",$G$3:$G$16)))),"")</f>
        <v>2654</v>
      </c>
    </row>
    <row r="23" spans="1:20" ht="15" customHeight="1" x14ac:dyDescent="0.25">
      <c r="A23" s="52">
        <f t="shared" ref="A23:A25" si="3">IF(B23="",1,0)</f>
        <v>0</v>
      </c>
      <c r="B23" s="62" t="str">
        <f t="array" ref="B23">IFERROR(INDEX($B$3:$B$16, MATCH(0,IF(ISBLANK($B$3:$B$16),1,COUNTIF($B$20:B22, $B$3:$B$16)), 0)),"")</f>
        <v>Delhi</v>
      </c>
      <c r="C23" s="63"/>
      <c r="D23" s="63"/>
      <c r="E23" s="63"/>
      <c r="F23" s="63"/>
      <c r="G23" s="72"/>
      <c r="H23" s="147" t="str">
        <f t="array" ref="H23">IFERROR(AVERAGE(IF($B$3:$B$16=$B23,IF($D$3:$D$16=H$19,IF($G$3:$G$16&lt;&gt;"",$G$3:$G$16)))),"")</f>
        <v/>
      </c>
      <c r="I23" s="147" t="str">
        <f t="array" ref="I23">IFERROR(AVERAGE(IF($B$3:$B$16=$B23,IF($D$3:$D$16=I$19,IF($G$3:$G$16&lt;&gt;"",$G$3:$G$16)))),"")</f>
        <v/>
      </c>
      <c r="J23" s="147">
        <f t="array" ref="J23">IFERROR(AVERAGE(IF($B$3:$B$16=$B23,IF($D$3:$D$16=J$19,IF($G$3:$G$16&lt;&gt;"",$G$3:$G$16)))),"")</f>
        <v>2677</v>
      </c>
      <c r="K23" s="147" t="str">
        <f t="array" ref="K23">IFERROR(AVERAGE(IF($B$3:$B$16=$B23,IF($D$3:$D$16=K$19,IF($G$3:$G$16&lt;&gt;"",$G$3:$G$16)))),"")</f>
        <v/>
      </c>
      <c r="L23" s="147" t="str">
        <f t="array" ref="L23">IFERROR(AVERAGE(IF($B$3:$B$16=$B23,IF($D$3:$D$16=L$19,IF($G$3:$G$16&lt;&gt;"",$G$3:$G$16)))),"")</f>
        <v/>
      </c>
      <c r="M23" s="147" t="str">
        <f t="array" ref="M23">IFERROR(AVERAGE(IF($B$3:$B$16=$B23,IF($D$3:$D$16=M$19,IF($G$3:$G$16&lt;&gt;"",$G$3:$G$16)))),"")</f>
        <v/>
      </c>
      <c r="N23" s="147">
        <f t="array" ref="N23">IFERROR(AVERAGE(IF($B$3:$B$16=$B23,IF($D$3:$D$16=N$19,IF($G$3:$G$16&lt;&gt;"",$G$3:$G$16)))),"")</f>
        <v>2323</v>
      </c>
      <c r="O23" s="147" t="str">
        <f t="array" ref="O23">IFERROR(AVERAGE(IF($B$3:$B$16=$B23,IF($D$3:$D$16=O$19,IF($G$3:$G$16&lt;&gt;"",$G$3:$G$16)))),"")</f>
        <v/>
      </c>
      <c r="P23" s="147" t="str">
        <f t="array" ref="P23">IFERROR(AVERAGE(IF($B$3:$B$16=$B23,IF($D$3:$D$16=P$19,IF($G$3:$G$16&lt;&gt;"",$G$3:$G$16)))),"")</f>
        <v/>
      </c>
      <c r="Q23" s="147">
        <f t="array" ref="Q23">IFERROR(AVERAGE(IF($B$3:$B$16=$B23,IF($D$3:$D$16=Q$19,IF($G$3:$G$16&lt;&gt;"",$G$3:$G$16)))),"")</f>
        <v>986</v>
      </c>
      <c r="R23" s="147" t="str">
        <f t="array" ref="R23">IFERROR(AVERAGE(IF($B$3:$B$16=$B23,IF($D$3:$D$16=R$19,IF($G$3:$G$16&lt;&gt;"",$G$3:$G$16)))),"")</f>
        <v/>
      </c>
      <c r="S23" s="147" t="str">
        <f t="array" ref="S23">IFERROR(AVERAGE(IF($B$3:$B$16=$B23,IF($D$3:$D$16=S$19,IF($G$3:$G$16&lt;&gt;"",$G$3:$G$16)))),"")</f>
        <v/>
      </c>
      <c r="T23" s="147" t="str">
        <f t="array" ref="T23">IFERROR(AVERAGE(IF($B$3:$B$16=$B23,IF($D$3:$D$16=T$19,IF($G$3:$G$16&lt;&gt;"",$G$3:$G$16)))),"")</f>
        <v/>
      </c>
    </row>
    <row r="24" spans="1:20" ht="15" customHeight="1" x14ac:dyDescent="0.25">
      <c r="A24" s="52">
        <f t="shared" si="3"/>
        <v>0</v>
      </c>
      <c r="B24" s="62" t="str">
        <f t="array" ref="B24">IFERROR(INDEX($B$3:$B$16, MATCH(0,IF(ISBLANK($B$3:$B$16),1,COUNTIF($B$20:B23, $B$3:$B$16)), 0)),"")</f>
        <v>Banglore</v>
      </c>
      <c r="C24" s="63"/>
      <c r="D24" s="63"/>
      <c r="E24" s="63"/>
      <c r="F24" s="63"/>
      <c r="G24" s="72"/>
      <c r="H24" s="147" t="str">
        <f t="array" ref="H24">IFERROR(AVERAGE(IF($B$3:$B$16=$B24,IF($D$3:$D$16=H$19,IF($G$3:$G$16&lt;&gt;"",$G$3:$G$16)))),"")</f>
        <v/>
      </c>
      <c r="I24" s="147" t="str">
        <f t="array" ref="I24">IFERROR(AVERAGE(IF($B$3:$B$16=$B24,IF($D$3:$D$16=I$19,IF($G$3:$G$16&lt;&gt;"",$G$3:$G$16)))),"")</f>
        <v/>
      </c>
      <c r="J24" s="147" t="str">
        <f t="array" ref="J24">IFERROR(AVERAGE(IF($B$3:$B$16=$B24,IF($D$3:$D$16=J$19,IF($G$3:$G$16&lt;&gt;"",$G$3:$G$16)))),"")</f>
        <v/>
      </c>
      <c r="K24" s="147">
        <f t="array" ref="K24">IFERROR(AVERAGE(IF($B$3:$B$16=$B24,IF($D$3:$D$16=K$19,IF($G$3:$G$16&lt;&gt;"",$G$3:$G$16)))),"")</f>
        <v>2756</v>
      </c>
      <c r="L24" s="147" t="str">
        <f t="array" ref="L24">IFERROR(AVERAGE(IF($B$3:$B$16=$B24,IF($D$3:$D$16=L$19,IF($G$3:$G$16&lt;&gt;"",$G$3:$G$16)))),"")</f>
        <v/>
      </c>
      <c r="M24" s="147" t="str">
        <f t="array" ref="M24">IFERROR(AVERAGE(IF($B$3:$B$16=$B24,IF($D$3:$D$16=M$19,IF($G$3:$G$16&lt;&gt;"",$G$3:$G$16)))),"")</f>
        <v/>
      </c>
      <c r="N24" s="147" t="str">
        <f t="array" ref="N24">IFERROR(AVERAGE(IF($B$3:$B$16=$B24,IF($D$3:$D$16=N$19,IF($G$3:$G$16&lt;&gt;"",$G$3:$G$16)))),"")</f>
        <v/>
      </c>
      <c r="O24" s="147" t="str">
        <f t="array" ref="O24">IFERROR(AVERAGE(IF($B$3:$B$16=$B24,IF($D$3:$D$16=O$19,IF($G$3:$G$16&lt;&gt;"",$G$3:$G$16)))),"")</f>
        <v/>
      </c>
      <c r="P24" s="147" t="str">
        <f t="array" ref="P24">IFERROR(AVERAGE(IF($B$3:$B$16=$B24,IF($D$3:$D$16=P$19,IF($G$3:$G$16&lt;&gt;"",$G$3:$G$16)))),"")</f>
        <v/>
      </c>
      <c r="Q24" s="147" t="str">
        <f t="array" ref="Q24">IFERROR(AVERAGE(IF($B$3:$B$16=$B24,IF($D$3:$D$16=Q$19,IF($G$3:$G$16&lt;&gt;"",$G$3:$G$16)))),"")</f>
        <v/>
      </c>
      <c r="R24" s="147">
        <f t="array" ref="R24">IFERROR(AVERAGE(IF($B$3:$B$16=$B24,IF($D$3:$D$16=R$19,IF($G$3:$G$16&lt;&gt;"",$G$3:$G$16)))),"")</f>
        <v>1098</v>
      </c>
      <c r="S24" s="147" t="str">
        <f t="array" ref="S24">IFERROR(AVERAGE(IF($B$3:$B$16=$B24,IF($D$3:$D$16=S$19,IF($G$3:$G$16&lt;&gt;"",$G$3:$G$16)))),"")</f>
        <v/>
      </c>
      <c r="T24" s="147" t="str">
        <f t="array" ref="T24">IFERROR(AVERAGE(IF($B$3:$B$16=$B24,IF($D$3:$D$16=T$19,IF($G$3:$G$16&lt;&gt;"",$G$3:$G$16)))),"")</f>
        <v/>
      </c>
    </row>
    <row r="25" spans="1:20" ht="15" customHeight="1" x14ac:dyDescent="0.25">
      <c r="A25" s="52">
        <f t="shared" si="3"/>
        <v>0</v>
      </c>
      <c r="B25" s="62" t="str">
        <f t="array" ref="B25">IFERROR(INDEX($B$3:$B$16, MATCH(0,IF(ISBLANK($B$3:$B$16),1,COUNTIF($B$20:B24, $B$3:$B$16)), 0)),"")</f>
        <v>Chennai</v>
      </c>
      <c r="C25" s="63"/>
      <c r="D25" s="63"/>
      <c r="E25" s="63"/>
      <c r="F25" s="63"/>
      <c r="G25" s="72"/>
      <c r="H25" s="147" t="str">
        <f t="array" ref="H25">IFERROR(AVERAGE(IF($B$3:$B$16=$B25,IF($D$3:$D$16=H$19,IF($G$3:$G$16&lt;&gt;"",$G$3:$G$16)))),"")</f>
        <v/>
      </c>
      <c r="I25" s="147" t="str">
        <f t="array" ref="I25">IFERROR(AVERAGE(IF($B$3:$B$16=$B25,IF($D$3:$D$16=I$19,IF($G$3:$G$16&lt;&gt;"",$G$3:$G$16)))),"")</f>
        <v/>
      </c>
      <c r="J25" s="147" t="str">
        <f t="array" ref="J25">IFERROR(AVERAGE(IF($B$3:$B$16=$B25,IF($D$3:$D$16=J$19,IF($G$3:$G$16&lt;&gt;"",$G$3:$G$16)))),"")</f>
        <v/>
      </c>
      <c r="K25" s="147" t="str">
        <f t="array" ref="K25">IFERROR(AVERAGE(IF($B$3:$B$16=$B25,IF($D$3:$D$16=K$19,IF($G$3:$G$16&lt;&gt;"",$G$3:$G$16)))),"")</f>
        <v/>
      </c>
      <c r="L25" s="147">
        <f t="array" ref="L25">IFERROR(AVERAGE(IF($B$3:$B$16=$B25,IF($D$3:$D$16=L$19,IF($G$3:$G$16&lt;&gt;"",$G$3:$G$16)))),"")</f>
        <v>2577</v>
      </c>
      <c r="M25" s="147" t="str">
        <f t="array" ref="M25">IFERROR(AVERAGE(IF($B$3:$B$16=$B25,IF($D$3:$D$16=M$19,IF($G$3:$G$16&lt;&gt;"",$G$3:$G$16)))),"")</f>
        <v/>
      </c>
      <c r="N25" s="147" t="str">
        <f t="array" ref="N25">IFERROR(AVERAGE(IF($B$3:$B$16=$B25,IF($D$3:$D$16=N$19,IF($G$3:$G$16&lt;&gt;"",$G$3:$G$16)))),"")</f>
        <v/>
      </c>
      <c r="O25" s="147" t="str">
        <f t="array" ref="O25">IFERROR(AVERAGE(IF($B$3:$B$16=$B25,IF($D$3:$D$16=O$19,IF($G$3:$G$16&lt;&gt;"",$G$3:$G$16)))),"")</f>
        <v/>
      </c>
      <c r="P25" s="147" t="str">
        <f t="array" ref="P25">IFERROR(AVERAGE(IF($B$3:$B$16=$B25,IF($D$3:$D$16=P$19,IF($G$3:$G$16&lt;&gt;"",$G$3:$G$16)))),"")</f>
        <v/>
      </c>
      <c r="Q25" s="147" t="str">
        <f t="array" ref="Q25">IFERROR(AVERAGE(IF($B$3:$B$16=$B25,IF($D$3:$D$16=Q$19,IF($G$3:$G$16&lt;&gt;"",$G$3:$G$16)))),"")</f>
        <v/>
      </c>
      <c r="R25" s="147" t="str">
        <f t="array" ref="R25">IFERROR(AVERAGE(IF($B$3:$B$16=$B25,IF($D$3:$D$16=R$19,IF($G$3:$G$16&lt;&gt;"",$G$3:$G$16)))),"")</f>
        <v/>
      </c>
      <c r="S25" s="147">
        <f t="array" ref="S25">IFERROR(AVERAGE(IF($B$3:$B$16=$B25,IF($D$3:$D$16=S$19,IF($G$3:$G$16&lt;&gt;"",$G$3:$G$16)))),"")</f>
        <v>1173</v>
      </c>
      <c r="T25" s="147" t="str">
        <f t="array" ref="T25">IFERROR(AVERAGE(IF($B$3:$B$16=$B25,IF($D$3:$D$16=T$19,IF($G$3:$G$16&lt;&gt;"",$G$3:$G$16)))),"")</f>
        <v/>
      </c>
    </row>
    <row r="26" spans="1:20" ht="9" customHeight="1" x14ac:dyDescent="0.25"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</row>
    <row r="27" spans="1:20" ht="9" customHeight="1" x14ac:dyDescent="0.25">
      <c r="A27" s="52" t="s">
        <v>551</v>
      </c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</row>
    <row r="28" spans="1:20" ht="15" hidden="1" customHeight="1" x14ac:dyDescent="0.25">
      <c r="H28" s="149">
        <f t="shared" ref="H28" si="4">H19</f>
        <v>43100</v>
      </c>
      <c r="I28" s="149">
        <f t="shared" ref="I28:T28" si="5">I19</f>
        <v>43131</v>
      </c>
      <c r="J28" s="149">
        <f t="shared" si="5"/>
        <v>43159</v>
      </c>
      <c r="K28" s="149">
        <f t="shared" si="5"/>
        <v>43190</v>
      </c>
      <c r="L28" s="149">
        <f t="shared" si="5"/>
        <v>43220</v>
      </c>
      <c r="M28" s="149">
        <f t="shared" si="5"/>
        <v>43251</v>
      </c>
      <c r="N28" s="149">
        <f t="shared" si="5"/>
        <v>43281</v>
      </c>
      <c r="O28" s="149">
        <f t="shared" si="5"/>
        <v>43312</v>
      </c>
      <c r="P28" s="149">
        <f t="shared" si="5"/>
        <v>43343</v>
      </c>
      <c r="Q28" s="149">
        <f t="shared" si="5"/>
        <v>43373</v>
      </c>
      <c r="R28" s="149">
        <f t="shared" si="5"/>
        <v>43404</v>
      </c>
      <c r="S28" s="149">
        <f t="shared" si="5"/>
        <v>43434</v>
      </c>
      <c r="T28" s="149">
        <f t="shared" si="5"/>
        <v>43465</v>
      </c>
    </row>
    <row r="29" spans="1:20" ht="20.25" customHeight="1" x14ac:dyDescent="0.25">
      <c r="B29" s="69" t="s">
        <v>601</v>
      </c>
      <c r="C29" s="70"/>
      <c r="D29" s="70"/>
      <c r="E29" s="70"/>
      <c r="F29" s="70"/>
      <c r="G29" s="71"/>
      <c r="H29" s="150">
        <f t="shared" ref="H29:T29" si="6">IFERROR(MAX(H21:H27),0)</f>
        <v>3221</v>
      </c>
      <c r="I29" s="150">
        <f t="shared" si="6"/>
        <v>1232</v>
      </c>
      <c r="J29" s="150">
        <f t="shared" si="6"/>
        <v>2677</v>
      </c>
      <c r="K29" s="150">
        <f t="shared" si="6"/>
        <v>2756</v>
      </c>
      <c r="L29" s="150">
        <f t="shared" si="6"/>
        <v>2577</v>
      </c>
      <c r="M29" s="150">
        <f t="shared" si="6"/>
        <v>2566</v>
      </c>
      <c r="N29" s="150">
        <f t="shared" si="6"/>
        <v>2323</v>
      </c>
      <c r="O29" s="150">
        <f t="shared" si="6"/>
        <v>1993</v>
      </c>
      <c r="P29" s="150">
        <f t="shared" si="6"/>
        <v>1212</v>
      </c>
      <c r="Q29" s="150">
        <f t="shared" si="6"/>
        <v>986</v>
      </c>
      <c r="R29" s="150">
        <f t="shared" si="6"/>
        <v>1098</v>
      </c>
      <c r="S29" s="150">
        <f t="shared" si="6"/>
        <v>1173</v>
      </c>
      <c r="T29" s="150">
        <f t="shared" si="6"/>
        <v>2654</v>
      </c>
    </row>
    <row r="30" spans="1:20" ht="24.75" customHeight="1" x14ac:dyDescent="0.25"/>
    <row r="31" spans="1:20" ht="28.5" hidden="1" customHeight="1" x14ac:dyDescent="0.25">
      <c r="A31" s="52">
        <v>10</v>
      </c>
      <c r="B31" s="64" t="s">
        <v>589</v>
      </c>
      <c r="C31" s="64" t="s">
        <v>590</v>
      </c>
      <c r="D31" s="64" t="s">
        <v>596</v>
      </c>
      <c r="E31" s="81"/>
      <c r="F31" s="81"/>
    </row>
    <row r="32" spans="1:20" ht="15" hidden="1" customHeight="1" x14ac:dyDescent="0.25">
      <c r="A32" s="51">
        <f>IFERROR(IF(D32="",1,0),1)</f>
        <v>0</v>
      </c>
      <c r="B32" s="66">
        <f>INDEX(DatesVOC,1,E32)</f>
        <v>43100</v>
      </c>
      <c r="C32" s="66">
        <f t="shared" ref="C32" si="7">B32</f>
        <v>43100</v>
      </c>
      <c r="D32" s="67">
        <f t="array" ref="D32">HLOOKUP(B32,ReadingTableVOC,2,FALSE)</f>
        <v>3221</v>
      </c>
      <c r="E32" s="82">
        <f>IF(E31="",8,E31+1)</f>
        <v>8</v>
      </c>
      <c r="F32" s="82"/>
    </row>
    <row r="33" spans="2:3" hidden="1" x14ac:dyDescent="0.25"/>
    <row r="34" spans="2:3" ht="24" hidden="1" x14ac:dyDescent="0.25">
      <c r="B34" s="65" t="s">
        <v>586</v>
      </c>
      <c r="C34" s="65" t="s">
        <v>592</v>
      </c>
    </row>
    <row r="35" spans="2:3" hidden="1" x14ac:dyDescent="0.25">
      <c r="B35" s="68">
        <f t="array" ref="B35">SUM(IF($D$3:$D$16&lt;&gt;"",1/COUNTIF($D$3:$D$16, $D$3:$D$16), 0))</f>
        <v>13</v>
      </c>
      <c r="C35" s="68">
        <f t="array" ref="C35">SUM(IF($B$3:$B$16&lt;&gt;"",1/COUNTIF($B$3:$B$16, $B$3:$B$16), 0))</f>
        <v>5</v>
      </c>
    </row>
    <row r="36" spans="2:3" hidden="1" x14ac:dyDescent="0.25"/>
  </sheetData>
  <sheetProtection algorithmName="SHA-512" hashValue="ISr0pcVmxwaAWpfePnNWVaEjJ85CDpPwFI22o8N8s3CWcrEe14y3/yvPWliAANjBENG/Z4397OXhJKExB9ygdg==" saltValue="i0qM5JOVqNyCPJC9RKADPA==" spinCount="100000" sheet="1" objects="1" scenarios="1"/>
  <autoFilter ref="B2:G4" xr:uid="{00000000-0009-0000-0000-000008000000}"/>
  <mergeCells count="1">
    <mergeCell ref="B18:B20"/>
  </mergeCells>
  <dataValidations count="3">
    <dataValidation type="date" allowBlank="1" showInputMessage="1" showErrorMessage="1" error="Please enter a valid date in mm/dd/yyyy format." sqref="D3:D15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15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15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26"/>
  <sheetViews>
    <sheetView tabSelected="1"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P22" sqref="P22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77" t="s">
        <v>570</v>
      </c>
      <c r="C2" s="285"/>
      <c r="D2" s="278"/>
      <c r="E2" s="43" t="s">
        <v>577</v>
      </c>
      <c r="F2" s="1"/>
    </row>
    <row r="3" spans="1:6" ht="15" customHeight="1" x14ac:dyDescent="0.25">
      <c r="A3" s="6" t="s">
        <v>603</v>
      </c>
      <c r="B3" s="275" t="s">
        <v>700</v>
      </c>
      <c r="C3" s="286"/>
      <c r="D3" s="276"/>
      <c r="E3" s="43" t="s">
        <v>561</v>
      </c>
      <c r="F3" s="1"/>
    </row>
    <row r="4" spans="1:6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22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43070</v>
      </c>
      <c r="C7" s="48">
        <v>43100</v>
      </c>
      <c r="D7" s="30">
        <v>1978</v>
      </c>
      <c r="E7" s="30">
        <v>978</v>
      </c>
      <c r="F7" s="1"/>
    </row>
    <row r="8" spans="1:6" x14ac:dyDescent="0.25">
      <c r="A8" s="6"/>
      <c r="B8" s="48">
        <v>43101</v>
      </c>
      <c r="C8" s="48">
        <v>43131</v>
      </c>
      <c r="D8" s="30">
        <v>2323</v>
      </c>
      <c r="E8" s="30">
        <v>1500.08</v>
      </c>
      <c r="F8" s="1"/>
    </row>
    <row r="9" spans="1:6" x14ac:dyDescent="0.25">
      <c r="A9" s="6"/>
      <c r="B9" s="48">
        <v>43132</v>
      </c>
      <c r="C9" s="48">
        <v>43159</v>
      </c>
      <c r="D9" s="30">
        <v>1900</v>
      </c>
      <c r="E9" s="30">
        <v>800</v>
      </c>
      <c r="F9" s="1"/>
    </row>
    <row r="10" spans="1:6" x14ac:dyDescent="0.25">
      <c r="A10" s="6"/>
      <c r="B10" s="48">
        <v>43160</v>
      </c>
      <c r="C10" s="48">
        <v>43190</v>
      </c>
      <c r="D10" s="30">
        <v>1050</v>
      </c>
      <c r="E10" s="30">
        <v>680</v>
      </c>
      <c r="F10" s="1"/>
    </row>
    <row r="11" spans="1:6" x14ac:dyDescent="0.25">
      <c r="A11" s="6"/>
      <c r="B11" s="48">
        <v>43191</v>
      </c>
      <c r="C11" s="48">
        <v>43220</v>
      </c>
      <c r="D11" s="30">
        <v>1777</v>
      </c>
      <c r="E11" s="30">
        <v>1123.22</v>
      </c>
      <c r="F11" s="1"/>
    </row>
    <row r="12" spans="1:6" x14ac:dyDescent="0.25">
      <c r="A12" s="6"/>
      <c r="B12" s="48">
        <v>43221</v>
      </c>
      <c r="C12" s="48">
        <v>43251</v>
      </c>
      <c r="D12" s="30">
        <v>1545</v>
      </c>
      <c r="E12" s="30">
        <v>700</v>
      </c>
      <c r="F12" s="1"/>
    </row>
    <row r="13" spans="1:6" x14ac:dyDescent="0.25">
      <c r="A13" s="6"/>
      <c r="B13" s="48">
        <v>43252</v>
      </c>
      <c r="C13" s="48">
        <v>43281</v>
      </c>
      <c r="D13" s="30">
        <v>2800</v>
      </c>
      <c r="E13" s="30">
        <v>2000</v>
      </c>
      <c r="F13" s="1"/>
    </row>
    <row r="14" spans="1:6" x14ac:dyDescent="0.25">
      <c r="A14" s="6"/>
      <c r="B14" s="48">
        <v>43282</v>
      </c>
      <c r="C14" s="48">
        <v>43312</v>
      </c>
      <c r="D14" s="30">
        <v>1987</v>
      </c>
      <c r="E14" s="30">
        <v>908</v>
      </c>
      <c r="F14" s="1"/>
    </row>
    <row r="15" spans="1:6" x14ac:dyDescent="0.25">
      <c r="A15" s="6"/>
      <c r="B15" s="48">
        <v>43313</v>
      </c>
      <c r="C15" s="48">
        <v>43343</v>
      </c>
      <c r="D15" s="30">
        <v>2655</v>
      </c>
      <c r="E15" s="30">
        <v>782.1</v>
      </c>
      <c r="F15" s="1"/>
    </row>
    <row r="16" spans="1:6" x14ac:dyDescent="0.25">
      <c r="A16" s="6"/>
      <c r="B16" s="48">
        <v>43344</v>
      </c>
      <c r="C16" s="48">
        <v>43373</v>
      </c>
      <c r="D16" s="30">
        <v>1782</v>
      </c>
      <c r="E16" s="30">
        <v>543</v>
      </c>
      <c r="F16" s="1"/>
    </row>
    <row r="17" spans="1:9" x14ac:dyDescent="0.25">
      <c r="A17" s="6"/>
      <c r="B17" s="48">
        <v>43374</v>
      </c>
      <c r="C17" s="48">
        <v>43404</v>
      </c>
      <c r="D17" s="30">
        <v>2200</v>
      </c>
      <c r="E17" s="30">
        <v>1109</v>
      </c>
      <c r="F17" s="1"/>
    </row>
    <row r="18" spans="1:9" x14ac:dyDescent="0.25">
      <c r="A18" s="6"/>
      <c r="B18" s="48">
        <v>43405</v>
      </c>
      <c r="C18" s="48">
        <v>43434</v>
      </c>
      <c r="D18" s="30">
        <v>1927</v>
      </c>
      <c r="E18" s="30">
        <v>999</v>
      </c>
      <c r="F18" s="1"/>
    </row>
    <row r="19" spans="1:9" x14ac:dyDescent="0.25">
      <c r="A19" s="6"/>
      <c r="B19" s="48">
        <v>43435</v>
      </c>
      <c r="C19" s="48">
        <v>43465</v>
      </c>
      <c r="D19" s="30">
        <v>2222</v>
      </c>
      <c r="E19" s="30">
        <v>1000</v>
      </c>
      <c r="F19" s="1"/>
    </row>
    <row r="20" spans="1:9" x14ac:dyDescent="0.25">
      <c r="A20" s="28"/>
      <c r="B20" s="33"/>
      <c r="C20" s="33"/>
      <c r="D20" s="36"/>
      <c r="E20" s="37"/>
      <c r="F20" s="1"/>
    </row>
    <row r="21" spans="1:9" hidden="1" x14ac:dyDescent="0.25">
      <c r="A21" s="7">
        <v>0</v>
      </c>
      <c r="B21" s="35"/>
      <c r="C21" s="35"/>
      <c r="D21" s="38"/>
      <c r="E21" s="39"/>
      <c r="F21" s="1"/>
    </row>
    <row r="22" spans="1:9" ht="25.5" customHeight="1" x14ac:dyDescent="0.25">
      <c r="A22" s="6" t="s">
        <v>551</v>
      </c>
      <c r="B22" s="34"/>
      <c r="C22" s="34"/>
      <c r="D22" s="34"/>
      <c r="E22" s="40"/>
      <c r="F22" s="1"/>
    </row>
    <row r="24" spans="1:9" x14ac:dyDescent="0.25">
      <c r="I24" s="3" t="s">
        <v>565</v>
      </c>
    </row>
    <row r="25" spans="1:9" x14ac:dyDescent="0.25">
      <c r="I25" s="3" t="s">
        <v>560</v>
      </c>
    </row>
    <row r="26" spans="1:9" x14ac:dyDescent="0.25">
      <c r="I26" s="3" t="s">
        <v>545</v>
      </c>
    </row>
  </sheetData>
  <sheetProtection algorithmName="SHA-512" hashValue="0A5Kk29jQ9lOvsHILod8HJ/waAvGdSEFRNDEwxM4827xC8wafpwZxCIBTG18TI7vaOc9kIt6tS0MC0vXvdDAsQ==" saltValue="BknrkNmwR8v04twlIHe1Y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54789</formula2>
    </dataValidation>
    <dataValidation type="decimal" allowBlank="1" showInputMessage="1" showErrorMessage="1" error="Please enter a valid reading." sqref="D7:E19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D7" activePane="bottomRight" state="frozen"/>
      <selection pane="topRight" activeCell="B1" sqref="B1"/>
      <selection pane="bottomLeft" activeCell="A8" sqref="A8"/>
      <selection pane="bottomRight" activeCell="D10" sqref="D10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26.28515625" style="3" hidden="1" customWidth="1"/>
    <col min="7" max="7" width="43.140625" style="3" hidden="1" customWidth="1"/>
    <col min="8" max="8" width="46.140625" style="3" hidden="1" customWidth="1"/>
    <col min="9" max="9" width="40.5703125" style="3" hidden="1" customWidth="1"/>
    <col min="10" max="10" width="31.28515625" style="3" hidden="1" customWidth="1"/>
    <col min="11" max="11" width="27.85546875" style="3" hidden="1" customWidth="1"/>
    <col min="12" max="12" width="26.140625" style="3" hidden="1" customWidth="1"/>
    <col min="13" max="13" width="31.140625" style="3" hidden="1" customWidth="1"/>
    <col min="14" max="14" width="29.85546875" style="3" hidden="1" customWidth="1"/>
    <col min="15" max="15" width="29" style="3" hidden="1" customWidth="1"/>
    <col min="16" max="16" width="32.28515625" style="3" hidden="1" customWidth="1"/>
    <col min="17" max="17" width="22.7109375" style="3" hidden="1" customWidth="1"/>
    <col min="18" max="18" width="17.5703125" style="3" hidden="1" customWidth="1"/>
    <col min="19" max="19" width="20.140625" style="3" hidden="1" customWidth="1"/>
    <col min="20" max="20" width="15" style="3" hidden="1" customWidth="1"/>
    <col min="21" max="22" width="20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Carbon Monoxide</v>
      </c>
      <c r="C1" s="1"/>
      <c r="D1" s="6" t="str">
        <f ca="1">B1</f>
        <v>Carbon Monoxide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709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36" t="s">
        <v>710</v>
      </c>
      <c r="E3" s="1"/>
    </row>
    <row r="4" spans="1:24" ht="15.75" hidden="1" customHeight="1" x14ac:dyDescent="0.25">
      <c r="A4" s="6"/>
      <c r="B4" s="249"/>
      <c r="C4" s="242"/>
      <c r="D4" s="23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(mg/m3)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  <c r="H7" s="3" t="s">
        <v>582</v>
      </c>
    </row>
    <row r="8" spans="1:24" x14ac:dyDescent="0.25">
      <c r="A8" s="6"/>
      <c r="B8" s="254"/>
      <c r="C8" s="254"/>
      <c r="D8" s="255"/>
      <c r="E8" s="1"/>
      <c r="H8" s="3" t="s">
        <v>710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Ozone</v>
      </c>
      <c r="C1" s="1"/>
      <c r="D1" s="6" t="str">
        <f ca="1">B1</f>
        <v>Ozone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711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57EE52C5-1A89-4AE2-9515-FC60C0042FB5}">
      <formula1>0</formula1>
      <formula2>9999999999</formula2>
    </dataValidation>
    <dataValidation type="date" allowBlank="1" showInputMessage="1" showErrorMessage="1" error="Please enter a valid date in mm/dd/yyyy format." sqref="B7:C7" xr:uid="{F64E0AEA-0171-47AB-9F96-6FB995825FE1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Atmospheric Particulate Matter</v>
      </c>
      <c r="C1" s="1"/>
      <c r="D1" s="6" t="str">
        <f ca="1">B1</f>
        <v>Atmospheric Particulate Matter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713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ADFEADBC-BB44-4C6A-859F-AA29835A33BC}">
      <formula1>0</formula1>
      <formula2>9999999999</formula2>
    </dataValidation>
    <dataValidation type="date" allowBlank="1" showInputMessage="1" showErrorMessage="1" error="Please enter a valid date in mm/dd/yyyy format." sqref="B7:C7" xr:uid="{9BFB7211-D274-4F24-B178-189C1BBCF53B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Acetaldehyde</v>
      </c>
      <c r="C1" s="1"/>
      <c r="D1" s="6" t="str">
        <f ca="1">B1</f>
        <v>Acetaldehyde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714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Benzene</v>
      </c>
      <c r="C1" s="1"/>
      <c r="D1" s="6" t="str">
        <f ca="1">B1</f>
        <v>Benzene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715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W16" sqref="W1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Styrene</v>
      </c>
      <c r="C1" s="1"/>
      <c r="D1" s="6" t="str">
        <f ca="1">B1</f>
        <v>Styrene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716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717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 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Toluene</v>
      </c>
      <c r="C1" s="1"/>
      <c r="D1" s="6" t="str">
        <f ca="1">B1</f>
        <v>Toluene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718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 xml:space="preserve">Naphthalene </v>
      </c>
      <c r="C1" s="1"/>
      <c r="D1" s="6" t="str">
        <f ca="1">B1</f>
        <v xml:space="preserve">Naphthalene 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719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717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
","(",D3,")")</f>
        <v>Period Reading
( 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5" sqref="C15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Dichlorobenzene</v>
      </c>
      <c r="C1" s="1"/>
      <c r="D1" s="6" t="str">
        <f ca="1">B1</f>
        <v>Dichlorobenzene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720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jqb2g4N/B7Aa+4Q6828tBoXWnaS+1FcHQ19T7Upn3UJ14wT9M0/bOVYYOKJm15cekRmaCc4pJPsUI4VN1gQLw==" saltValue="AfF4Yu0l9XtSMBmRdB35oQ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Xylenes-total</v>
      </c>
      <c r="C1" s="1"/>
      <c r="D1" s="6" t="str">
        <f ca="1">B1</f>
        <v>Xylenes-total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721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5" sqref="D15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19.5703125" style="3" hidden="1" customWidth="1"/>
    <col min="7" max="7" width="10.42578125" style="3" hidden="1" customWidth="1"/>
    <col min="8" max="8" width="4.42578125" style="3" hidden="1" customWidth="1"/>
    <col min="9" max="9" width="11" style="3" hidden="1" customWidth="1"/>
    <col min="10" max="10" width="13.42578125" style="3" hidden="1" customWidth="1"/>
    <col min="11" max="11" width="15.42578125" style="3" hidden="1" customWidth="1"/>
    <col min="12" max="12" width="12.7109375" style="3" hidden="1" customWidth="1"/>
    <col min="13" max="14" width="19.7109375" style="3" hidden="1" customWidth="1"/>
    <col min="15" max="15" width="18.7109375" style="3" hidden="1" customWidth="1"/>
    <col min="16" max="16" width="21.28515625" style="3" hidden="1" customWidth="1"/>
    <col min="17" max="17" width="17.7109375" style="3" hidden="1" customWidth="1"/>
    <col min="18" max="18" width="21.140625" style="3" hidden="1" customWidth="1"/>
    <col min="19" max="19" width="17" style="3" hidden="1" customWidth="1"/>
    <col min="20" max="20" width="20.42578125" style="3" hidden="1" customWidth="1"/>
    <col min="21" max="21" width="19.7109375" style="3" hidden="1" customWidth="1"/>
    <col min="22" max="22" width="34.42578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Formaldehyde</v>
      </c>
      <c r="C1" s="1"/>
      <c r="D1" s="6" t="str">
        <f ca="1">B1</f>
        <v>Formaldehyde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722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36" t="s">
        <v>723</v>
      </c>
      <c r="E3" s="1"/>
    </row>
    <row r="4" spans="1:24" ht="15.75" hidden="1" customHeight="1" x14ac:dyDescent="0.25">
      <c r="A4" s="6"/>
      <c r="B4" s="249"/>
      <c r="C4" s="242"/>
      <c r="D4" s="23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
","(",D3,")")</f>
        <v>Period Reading
(µg/m3 )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  <c r="H7" s="3" t="s">
        <v>712</v>
      </c>
    </row>
    <row r="8" spans="1:24" x14ac:dyDescent="0.25">
      <c r="A8" s="6"/>
      <c r="B8" s="254"/>
      <c r="C8" s="257"/>
      <c r="D8" s="255"/>
      <c r="E8" s="1"/>
      <c r="H8" s="3" t="s">
        <v>724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4843FBCE-C5EE-431A-96D6-5341396457CB}">
      <formula1>0</formula1>
      <formula2>9999999999</formula2>
    </dataValidation>
    <dataValidation type="date" allowBlank="1" showInputMessage="1" showErrorMessage="1" error="Please enter a valid date in mm/dd/yyyy format." sqref="B7:C7" xr:uid="{116CE79F-B16D-41BB-B07A-063EF88B3925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A9EEF-56F7-4308-B4A4-93879419BBE2}">
  <sheetPr codeName="Sheet12"/>
  <dimension ref="A1:K33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M7" sqref="M7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603</v>
      </c>
      <c r="B2" s="259" t="s">
        <v>570</v>
      </c>
      <c r="C2" s="241"/>
      <c r="D2" s="234" t="s">
        <v>733</v>
      </c>
      <c r="E2" s="1"/>
    </row>
    <row r="3" spans="1:5" x14ac:dyDescent="0.25">
      <c r="A3" s="6" t="s">
        <v>603</v>
      </c>
      <c r="B3" s="258" t="s">
        <v>700</v>
      </c>
      <c r="C3" s="242"/>
      <c r="D3" s="234" t="s">
        <v>694</v>
      </c>
      <c r="E3" s="1"/>
    </row>
    <row r="4" spans="1:5" x14ac:dyDescent="0.25">
      <c r="A4" s="6" t="s">
        <v>603</v>
      </c>
      <c r="B4" s="258" t="s">
        <v>571</v>
      </c>
      <c r="C4" s="242"/>
      <c r="D4" s="234" t="s">
        <v>531</v>
      </c>
      <c r="E4" s="1"/>
    </row>
    <row r="5" spans="1:5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5" ht="24" customHeight="1" x14ac:dyDescent="0.25">
      <c r="A6" s="6">
        <v>22</v>
      </c>
      <c r="B6" s="237" t="s">
        <v>549</v>
      </c>
      <c r="C6" s="237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43070</v>
      </c>
      <c r="C7" s="48">
        <v>43100</v>
      </c>
      <c r="D7" s="30">
        <v>2222</v>
      </c>
      <c r="E7" s="1"/>
    </row>
    <row r="8" spans="1:5" x14ac:dyDescent="0.25">
      <c r="A8" s="7"/>
      <c r="B8" s="48">
        <v>43101</v>
      </c>
      <c r="C8" s="48">
        <v>43131</v>
      </c>
      <c r="D8" s="30">
        <v>2323</v>
      </c>
      <c r="E8" s="1"/>
    </row>
    <row r="9" spans="1:5" x14ac:dyDescent="0.25">
      <c r="A9" s="7"/>
      <c r="B9" s="48">
        <v>43132</v>
      </c>
      <c r="C9" s="48">
        <v>43159</v>
      </c>
      <c r="D9" s="30">
        <v>900</v>
      </c>
      <c r="E9" s="1"/>
    </row>
    <row r="10" spans="1:5" x14ac:dyDescent="0.25">
      <c r="A10" s="7"/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7"/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7"/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7"/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7"/>
      <c r="B14" s="48">
        <v>43282</v>
      </c>
      <c r="C14" s="48">
        <v>43312</v>
      </c>
      <c r="D14" s="30">
        <v>987</v>
      </c>
      <c r="E14" s="1"/>
    </row>
    <row r="15" spans="1:5" x14ac:dyDescent="0.25">
      <c r="A15" s="7"/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7"/>
      <c r="B16" s="48">
        <v>43344</v>
      </c>
      <c r="C16" s="48">
        <v>43373</v>
      </c>
      <c r="D16" s="30">
        <v>6782</v>
      </c>
      <c r="E16" s="1"/>
    </row>
    <row r="17" spans="1:10" x14ac:dyDescent="0.25">
      <c r="A17" s="7"/>
      <c r="B17" s="48">
        <v>43374</v>
      </c>
      <c r="C17" s="48">
        <v>43404</v>
      </c>
      <c r="D17" s="30">
        <v>400</v>
      </c>
      <c r="E17" s="1"/>
    </row>
    <row r="18" spans="1:10" x14ac:dyDescent="0.25">
      <c r="A18" s="7"/>
      <c r="B18" s="48">
        <v>43405</v>
      </c>
      <c r="C18" s="48">
        <v>43434</v>
      </c>
      <c r="D18" s="30">
        <v>500</v>
      </c>
      <c r="E18" s="1"/>
    </row>
    <row r="19" spans="1:10" x14ac:dyDescent="0.25">
      <c r="A19" s="7"/>
      <c r="B19" s="48">
        <v>43435</v>
      </c>
      <c r="C19" s="48">
        <v>43465</v>
      </c>
      <c r="D19" s="30">
        <v>770</v>
      </c>
      <c r="E19" s="1"/>
    </row>
    <row r="20" spans="1:10" ht="12.75" customHeight="1" x14ac:dyDescent="0.25">
      <c r="A20" s="28"/>
      <c r="B20" s="33"/>
      <c r="C20" s="33"/>
      <c r="D20" s="36"/>
      <c r="E20" s="1"/>
      <c r="J20" s="3" t="s">
        <v>554</v>
      </c>
    </row>
    <row r="21" spans="1:10" ht="13.5" hidden="1" customHeight="1" x14ac:dyDescent="0.25">
      <c r="A21" s="6"/>
      <c r="B21" s="34"/>
      <c r="C21" s="34"/>
      <c r="D21" s="34"/>
      <c r="E21" s="1"/>
      <c r="J21" s="5" t="s">
        <v>694</v>
      </c>
    </row>
    <row r="22" spans="1:10" ht="25.5" customHeight="1" x14ac:dyDescent="0.25">
      <c r="A22" s="6" t="s">
        <v>551</v>
      </c>
      <c r="B22" s="34"/>
      <c r="C22" s="34"/>
      <c r="D22" s="34"/>
      <c r="E22" s="1"/>
      <c r="J22" s="3" t="s">
        <v>702</v>
      </c>
    </row>
    <row r="27" spans="1:10" x14ac:dyDescent="0.25">
      <c r="G27" s="3" t="s">
        <v>535</v>
      </c>
    </row>
    <row r="28" spans="1:10" x14ac:dyDescent="0.25">
      <c r="G28" s="3" t="s">
        <v>542</v>
      </c>
    </row>
    <row r="29" spans="1:10" x14ac:dyDescent="0.25">
      <c r="G29" s="3" t="s">
        <v>557</v>
      </c>
    </row>
    <row r="30" spans="1:10" x14ac:dyDescent="0.25">
      <c r="G30" s="3" t="s">
        <v>531</v>
      </c>
    </row>
    <row r="31" spans="1:10" x14ac:dyDescent="0.25">
      <c r="G31" s="3" t="s">
        <v>555</v>
      </c>
    </row>
    <row r="33" spans="7:7" x14ac:dyDescent="0.25">
      <c r="G33" s="3" t="s">
        <v>554</v>
      </c>
    </row>
  </sheetData>
  <sheetProtection algorithmName="SHA-512" hashValue="LzeymX5RmxExIdkN6HBldamHeQFFFohj4d2DmK44IQ5qSSBFihyqTXIe9ck5ulpobxFfySQXEhQBq8mlIXpvyg==" saltValue="Q7nABJIyLex9EsYPoytVUQ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0E546C1C-A9FB-4B99-8662-92E8B0E30D67}">
      <formula1>0</formula1>
      <formula2>40</formula2>
    </dataValidation>
    <dataValidation type="decimal" allowBlank="1" showInputMessage="1" showErrorMessage="1" error="Please enter a valid reading." sqref="D7:D19" xr:uid="{6830D6D2-30CE-402F-88C0-84207A5608DD}">
      <formula1>0</formula1>
      <formula2>9999999999</formula2>
    </dataValidation>
    <dataValidation type="date" allowBlank="1" showInputMessage="1" showErrorMessage="1" error="Please enter a valid date in mm/dd/yyyy format." sqref="B7:C19" xr:uid="{F83A18CC-6415-40E5-B65A-7C32C68680A4}">
      <formula1>1</formula1>
      <formula2>73415</formula2>
    </dataValidation>
    <dataValidation allowBlank="1" showInputMessage="1" showErrorMessage="1" error="Please enter a valid date in mm/dd/yyyy format." sqref="B20:D22" xr:uid="{314B5024-8E36-4EE8-9DA8-45F04A32A393}"/>
    <dataValidation type="list" allowBlank="1" showInputMessage="1" showErrorMessage="1" sqref="D3" xr:uid="{00B681AF-67C2-4E09-8C55-AD55175657AD}">
      <formula1>ElectricityDrp</formula1>
    </dataValidation>
    <dataValidation type="list" allowBlank="1" showInputMessage="1" showErrorMessage="1" error="Units cannot edit." sqref="D4" xr:uid="{F6C84130-D728-4EF2-8C31-EC5286BE6F4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8E8E-F101-46A0-9DC9-79A6A1D9BE6A}">
  <sheetPr codeName="Sheet24"/>
  <dimension ref="A1:I51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22" sqref="D22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603</v>
      </c>
      <c r="B1" s="6" t="str">
        <f ca="1">MID(CELL("filename",A1),FIND("]",CELL("filename",A1))+1,256)</f>
        <v>Water meter via upload</v>
      </c>
      <c r="C1" s="1"/>
      <c r="D1" s="243" t="str">
        <f ca="1">B1</f>
        <v>Water meter via upload</v>
      </c>
      <c r="E1" s="1"/>
    </row>
    <row r="2" spans="1:5" x14ac:dyDescent="0.25">
      <c r="A2" s="6" t="s">
        <v>603</v>
      </c>
      <c r="B2" s="259" t="s">
        <v>570</v>
      </c>
      <c r="C2" s="241"/>
      <c r="D2" s="234" t="s">
        <v>734</v>
      </c>
      <c r="E2" s="1"/>
    </row>
    <row r="3" spans="1:5" x14ac:dyDescent="0.25">
      <c r="A3" s="6" t="s">
        <v>603</v>
      </c>
      <c r="B3" s="258" t="s">
        <v>700</v>
      </c>
      <c r="C3" s="242"/>
      <c r="D3" s="234" t="s">
        <v>695</v>
      </c>
      <c r="E3" s="1"/>
    </row>
    <row r="4" spans="1:5" x14ac:dyDescent="0.25">
      <c r="A4" s="6" t="s">
        <v>603</v>
      </c>
      <c r="B4" s="258" t="s">
        <v>571</v>
      </c>
      <c r="C4" s="242"/>
      <c r="D4" s="234" t="s">
        <v>530</v>
      </c>
      <c r="E4" s="1"/>
    </row>
    <row r="5" spans="1:5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5" ht="24.75" customHeight="1" x14ac:dyDescent="0.25">
      <c r="A6" s="6">
        <v>22</v>
      </c>
      <c r="B6" s="237" t="s">
        <v>549</v>
      </c>
      <c r="C6" s="237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43070</v>
      </c>
      <c r="C7" s="48">
        <v>43100</v>
      </c>
      <c r="D7" s="30">
        <v>2222</v>
      </c>
      <c r="E7" s="1"/>
    </row>
    <row r="8" spans="1:5" x14ac:dyDescent="0.25">
      <c r="A8" s="6"/>
      <c r="B8" s="48">
        <v>43101</v>
      </c>
      <c r="C8" s="48">
        <v>43131</v>
      </c>
      <c r="D8" s="30">
        <v>2323</v>
      </c>
      <c r="E8" s="1"/>
    </row>
    <row r="9" spans="1:5" x14ac:dyDescent="0.25">
      <c r="A9" s="6"/>
      <c r="B9" s="48">
        <v>43132</v>
      </c>
      <c r="C9" s="48">
        <v>43159</v>
      </c>
      <c r="D9" s="30">
        <v>900</v>
      </c>
      <c r="E9" s="1"/>
    </row>
    <row r="10" spans="1:5" x14ac:dyDescent="0.25">
      <c r="A10" s="6"/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6"/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6"/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6"/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6"/>
      <c r="B14" s="48">
        <v>43282</v>
      </c>
      <c r="C14" s="48">
        <v>43312</v>
      </c>
      <c r="D14" s="30">
        <v>987</v>
      </c>
      <c r="E14" s="1"/>
    </row>
    <row r="15" spans="1:5" x14ac:dyDescent="0.25">
      <c r="A15" s="6"/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6"/>
      <c r="B16" s="48">
        <v>43344</v>
      </c>
      <c r="C16" s="48">
        <v>43373</v>
      </c>
      <c r="D16" s="30">
        <v>6782</v>
      </c>
      <c r="E16" s="1"/>
    </row>
    <row r="17" spans="1:9" x14ac:dyDescent="0.25">
      <c r="A17" s="6"/>
      <c r="B17" s="48">
        <v>43374</v>
      </c>
      <c r="C17" s="48">
        <v>43404</v>
      </c>
      <c r="D17" s="30">
        <v>430</v>
      </c>
      <c r="E17" s="1"/>
    </row>
    <row r="18" spans="1:9" x14ac:dyDescent="0.25">
      <c r="A18" s="6"/>
      <c r="B18" s="48">
        <v>43405</v>
      </c>
      <c r="C18" s="48">
        <v>43434</v>
      </c>
      <c r="D18" s="30">
        <v>447</v>
      </c>
      <c r="E18" s="1"/>
    </row>
    <row r="19" spans="1:9" x14ac:dyDescent="0.25">
      <c r="A19" s="6"/>
      <c r="B19" s="48">
        <v>43435</v>
      </c>
      <c r="C19" s="48">
        <v>43465</v>
      </c>
      <c r="D19" s="30">
        <v>890</v>
      </c>
      <c r="E19" s="1"/>
    </row>
    <row r="20" spans="1:9" x14ac:dyDescent="0.25">
      <c r="A20" s="28"/>
      <c r="B20" s="33"/>
      <c r="C20" s="33"/>
      <c r="D20" s="36"/>
      <c r="E20" s="21"/>
    </row>
    <row r="21" spans="1:9" ht="6" customHeight="1" x14ac:dyDescent="0.25">
      <c r="A21" s="28"/>
      <c r="B21" s="33"/>
      <c r="C21" s="33"/>
      <c r="D21" s="36"/>
      <c r="E21" s="21"/>
      <c r="I21" s="5" t="s">
        <v>695</v>
      </c>
    </row>
    <row r="22" spans="1:9" ht="25.5" customHeight="1" x14ac:dyDescent="0.25">
      <c r="A22" s="6" t="s">
        <v>551</v>
      </c>
      <c r="B22" s="34"/>
      <c r="C22" s="34"/>
      <c r="D22" s="34"/>
      <c r="E22" s="1"/>
      <c r="I22" s="5" t="s">
        <v>696</v>
      </c>
    </row>
    <row r="23" spans="1:9" x14ac:dyDescent="0.25">
      <c r="I23" s="5" t="s">
        <v>697</v>
      </c>
    </row>
    <row r="27" spans="1:9" x14ac:dyDescent="0.25">
      <c r="H27" s="5" t="s">
        <v>530</v>
      </c>
    </row>
    <row r="28" spans="1:9" x14ac:dyDescent="0.25">
      <c r="H28" s="5" t="s">
        <v>533</v>
      </c>
    </row>
    <row r="29" spans="1:9" x14ac:dyDescent="0.25">
      <c r="H29" s="5" t="s">
        <v>552</v>
      </c>
    </row>
    <row r="30" spans="1:9" x14ac:dyDescent="0.25">
      <c r="H30" s="5" t="s">
        <v>553</v>
      </c>
    </row>
    <row r="31" spans="1:9" x14ac:dyDescent="0.25">
      <c r="H31" s="5" t="s">
        <v>527</v>
      </c>
    </row>
    <row r="32" spans="1:9" x14ac:dyDescent="0.25">
      <c r="H32" s="5" t="s">
        <v>532</v>
      </c>
    </row>
    <row r="33" spans="8:8" x14ac:dyDescent="0.25">
      <c r="H33" s="5" t="s">
        <v>547</v>
      </c>
    </row>
    <row r="34" spans="8:8" x14ac:dyDescent="0.25">
      <c r="H34" s="5" t="s">
        <v>566</v>
      </c>
    </row>
    <row r="35" spans="8:8" x14ac:dyDescent="0.25">
      <c r="H35" s="5" t="s">
        <v>529</v>
      </c>
    </row>
    <row r="36" spans="8:8" x14ac:dyDescent="0.25">
      <c r="H36" s="3" t="s">
        <v>548</v>
      </c>
    </row>
    <row r="37" spans="8:8" x14ac:dyDescent="0.25">
      <c r="H37" s="3" t="s">
        <v>567</v>
      </c>
    </row>
    <row r="38" spans="8:8" x14ac:dyDescent="0.25">
      <c r="H38" s="3" t="s">
        <v>568</v>
      </c>
    </row>
    <row r="39" spans="8:8" x14ac:dyDescent="0.25">
      <c r="H39" s="5" t="s">
        <v>698</v>
      </c>
    </row>
    <row r="40" spans="8:8" x14ac:dyDescent="0.25">
      <c r="H40" s="5" t="s">
        <v>699</v>
      </c>
    </row>
    <row r="41" spans="8:8" x14ac:dyDescent="0.25">
      <c r="H41" s="5" t="s">
        <v>693</v>
      </c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</sheetData>
  <sheetProtection algorithmName="SHA-512" hashValue="4TL6clEzZzYEXcRCP+jyrDPLMHbCZBDviQQm/oq7+tRHc6t6k/ve4e+jesAKXJ30glrJ3vO6QuzAfyWlXt8WHQ==" saltValue="7JW5da8eq03sW74sXi+1YA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A7A4C544-1939-4B02-8A20-27F85DDB9DC2}">
      <formula1>0</formula1>
      <formula2>40</formula2>
    </dataValidation>
    <dataValidation type="decimal" allowBlank="1" showInputMessage="1" showErrorMessage="1" error="Please enter a valid reading." sqref="D7:D19" xr:uid="{F5BA48AC-9198-4DB1-8432-511117EAF271}">
      <formula1>0</formula1>
      <formula2>9999999999</formula2>
    </dataValidation>
    <dataValidation type="date" allowBlank="1" showInputMessage="1" showErrorMessage="1" error="Please enter a valid date in mm/dd/yyyy format." sqref="B7:C19" xr:uid="{A77B7C4C-654E-4AFF-B896-4E0BF507E691}">
      <formula1>1</formula1>
      <formula2>73415</formula2>
    </dataValidation>
    <dataValidation allowBlank="1" showInputMessage="1" showErrorMessage="1" error="Please enter a valid date in mm/dd/yyyy format." sqref="B20:D22" xr:uid="{C9AA8B51-38D8-465D-9099-7FA758AEF3E0}"/>
    <dataValidation type="list" allowBlank="1" showInputMessage="1" showErrorMessage="1" sqref="D3" xr:uid="{E09BC038-F344-460D-B094-3781C8084040}">
      <formula1>WaterDrp</formula1>
    </dataValidation>
    <dataValidation type="list" allowBlank="1" showInputMessage="1" showErrorMessage="1" error="Units cannot edit." sqref="D4" xr:uid="{BB827CC9-F43D-4879-9749-4D900A76D6C9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2019-04-15T06:36:15Z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