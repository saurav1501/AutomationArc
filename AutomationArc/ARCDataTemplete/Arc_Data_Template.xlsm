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73588A69-B58E-4CD7-B097-F559775BD4A2}" xr6:coauthVersionLast="36" xr6:coauthVersionMax="36" xr10:uidLastSave="{00000000-0000-0000-0000-000000000000}"/>
  <workbookProtection workbookAlgorithmName="SHA-512" workbookHashValue="sgH629L5HfPmk1eAj1dnG1vySkLP2Lc97O9VugvQbqnIT3NbDjnhfWqKXXH3S9g8+dwiRUBuCjXDSuGCDgkyNA==" workbookSaltValue="VZmlWO42E3EueBhJeNpCaQ==" workbookSpinCount="100000" lockStructure="1"/>
  <bookViews>
    <workbookView xWindow="0" yWindow="0" windowWidth="19365" windowHeight="6555" firstSheet="11" activeTab="11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Energy Meter via upload" sheetId="17" r:id="rId11"/>
    <sheet name="Water meter via upload" sheetId="18" r:id="rId12"/>
    <sheet name="base_summary" sheetId="3" state="hidden" r:id="rId13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>'CO2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0">'Energy Meter via upload'!$G$39:$G$43</definedName>
    <definedName name="elecName">base_e!$G$15:$G$19</definedName>
    <definedName name="ElectricityDrp" localSheetId="10">'Energy Meter via upload'!$J$33:$J$34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0">base_f!#REF!</definedName>
    <definedName name="fuelname" localSheetId="11">base_f!#REF!</definedName>
    <definedName name="fuelname">base_f!#REF!</definedName>
    <definedName name="kerosene">base_f!$K$16:$K$23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>base_f!$G$19:$G$36</definedName>
    <definedName name="myitem" localSheetId="10">OFFSET(myItemList,0,0,1,COUNTA(myItemList))</definedName>
    <definedName name="myitem" localSheetId="11">OFFSET(myItemList,0,0,1,COUNTA(myItemList))</definedName>
    <definedName name="myitem">OFFSET(myItemList,0,0,1,COUNTA(myItemList))</definedName>
    <definedName name="myItemListH">INDEX(myTableH,MATCH(base_f!A1048576,myCategoryH,0),0)</definedName>
    <definedName name="myTableH">base_f!$H$19:$V$36</definedName>
    <definedName name="newMet">Setup!$Q$26:$Q$28</definedName>
    <definedName name="newWaUnit">'Waste Stream'!$I$36:$I$38</definedName>
    <definedName name="Other_Fuels_Drp">base_f!$V$10</definedName>
    <definedName name="Period__Start_Date" localSheetId="11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>'CO2 Readings'!$45:$46</definedName>
    <definedName name="ReadingTableVOC">'TVOC Readings'!$45:$46</definedName>
    <definedName name="Sheets">TRANSPOSE(GET.WORKBOOK(1))&amp;T(NOW())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11">'Water meter via upload'!$H$51:$I$63</definedName>
    <definedName name="water_meter_type">base_w!$H$27:$I$39</definedName>
    <definedName name="water_type" localSheetId="11">'Water meter via upload'!$H$51:$I$63</definedName>
    <definedName name="water_type">base_w!$H$27:$I$39</definedName>
    <definedName name="water_units" localSheetId="11">'Water meter via upload'!$H$39:$H$47</definedName>
    <definedName name="water_units">base_w!$H$15:$H$23</definedName>
    <definedName name="WaterDrp" localSheetId="11">'Water meter via upload'!$I$33:$I$35</definedName>
    <definedName name="WaterDrp">base_w!$I$9:$I$11</definedName>
    <definedName name="waterType" localSheetId="11">'Water meter via upload'!$H$51:$H$63</definedName>
    <definedName name="waterType">base_w!$H$27:$H$39</definedName>
    <definedName name="waterUnits" localSheetId="11">'Water meter via upload'!$J$34:$J$38</definedName>
    <definedName name="waterUnits">base_w!$J$10:$J$14</definedName>
    <definedName name="watUn" localSheetId="11">'Water meter via upload'!$H$39:$H$47</definedName>
    <definedName name="watUn">base_w!$H$15:$H$23</definedName>
    <definedName name="watUni" localSheetId="11">'Water meter via upload'!$H$39:$H$53</definedName>
    <definedName name="watUni">base_w!$H$15:$H$29</definedName>
    <definedName name="waUn">'Waste Stream'!$I$36:$I$42</definedName>
    <definedName name="waunit">'Waste Stream'!$J$33:$J$35</definedName>
    <definedName name="Wood">base_f!$H$16:$H$27</definedName>
    <definedName name="woods">base_f!$H$16:$H$22</definedName>
    <definedName name="woodunit">base_f!$H$16:$H$22</definedName>
    <definedName name="zep" localSheetId="11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D7" i="13" s="1" a="1"/>
  <c r="D7" i="13" s="1"/>
  <c r="A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E7" i="12"/>
  <c r="B7" i="12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C8" i="13" l="1"/>
  <c r="D8" i="13" a="1"/>
  <c r="D8" i="13" s="1"/>
  <c r="A8" i="13" s="1"/>
  <c r="E9" i="13"/>
  <c r="C7" i="13"/>
  <c r="AF29" i="15"/>
  <c r="AF45" i="15"/>
  <c r="AF41" i="15" a="1"/>
  <c r="AF41" i="15" s="1"/>
  <c r="AF39" i="15" a="1"/>
  <c r="AF39" i="15" s="1"/>
  <c r="AF37" i="15" a="1"/>
  <c r="AF37" i="15" s="1"/>
  <c r="AF35" i="15" a="1"/>
  <c r="AF35" i="15" s="1"/>
  <c r="AF33" i="15" a="1"/>
  <c r="AF33" i="15" s="1"/>
  <c r="AF42" i="15" a="1"/>
  <c r="AF42" i="15" s="1"/>
  <c r="AF40" i="15" a="1"/>
  <c r="AF40" i="15" s="1"/>
  <c r="AF38" i="15" a="1"/>
  <c r="AF38" i="15" s="1"/>
  <c r="AF36" i="15" a="1"/>
  <c r="AF36" i="15" s="1"/>
  <c r="AF34" i="15" a="1"/>
  <c r="AF34" i="15" s="1"/>
  <c r="AE29" i="15"/>
  <c r="AE39" i="15" a="1"/>
  <c r="AE39" i="15" s="1"/>
  <c r="AE35" i="15" a="1"/>
  <c r="AE35" i="15" s="1"/>
  <c r="AE45" i="15"/>
  <c r="AE41" i="15" a="1"/>
  <c r="AE41" i="15" s="1"/>
  <c r="AE37" i="15" a="1"/>
  <c r="AE37" i="15" s="1"/>
  <c r="AE33" i="15" a="1"/>
  <c r="AE33" i="15" s="1"/>
  <c r="AE38" i="15" a="1"/>
  <c r="AE38" i="15" s="1"/>
  <c r="AE34" i="15" a="1"/>
  <c r="AE34" i="15" s="1"/>
  <c r="AE42" i="15" a="1"/>
  <c r="AE42" i="15" s="1"/>
  <c r="AE40" i="15" a="1"/>
  <c r="AE40" i="15" s="1"/>
  <c r="AE36" i="15" a="1"/>
  <c r="AE36" i="15" s="1"/>
  <c r="AD29" i="15"/>
  <c r="AD39" i="15" a="1"/>
  <c r="AD39" i="15" s="1"/>
  <c r="AD33" i="15" a="1"/>
  <c r="AD33" i="15" s="1"/>
  <c r="AD45" i="15"/>
  <c r="AD41" i="15" a="1"/>
  <c r="AD41" i="15" s="1"/>
  <c r="AD37" i="15" a="1"/>
  <c r="AD37" i="15" s="1"/>
  <c r="AD35" i="15" a="1"/>
  <c r="AD35" i="15" s="1"/>
  <c r="AD40" i="15" a="1"/>
  <c r="AD40" i="15" s="1"/>
  <c r="AD34" i="15" a="1"/>
  <c r="AD34" i="15" s="1"/>
  <c r="AD42" i="15" a="1"/>
  <c r="AD42" i="15" s="1"/>
  <c r="AD38" i="15" a="1"/>
  <c r="AD38" i="15" s="1"/>
  <c r="AD36" i="15" a="1"/>
  <c r="AD36" i="15" s="1"/>
  <c r="AC29" i="15"/>
  <c r="AC39" i="15" a="1"/>
  <c r="AC39" i="15" s="1"/>
  <c r="AC35" i="15" a="1"/>
  <c r="AC35" i="15" s="1"/>
  <c r="AC45" i="15"/>
  <c r="AC41" i="15" a="1"/>
  <c r="AC41" i="15" s="1"/>
  <c r="AC37" i="15" a="1"/>
  <c r="AC37" i="15" s="1"/>
  <c r="AC33" i="15" a="1"/>
  <c r="AC33" i="15" s="1"/>
  <c r="AC40" i="15" a="1"/>
  <c r="AC40" i="15" s="1"/>
  <c r="AC36" i="15" a="1"/>
  <c r="AC36" i="15" s="1"/>
  <c r="AC42" i="15" a="1"/>
  <c r="AC42" i="15" s="1"/>
  <c r="AC38" i="15" a="1"/>
  <c r="AC38" i="15" s="1"/>
  <c r="AC34" i="15" a="1"/>
  <c r="AC34" i="15" s="1"/>
  <c r="AB29" i="15"/>
  <c r="AB39" i="15" a="1"/>
  <c r="AB39" i="15" s="1"/>
  <c r="AB35" i="15" a="1"/>
  <c r="AB35" i="15" s="1"/>
  <c r="AB45" i="15"/>
  <c r="AB41" i="15" a="1"/>
  <c r="AB41" i="15" s="1"/>
  <c r="AB37" i="15" a="1"/>
  <c r="AB37" i="15" s="1"/>
  <c r="AB33" i="15" a="1"/>
  <c r="AB33" i="15" s="1"/>
  <c r="AB40" i="15" a="1"/>
  <c r="AB40" i="15" s="1"/>
  <c r="AB36" i="15" a="1"/>
  <c r="AB36" i="15" s="1"/>
  <c r="AB42" i="15" a="1"/>
  <c r="AB42" i="15" s="1"/>
  <c r="AB38" i="15" a="1"/>
  <c r="AB38" i="15" s="1"/>
  <c r="AB34" i="15" a="1"/>
  <c r="AB34" i="15" s="1"/>
  <c r="AA29" i="15"/>
  <c r="AA39" i="15" a="1"/>
  <c r="AA39" i="15" s="1"/>
  <c r="AA35" i="15" a="1"/>
  <c r="AA35" i="15" s="1"/>
  <c r="AA45" i="15"/>
  <c r="AA41" i="15" a="1"/>
  <c r="AA41" i="15" s="1"/>
  <c r="AA37" i="15" a="1"/>
  <c r="AA37" i="15" s="1"/>
  <c r="AA33" i="15" a="1"/>
  <c r="AA33" i="15" s="1"/>
  <c r="AA40" i="15" a="1"/>
  <c r="AA40" i="15" s="1"/>
  <c r="AA36" i="15" a="1"/>
  <c r="AA36" i="15" s="1"/>
  <c r="AA42" i="15" a="1"/>
  <c r="AA42" i="15" s="1"/>
  <c r="AA38" i="15" a="1"/>
  <c r="AA38" i="15" s="1"/>
  <c r="AA34" i="15" a="1"/>
  <c r="AA34" i="15" s="1"/>
  <c r="Z45" i="15"/>
  <c r="Z41" i="15" a="1"/>
  <c r="Z41" i="15" s="1"/>
  <c r="Z39" i="15" a="1"/>
  <c r="Z39" i="15" s="1"/>
  <c r="Z37" i="15" a="1"/>
  <c r="Z37" i="15" s="1"/>
  <c r="Z35" i="15" a="1"/>
  <c r="Z35" i="15" s="1"/>
  <c r="Z33" i="15" a="1"/>
  <c r="Z33" i="15" s="1"/>
  <c r="Z36" i="15" a="1"/>
  <c r="Z36" i="15" s="1"/>
  <c r="Z29" i="15"/>
  <c r="Z42" i="15" a="1"/>
  <c r="Z42" i="15" s="1"/>
  <c r="Z40" i="15" a="1"/>
  <c r="Z40" i="15" s="1"/>
  <c r="Z38" i="15" a="1"/>
  <c r="Z38" i="15" s="1"/>
  <c r="Z34" i="15" a="1"/>
  <c r="Z34" i="15" s="1"/>
  <c r="Y29" i="15"/>
  <c r="Y39" i="15" a="1"/>
  <c r="Y39" i="15" s="1"/>
  <c r="Y35" i="15" a="1"/>
  <c r="Y35" i="15" s="1"/>
  <c r="Y45" i="15"/>
  <c r="Y41" i="15" a="1"/>
  <c r="Y41" i="15" s="1"/>
  <c r="Y37" i="15" a="1"/>
  <c r="Y37" i="15" s="1"/>
  <c r="Y33" i="15" a="1"/>
  <c r="Y33" i="15" s="1"/>
  <c r="Y40" i="15" a="1"/>
  <c r="Y40" i="15" s="1"/>
  <c r="Y36" i="15" a="1"/>
  <c r="Y36" i="15" s="1"/>
  <c r="Y42" i="15" a="1"/>
  <c r="Y42" i="15" s="1"/>
  <c r="Y38" i="15" a="1"/>
  <c r="Y38" i="15" s="1"/>
  <c r="Y34" i="15" a="1"/>
  <c r="Y34" i="15" s="1"/>
  <c r="X29" i="15"/>
  <c r="X39" i="15" a="1"/>
  <c r="X39" i="15" s="1"/>
  <c r="X37" i="15" a="1"/>
  <c r="X37" i="15" s="1"/>
  <c r="X45" i="15"/>
  <c r="X41" i="15" a="1"/>
  <c r="X41" i="15" s="1"/>
  <c r="X35" i="15" a="1"/>
  <c r="X35" i="15" s="1"/>
  <c r="X33" i="15" a="1"/>
  <c r="X33" i="15" s="1"/>
  <c r="X40" i="15" a="1"/>
  <c r="X40" i="15" s="1"/>
  <c r="X38" i="15" a="1"/>
  <c r="X38" i="15" s="1"/>
  <c r="X34" i="15" a="1"/>
  <c r="X34" i="15" s="1"/>
  <c r="X42" i="15" a="1"/>
  <c r="X42" i="15" s="1"/>
  <c r="X36" i="15" a="1"/>
  <c r="X36" i="15" s="1"/>
  <c r="W29" i="15"/>
  <c r="W39" i="15" a="1"/>
  <c r="W39" i="15" s="1"/>
  <c r="W35" i="15" a="1"/>
  <c r="W35" i="15" s="1"/>
  <c r="W45" i="15"/>
  <c r="W41" i="15" a="1"/>
  <c r="W41" i="15" s="1"/>
  <c r="W37" i="15" a="1"/>
  <c r="W37" i="15" s="1"/>
  <c r="W33" i="15" a="1"/>
  <c r="W33" i="15" s="1"/>
  <c r="W40" i="15" a="1"/>
  <c r="W40" i="15" s="1"/>
  <c r="W36" i="15" a="1"/>
  <c r="W36" i="15" s="1"/>
  <c r="W42" i="15" a="1"/>
  <c r="W42" i="15" s="1"/>
  <c r="W38" i="15" a="1"/>
  <c r="W38" i="15" s="1"/>
  <c r="W34" i="15" a="1"/>
  <c r="W34" i="15" s="1"/>
  <c r="V29" i="15"/>
  <c r="V35" i="15" a="1"/>
  <c r="V35" i="15" s="1"/>
  <c r="V45" i="15"/>
  <c r="V41" i="15" a="1"/>
  <c r="V41" i="15" s="1"/>
  <c r="V39" i="15" a="1"/>
  <c r="V39" i="15" s="1"/>
  <c r="V37" i="15" a="1"/>
  <c r="V37" i="15" s="1"/>
  <c r="V33" i="15" a="1"/>
  <c r="V33" i="15" s="1"/>
  <c r="V40" i="15" a="1"/>
  <c r="V40" i="15" s="1"/>
  <c r="V36" i="15" a="1"/>
  <c r="V36" i="15" s="1"/>
  <c r="V42" i="15" a="1"/>
  <c r="V42" i="15" s="1"/>
  <c r="V38" i="15" a="1"/>
  <c r="V38" i="15" s="1"/>
  <c r="V34" i="15" a="1"/>
  <c r="V34" i="15" s="1"/>
  <c r="U29" i="15"/>
  <c r="U39" i="15" a="1"/>
  <c r="U39" i="15" s="1"/>
  <c r="U35" i="15" a="1"/>
  <c r="U35" i="15" s="1"/>
  <c r="U33" i="15" a="1"/>
  <c r="U33" i="15" s="1"/>
  <c r="U45" i="15"/>
  <c r="U41" i="15" a="1"/>
  <c r="U41" i="15" s="1"/>
  <c r="U37" i="15" a="1"/>
  <c r="U37" i="15" s="1"/>
  <c r="U40" i="15" a="1"/>
  <c r="U40" i="15" s="1"/>
  <c r="U36" i="15" a="1"/>
  <c r="U36" i="15" s="1"/>
  <c r="U42" i="15" a="1"/>
  <c r="U42" i="15" s="1"/>
  <c r="U38" i="15" a="1"/>
  <c r="U38" i="15" s="1"/>
  <c r="U34" i="15" a="1"/>
  <c r="U34" i="15" s="1"/>
  <c r="T29" i="15"/>
  <c r="T39" i="15" a="1"/>
  <c r="T39" i="15" s="1"/>
  <c r="T35" i="15" a="1"/>
  <c r="T35" i="15" s="1"/>
  <c r="T45" i="15"/>
  <c r="T41" i="15" a="1"/>
  <c r="T41" i="15" s="1"/>
  <c r="T37" i="15" a="1"/>
  <c r="T37" i="15" s="1"/>
  <c r="T33" i="15" a="1"/>
  <c r="T33" i="15" s="1"/>
  <c r="T38" i="15" a="1"/>
  <c r="T38" i="15" s="1"/>
  <c r="T34" i="15" a="1"/>
  <c r="T34" i="15" s="1"/>
  <c r="T42" i="15" a="1"/>
  <c r="T42" i="15" s="1"/>
  <c r="T40" i="15" a="1"/>
  <c r="T40" i="15" s="1"/>
  <c r="T36" i="15" a="1"/>
  <c r="T36" i="15" s="1"/>
  <c r="S29" i="15"/>
  <c r="S39" i="15" a="1"/>
  <c r="S39" i="15" s="1"/>
  <c r="S35" i="15" a="1"/>
  <c r="S35" i="15" s="1"/>
  <c r="S45" i="15"/>
  <c r="S41" i="15" a="1"/>
  <c r="S41" i="15" s="1"/>
  <c r="S37" i="15" a="1"/>
  <c r="S37" i="15" s="1"/>
  <c r="S33" i="15" a="1"/>
  <c r="S33" i="15" s="1"/>
  <c r="S40" i="15" a="1"/>
  <c r="S40" i="15" s="1"/>
  <c r="S36" i="15" a="1"/>
  <c r="S36" i="15" s="1"/>
  <c r="S42" i="15" a="1"/>
  <c r="S42" i="15" s="1"/>
  <c r="S38" i="15" a="1"/>
  <c r="S38" i="15" s="1"/>
  <c r="S34" i="15" a="1"/>
  <c r="S34" i="15" s="1"/>
  <c r="R29" i="15"/>
  <c r="R39" i="15" a="1"/>
  <c r="R39" i="15" s="1"/>
  <c r="R35" i="15" a="1"/>
  <c r="R35" i="15" s="1"/>
  <c r="R45" i="15"/>
  <c r="R41" i="15" a="1"/>
  <c r="R41" i="15" s="1"/>
  <c r="R37" i="15" a="1"/>
  <c r="R37" i="15" s="1"/>
  <c r="R33" i="15" a="1"/>
  <c r="R33" i="15" s="1"/>
  <c r="R40" i="15" a="1"/>
  <c r="R40" i="15" s="1"/>
  <c r="R36" i="15" a="1"/>
  <c r="R36" i="15" s="1"/>
  <c r="R42" i="15" a="1"/>
  <c r="R42" i="15" s="1"/>
  <c r="R38" i="15" a="1"/>
  <c r="R38" i="15" s="1"/>
  <c r="R34" i="15" a="1"/>
  <c r="R34" i="15" s="1"/>
  <c r="Q29" i="15"/>
  <c r="Q39" i="15" a="1"/>
  <c r="Q39" i="15" s="1"/>
  <c r="Q37" i="15" a="1"/>
  <c r="Q37" i="15" s="1"/>
  <c r="Q45" i="15"/>
  <c r="Q41" i="15" a="1"/>
  <c r="Q41" i="15" s="1"/>
  <c r="Q35" i="15" a="1"/>
  <c r="Q35" i="15" s="1"/>
  <c r="Q33" i="15" a="1"/>
  <c r="Q33" i="15" s="1"/>
  <c r="Q40" i="15" a="1"/>
  <c r="Q40" i="15" s="1"/>
  <c r="Q38" i="15" a="1"/>
  <c r="Q38" i="15" s="1"/>
  <c r="Q42" i="15" a="1"/>
  <c r="Q42" i="15" s="1"/>
  <c r="Q36" i="15" a="1"/>
  <c r="Q36" i="15" s="1"/>
  <c r="Q34" i="15" a="1"/>
  <c r="Q34" i="15" s="1"/>
  <c r="P29" i="15"/>
  <c r="P39" i="15" a="1"/>
  <c r="P39" i="15" s="1"/>
  <c r="P35" i="15" a="1"/>
  <c r="P35" i="15" s="1"/>
  <c r="P45" i="15"/>
  <c r="P41" i="15" a="1"/>
  <c r="P41" i="15" s="1"/>
  <c r="P37" i="15" a="1"/>
  <c r="P37" i="15" s="1"/>
  <c r="P33" i="15" a="1"/>
  <c r="P33" i="15" s="1"/>
  <c r="P40" i="15" a="1"/>
  <c r="P40" i="15" s="1"/>
  <c r="P36" i="15" a="1"/>
  <c r="P36" i="15" s="1"/>
  <c r="P42" i="15" a="1"/>
  <c r="P42" i="15" s="1"/>
  <c r="P38" i="15" a="1"/>
  <c r="P38" i="15" s="1"/>
  <c r="P34" i="15" a="1"/>
  <c r="P34" i="15" s="1"/>
  <c r="O29" i="15"/>
  <c r="O39" i="15" a="1"/>
  <c r="O39" i="15" s="1"/>
  <c r="O35" i="15" a="1"/>
  <c r="O35" i="15" s="1"/>
  <c r="O45" i="15"/>
  <c r="O41" i="15" a="1"/>
  <c r="O41" i="15" s="1"/>
  <c r="O37" i="15" a="1"/>
  <c r="O37" i="15" s="1"/>
  <c r="O33" i="15" a="1"/>
  <c r="O33" i="15" s="1"/>
  <c r="O40" i="15" a="1"/>
  <c r="O40" i="15" s="1"/>
  <c r="O36" i="15" a="1"/>
  <c r="O36" i="15" s="1"/>
  <c r="O42" i="15" a="1"/>
  <c r="O42" i="15" s="1"/>
  <c r="O38" i="15" a="1"/>
  <c r="O38" i="15" s="1"/>
  <c r="O34" i="15" a="1"/>
  <c r="O34" i="15" s="1"/>
  <c r="N29" i="15"/>
  <c r="N39" i="15" a="1"/>
  <c r="N39" i="15" s="1"/>
  <c r="N35" i="15" a="1"/>
  <c r="N35" i="15" s="1"/>
  <c r="N45" i="15"/>
  <c r="N41" i="15" a="1"/>
  <c r="N41" i="15" s="1"/>
  <c r="N37" i="15" a="1"/>
  <c r="N37" i="15" s="1"/>
  <c r="N33" i="15" a="1"/>
  <c r="N33" i="15" s="1"/>
  <c r="N40" i="15" a="1"/>
  <c r="N40" i="15" s="1"/>
  <c r="N34" i="15" a="1"/>
  <c r="N34" i="15" s="1"/>
  <c r="N42" i="15" a="1"/>
  <c r="N42" i="15" s="1"/>
  <c r="N38" i="15" a="1"/>
  <c r="N38" i="15" s="1"/>
  <c r="N36" i="15" a="1"/>
  <c r="N36" i="15" s="1"/>
  <c r="M29" i="15"/>
  <c r="M39" i="15" a="1"/>
  <c r="M39" i="15" s="1"/>
  <c r="M35" i="15" a="1"/>
  <c r="M35" i="15" s="1"/>
  <c r="M45" i="15"/>
  <c r="M41" i="15" a="1"/>
  <c r="M41" i="15" s="1"/>
  <c r="M37" i="15" a="1"/>
  <c r="M37" i="15" s="1"/>
  <c r="M33" i="15" a="1"/>
  <c r="M33" i="15" s="1"/>
  <c r="M40" i="15" a="1"/>
  <c r="M40" i="15" s="1"/>
  <c r="M36" i="15" a="1"/>
  <c r="M36" i="15" s="1"/>
  <c r="M42" i="15" a="1"/>
  <c r="M42" i="15" s="1"/>
  <c r="M38" i="15" a="1"/>
  <c r="M38" i="15" s="1"/>
  <c r="M34" i="15" a="1"/>
  <c r="M34" i="15" s="1"/>
  <c r="L29" i="15"/>
  <c r="L39" i="15" a="1"/>
  <c r="L39" i="15" s="1"/>
  <c r="L37" i="15" a="1"/>
  <c r="L37" i="15" s="1"/>
  <c r="L33" i="15" a="1"/>
  <c r="L33" i="15" s="1"/>
  <c r="L38" i="15" a="1"/>
  <c r="L38" i="15" s="1"/>
  <c r="L34" i="15" a="1"/>
  <c r="L34" i="15" s="1"/>
  <c r="L45" i="15"/>
  <c r="L41" i="15" a="1"/>
  <c r="L41" i="15" s="1"/>
  <c r="L35" i="15" a="1"/>
  <c r="L35" i="15" s="1"/>
  <c r="L40" i="15" a="1"/>
  <c r="L40" i="15" s="1"/>
  <c r="L36" i="15" a="1"/>
  <c r="L36" i="15" s="1"/>
  <c r="L42" i="15" a="1"/>
  <c r="L42" i="15" s="1"/>
  <c r="K29" i="15"/>
  <c r="K39" i="15" a="1"/>
  <c r="K39" i="15" s="1"/>
  <c r="K35" i="15" a="1"/>
  <c r="K35" i="15" s="1"/>
  <c r="K33" i="15" a="1"/>
  <c r="K33" i="15" s="1"/>
  <c r="K45" i="15"/>
  <c r="K41" i="15" a="1"/>
  <c r="K41" i="15" s="1"/>
  <c r="K37" i="15" a="1"/>
  <c r="K37" i="15" s="1"/>
  <c r="K40" i="15" a="1"/>
  <c r="K40" i="15" s="1"/>
  <c r="K36" i="15" a="1"/>
  <c r="K36" i="15" s="1"/>
  <c r="K42" i="15" a="1"/>
  <c r="K42" i="15" s="1"/>
  <c r="K38" i="15" a="1"/>
  <c r="K38" i="15" s="1"/>
  <c r="K34" i="15" a="1"/>
  <c r="K34" i="15" s="1"/>
  <c r="J45" i="15"/>
  <c r="J41" i="15" a="1"/>
  <c r="J41" i="15" s="1"/>
  <c r="J39" i="15" a="1"/>
  <c r="J39" i="15" s="1"/>
  <c r="J37" i="15" a="1"/>
  <c r="J37" i="15" s="1"/>
  <c r="J35" i="15" a="1"/>
  <c r="J35" i="15" s="1"/>
  <c r="J33" i="15" a="1"/>
  <c r="J33" i="15" s="1"/>
  <c r="J29" i="15"/>
  <c r="J42" i="15" a="1"/>
  <c r="J42" i="15" s="1"/>
  <c r="J40" i="15" a="1"/>
  <c r="J40" i="15" s="1"/>
  <c r="J38" i="15" a="1"/>
  <c r="J38" i="15" s="1"/>
  <c r="J36" i="15" a="1"/>
  <c r="J36" i="15" s="1"/>
  <c r="J34" i="15" a="1"/>
  <c r="J34" i="15" s="1"/>
  <c r="I29" i="15"/>
  <c r="I39" i="15" a="1"/>
  <c r="I39" i="15" s="1"/>
  <c r="I35" i="15" a="1"/>
  <c r="I35" i="15" s="1"/>
  <c r="I33" i="15" a="1"/>
  <c r="I33" i="15" s="1"/>
  <c r="I45" i="15"/>
  <c r="I41" i="15" a="1"/>
  <c r="I41" i="15" s="1"/>
  <c r="I37" i="15" a="1"/>
  <c r="I37" i="15" s="1"/>
  <c r="I40" i="15" a="1"/>
  <c r="I40" i="15" s="1"/>
  <c r="I38" i="15" a="1"/>
  <c r="I38" i="15" s="1"/>
  <c r="I34" i="15" a="1"/>
  <c r="I34" i="15" s="1"/>
  <c r="I42" i="15" a="1"/>
  <c r="I42" i="15" s="1"/>
  <c r="I36" i="15" a="1"/>
  <c r="I36" i="15" s="1"/>
  <c r="E8" i="12"/>
  <c r="D7" i="12"/>
  <c r="A7" i="12" s="1"/>
  <c r="C7" i="12"/>
  <c r="AE29" i="14"/>
  <c r="AE39" i="14" a="1"/>
  <c r="AE39" i="14" s="1"/>
  <c r="AE35" i="14" a="1"/>
  <c r="AE35" i="14" s="1"/>
  <c r="AE45" i="14"/>
  <c r="AE41" i="14" a="1"/>
  <c r="AE41" i="14" s="1"/>
  <c r="AE37" i="14" a="1"/>
  <c r="AE37" i="14" s="1"/>
  <c r="AE33" i="14" a="1"/>
  <c r="AE33" i="14" s="1"/>
  <c r="AE40" i="14" a="1"/>
  <c r="AE40" i="14" s="1"/>
  <c r="AE36" i="14" a="1"/>
  <c r="AE36" i="14" s="1"/>
  <c r="AE42" i="14" a="1"/>
  <c r="AE42" i="14" s="1"/>
  <c r="AE38" i="14" a="1"/>
  <c r="AE38" i="14" s="1"/>
  <c r="AE34" i="14" a="1"/>
  <c r="AE34" i="14" s="1"/>
  <c r="AD29" i="14"/>
  <c r="AD39" i="14" a="1"/>
  <c r="AD39" i="14" s="1"/>
  <c r="AD35" i="14" a="1"/>
  <c r="AD35" i="14" s="1"/>
  <c r="AD45" i="14"/>
  <c r="AD41" i="14" a="1"/>
  <c r="AD41" i="14" s="1"/>
  <c r="AD37" i="14" a="1"/>
  <c r="AD37" i="14" s="1"/>
  <c r="AD33" i="14" a="1"/>
  <c r="AD33" i="14" s="1"/>
  <c r="AD40" i="14" a="1"/>
  <c r="AD40" i="14" s="1"/>
  <c r="AD36" i="14" a="1"/>
  <c r="AD36" i="14" s="1"/>
  <c r="AD34" i="14" a="1"/>
  <c r="AD34" i="14" s="1"/>
  <c r="AD42" i="14" a="1"/>
  <c r="AD42" i="14" s="1"/>
  <c r="AD38" i="14" a="1"/>
  <c r="AD38" i="14" s="1"/>
  <c r="AC29" i="14"/>
  <c r="AC39" i="14" a="1"/>
  <c r="AC39" i="14" s="1"/>
  <c r="AC35" i="14" a="1"/>
  <c r="AC35" i="14" s="1"/>
  <c r="AC33" i="14" a="1"/>
  <c r="AC33" i="14" s="1"/>
  <c r="AC45" i="14"/>
  <c r="AC41" i="14" a="1"/>
  <c r="AC41" i="14" s="1"/>
  <c r="AC37" i="14" a="1"/>
  <c r="AC37" i="14" s="1"/>
  <c r="AC40" i="14" a="1"/>
  <c r="AC40" i="14" s="1"/>
  <c r="AC38" i="14" a="1"/>
  <c r="AC38" i="14" s="1"/>
  <c r="AC34" i="14" a="1"/>
  <c r="AC34" i="14" s="1"/>
  <c r="AC42" i="14" a="1"/>
  <c r="AC42" i="14" s="1"/>
  <c r="AC36" i="14" a="1"/>
  <c r="AC36" i="14" s="1"/>
  <c r="AB29" i="14"/>
  <c r="AB39" i="14" a="1"/>
  <c r="AB39" i="14" s="1"/>
  <c r="AB37" i="14" a="1"/>
  <c r="AB37" i="14" s="1"/>
  <c r="AB33" i="14" a="1"/>
  <c r="AB33" i="14" s="1"/>
  <c r="AB45" i="14"/>
  <c r="AB41" i="14" a="1"/>
  <c r="AB41" i="14" s="1"/>
  <c r="AB35" i="14" a="1"/>
  <c r="AB35" i="14" s="1"/>
  <c r="AB40" i="14" a="1"/>
  <c r="AB40" i="14" s="1"/>
  <c r="AB38" i="14" a="1"/>
  <c r="AB38" i="14" s="1"/>
  <c r="AB42" i="14" a="1"/>
  <c r="AB42" i="14" s="1"/>
  <c r="AB36" i="14" a="1"/>
  <c r="AB36" i="14" s="1"/>
  <c r="AB34" i="14" a="1"/>
  <c r="AB34" i="14" s="1"/>
  <c r="AA29" i="14"/>
  <c r="AA39" i="14" a="1"/>
  <c r="AA39" i="14" s="1"/>
  <c r="AA35" i="14" a="1"/>
  <c r="AA35" i="14" s="1"/>
  <c r="AA45" i="14"/>
  <c r="AA41" i="14" a="1"/>
  <c r="AA41" i="14" s="1"/>
  <c r="AA37" i="14" a="1"/>
  <c r="AA37" i="14" s="1"/>
  <c r="AA33" i="14" a="1"/>
  <c r="AA33" i="14" s="1"/>
  <c r="AA40" i="14" a="1"/>
  <c r="AA40" i="14" s="1"/>
  <c r="AA36" i="14" a="1"/>
  <c r="AA36" i="14" s="1"/>
  <c r="AA42" i="14" a="1"/>
  <c r="AA42" i="14" s="1"/>
  <c r="AA38" i="14" a="1"/>
  <c r="AA38" i="14" s="1"/>
  <c r="AA34" i="14" a="1"/>
  <c r="AA34" i="14" s="1"/>
  <c r="Z29" i="14"/>
  <c r="Z39" i="14" a="1"/>
  <c r="Z39" i="14" s="1"/>
  <c r="Z35" i="14" a="1"/>
  <c r="Z35" i="14" s="1"/>
  <c r="Z33" i="14" a="1"/>
  <c r="Z33" i="14" s="1"/>
  <c r="Z45" i="14"/>
  <c r="Z41" i="14" a="1"/>
  <c r="Z41" i="14" s="1"/>
  <c r="Z37" i="14" a="1"/>
  <c r="Z37" i="14" s="1"/>
  <c r="Z40" i="14" a="1"/>
  <c r="Z40" i="14" s="1"/>
  <c r="Z38" i="14" a="1"/>
  <c r="Z38" i="14" s="1"/>
  <c r="Z42" i="14" a="1"/>
  <c r="Z42" i="14" s="1"/>
  <c r="Z36" i="14" a="1"/>
  <c r="Z36" i="14" s="1"/>
  <c r="Z34" i="14" a="1"/>
  <c r="Z34" i="14" s="1"/>
  <c r="Y29" i="14"/>
  <c r="Y39" i="14" a="1"/>
  <c r="Y39" i="14" s="1"/>
  <c r="Y35" i="14" a="1"/>
  <c r="Y35" i="14" s="1"/>
  <c r="Y45" i="14"/>
  <c r="Y41" i="14" a="1"/>
  <c r="Y41" i="14" s="1"/>
  <c r="Y37" i="14" a="1"/>
  <c r="Y37" i="14" s="1"/>
  <c r="Y33" i="14" a="1"/>
  <c r="Y33" i="14" s="1"/>
  <c r="Y40" i="14" a="1"/>
  <c r="Y40" i="14" s="1"/>
  <c r="Y36" i="14" a="1"/>
  <c r="Y36" i="14" s="1"/>
  <c r="Y42" i="14" a="1"/>
  <c r="Y42" i="14" s="1"/>
  <c r="Y38" i="14" a="1"/>
  <c r="Y38" i="14" s="1"/>
  <c r="Y34" i="14" a="1"/>
  <c r="Y34" i="14" s="1"/>
  <c r="X29" i="14"/>
  <c r="X39" i="14" a="1"/>
  <c r="X39" i="14" s="1"/>
  <c r="X35" i="14" a="1"/>
  <c r="X35" i="14" s="1"/>
  <c r="X45" i="14"/>
  <c r="X41" i="14" a="1"/>
  <c r="X41" i="14" s="1"/>
  <c r="X37" i="14" a="1"/>
  <c r="X37" i="14" s="1"/>
  <c r="X33" i="14" a="1"/>
  <c r="X33" i="14" s="1"/>
  <c r="X40" i="14" a="1"/>
  <c r="X40" i="14" s="1"/>
  <c r="X36" i="14" a="1"/>
  <c r="X36" i="14" s="1"/>
  <c r="X42" i="14" a="1"/>
  <c r="X42" i="14" s="1"/>
  <c r="X38" i="14" a="1"/>
  <c r="X38" i="14" s="1"/>
  <c r="X34" i="14" a="1"/>
  <c r="X34" i="14" s="1"/>
  <c r="W29" i="14"/>
  <c r="W39" i="14" a="1"/>
  <c r="W39" i="14" s="1"/>
  <c r="W37" i="14" a="1"/>
  <c r="W37" i="14" s="1"/>
  <c r="W33" i="14" a="1"/>
  <c r="W33" i="14" s="1"/>
  <c r="W34" i="14" a="1"/>
  <c r="W34" i="14" s="1"/>
  <c r="W45" i="14"/>
  <c r="W41" i="14" a="1"/>
  <c r="W41" i="14" s="1"/>
  <c r="W35" i="14" a="1"/>
  <c r="W35" i="14" s="1"/>
  <c r="W38" i="14" a="1"/>
  <c r="W38" i="14" s="1"/>
  <c r="W42" i="14" a="1"/>
  <c r="W42" i="14" s="1"/>
  <c r="W40" i="14" a="1"/>
  <c r="W40" i="14" s="1"/>
  <c r="W36" i="14" a="1"/>
  <c r="W36" i="14" s="1"/>
  <c r="V29" i="14"/>
  <c r="V39" i="14" a="1"/>
  <c r="V39" i="14" s="1"/>
  <c r="V37" i="14" a="1"/>
  <c r="V37" i="14" s="1"/>
  <c r="V45" i="14"/>
  <c r="V41" i="14" a="1"/>
  <c r="V41" i="14" s="1"/>
  <c r="V35" i="14" a="1"/>
  <c r="V35" i="14" s="1"/>
  <c r="V33" i="14" a="1"/>
  <c r="V33" i="14" s="1"/>
  <c r="V40" i="14" a="1"/>
  <c r="V40" i="14" s="1"/>
  <c r="V38" i="14" a="1"/>
  <c r="V38" i="14" s="1"/>
  <c r="V42" i="14" a="1"/>
  <c r="V42" i="14" s="1"/>
  <c r="V36" i="14" a="1"/>
  <c r="V36" i="14" s="1"/>
  <c r="V34" i="14" a="1"/>
  <c r="V34" i="14" s="1"/>
  <c r="U29" i="14"/>
  <c r="U39" i="14" a="1"/>
  <c r="U39" i="14" s="1"/>
  <c r="U37" i="14" a="1"/>
  <c r="U37" i="14" s="1"/>
  <c r="U33" i="14" a="1"/>
  <c r="U33" i="14" s="1"/>
  <c r="U45" i="14"/>
  <c r="U41" i="14" a="1"/>
  <c r="U41" i="14" s="1"/>
  <c r="U35" i="14" a="1"/>
  <c r="U35" i="14" s="1"/>
  <c r="U40" i="14" a="1"/>
  <c r="U40" i="14" s="1"/>
  <c r="U38" i="14" a="1"/>
  <c r="U38" i="14" s="1"/>
  <c r="U42" i="14" a="1"/>
  <c r="U42" i="14" s="1"/>
  <c r="U36" i="14" a="1"/>
  <c r="U36" i="14" s="1"/>
  <c r="U34" i="14" a="1"/>
  <c r="U34" i="14" s="1"/>
  <c r="T29" i="14"/>
  <c r="T39" i="14" a="1"/>
  <c r="T39" i="14" s="1"/>
  <c r="T35" i="14" a="1"/>
  <c r="T35" i="14" s="1"/>
  <c r="T38" i="14" a="1"/>
  <c r="T38" i="14" s="1"/>
  <c r="T45" i="14"/>
  <c r="T41" i="14" a="1"/>
  <c r="T41" i="14" s="1"/>
  <c r="T37" i="14" a="1"/>
  <c r="T37" i="14" s="1"/>
  <c r="T33" i="14" a="1"/>
  <c r="T33" i="14" s="1"/>
  <c r="T34" i="14" a="1"/>
  <c r="T34" i="14" s="1"/>
  <c r="T42" i="14" a="1"/>
  <c r="T42" i="14" s="1"/>
  <c r="T40" i="14" a="1"/>
  <c r="T40" i="14" s="1"/>
  <c r="T36" i="14" a="1"/>
  <c r="T36" i="14" s="1"/>
  <c r="S29" i="14"/>
  <c r="S39" i="14" a="1"/>
  <c r="S39" i="14" s="1"/>
  <c r="S37" i="14" a="1"/>
  <c r="S37" i="14" s="1"/>
  <c r="S33" i="14" a="1"/>
  <c r="S33" i="14" s="1"/>
  <c r="S40" i="14" a="1"/>
  <c r="S40" i="14" s="1"/>
  <c r="S36" i="14" a="1"/>
  <c r="S36" i="14" s="1"/>
  <c r="S45" i="14"/>
  <c r="S41" i="14" a="1"/>
  <c r="S41" i="14" s="1"/>
  <c r="S35" i="14" a="1"/>
  <c r="S35" i="14" s="1"/>
  <c r="S42" i="14" a="1"/>
  <c r="S42" i="14" s="1"/>
  <c r="S38" i="14" a="1"/>
  <c r="S38" i="14" s="1"/>
  <c r="S34" i="14" a="1"/>
  <c r="S34" i="14" s="1"/>
  <c r="R29" i="14"/>
  <c r="R39" i="14" a="1"/>
  <c r="R39" i="14" s="1"/>
  <c r="R37" i="14" a="1"/>
  <c r="R37" i="14" s="1"/>
  <c r="R33" i="14" a="1"/>
  <c r="R33" i="14" s="1"/>
  <c r="R45" i="14"/>
  <c r="R41" i="14" a="1"/>
  <c r="R41" i="14" s="1"/>
  <c r="R35" i="14" a="1"/>
  <c r="R35" i="14" s="1"/>
  <c r="R40" i="14" a="1"/>
  <c r="R40" i="14" s="1"/>
  <c r="R38" i="14" a="1"/>
  <c r="R38" i="14" s="1"/>
  <c r="R34" i="14" a="1"/>
  <c r="R34" i="14" s="1"/>
  <c r="R42" i="14" a="1"/>
  <c r="R42" i="14" s="1"/>
  <c r="R36" i="14" a="1"/>
  <c r="R36" i="14" s="1"/>
  <c r="Q29" i="14"/>
  <c r="Q39" i="14" a="1"/>
  <c r="Q39" i="14" s="1"/>
  <c r="Q35" i="14" a="1"/>
  <c r="Q35" i="14" s="1"/>
  <c r="Q33" i="14" a="1"/>
  <c r="Q33" i="14" s="1"/>
  <c r="Q45" i="14"/>
  <c r="Q41" i="14" a="1"/>
  <c r="Q41" i="14" s="1"/>
  <c r="Q37" i="14" a="1"/>
  <c r="Q37" i="14" s="1"/>
  <c r="Q34" i="14" a="1"/>
  <c r="Q34" i="14" s="1"/>
  <c r="Q40" i="14" a="1"/>
  <c r="Q40" i="14" s="1"/>
  <c r="Q38" i="14" a="1"/>
  <c r="Q38" i="14" s="1"/>
  <c r="Q42" i="14" a="1"/>
  <c r="Q42" i="14" s="1"/>
  <c r="Q36" i="14" a="1"/>
  <c r="Q36" i="14" s="1"/>
  <c r="P29" i="14"/>
  <c r="P39" i="14" a="1"/>
  <c r="P39" i="14" s="1"/>
  <c r="P37" i="14" a="1"/>
  <c r="P37" i="14" s="1"/>
  <c r="P33" i="14" a="1"/>
  <c r="P33" i="14" s="1"/>
  <c r="P45" i="14"/>
  <c r="P41" i="14" a="1"/>
  <c r="P41" i="14" s="1"/>
  <c r="P35" i="14" a="1"/>
  <c r="P35" i="14" s="1"/>
  <c r="P40" i="14" a="1"/>
  <c r="P40" i="14" s="1"/>
  <c r="P38" i="14" a="1"/>
  <c r="P38" i="14" s="1"/>
  <c r="P42" i="14" a="1"/>
  <c r="P42" i="14" s="1"/>
  <c r="P36" i="14" a="1"/>
  <c r="P36" i="14" s="1"/>
  <c r="P34" i="14" a="1"/>
  <c r="P34" i="14" s="1"/>
  <c r="O29" i="14"/>
  <c r="O39" i="14" a="1"/>
  <c r="O39" i="14" s="1"/>
  <c r="O37" i="14" a="1"/>
  <c r="O37" i="14" s="1"/>
  <c r="O33" i="14" a="1"/>
  <c r="O33" i="14" s="1"/>
  <c r="O45" i="14"/>
  <c r="O41" i="14" a="1"/>
  <c r="O41" i="14" s="1"/>
  <c r="O35" i="14" a="1"/>
  <c r="O35" i="14" s="1"/>
  <c r="O34" i="14" a="1"/>
  <c r="O34" i="14" s="1"/>
  <c r="O40" i="14" a="1"/>
  <c r="O40" i="14" s="1"/>
  <c r="O36" i="14" a="1"/>
  <c r="O36" i="14" s="1"/>
  <c r="O42" i="14" a="1"/>
  <c r="O42" i="14" s="1"/>
  <c r="O38" i="14" a="1"/>
  <c r="O38" i="14" s="1"/>
  <c r="N29" i="14"/>
  <c r="N39" i="14" a="1"/>
  <c r="N39" i="14" s="1"/>
  <c r="N37" i="14" a="1"/>
  <c r="N37" i="14" s="1"/>
  <c r="N33" i="14" a="1"/>
  <c r="N33" i="14" s="1"/>
  <c r="N45" i="14"/>
  <c r="N41" i="14" a="1"/>
  <c r="N41" i="14" s="1"/>
  <c r="N35" i="14" a="1"/>
  <c r="N35" i="14" s="1"/>
  <c r="N40" i="14" a="1"/>
  <c r="N40" i="14" s="1"/>
  <c r="N36" i="14" a="1"/>
  <c r="N36" i="14" s="1"/>
  <c r="N42" i="14" a="1"/>
  <c r="N42" i="14" s="1"/>
  <c r="N38" i="14" a="1"/>
  <c r="N38" i="14" s="1"/>
  <c r="N34" i="14" a="1"/>
  <c r="N34" i="14" s="1"/>
  <c r="M29" i="14"/>
  <c r="M45" i="14"/>
  <c r="M41" i="14" a="1"/>
  <c r="M41" i="14" s="1"/>
  <c r="M37" i="14" a="1"/>
  <c r="M37" i="14" s="1"/>
  <c r="M33" i="14" a="1"/>
  <c r="M33" i="14" s="1"/>
  <c r="M39" i="14" a="1"/>
  <c r="M39" i="14" s="1"/>
  <c r="M35" i="14" a="1"/>
  <c r="M35" i="14" s="1"/>
  <c r="M40" i="14" a="1"/>
  <c r="M40" i="14" s="1"/>
  <c r="M38" i="14" a="1"/>
  <c r="M38" i="14" s="1"/>
  <c r="M34" i="14" a="1"/>
  <c r="M34" i="14" s="1"/>
  <c r="M42" i="14" a="1"/>
  <c r="M42" i="14" s="1"/>
  <c r="M36" i="14" a="1"/>
  <c r="M36" i="14" s="1"/>
  <c r="L29" i="14"/>
  <c r="L45" i="14"/>
  <c r="L41" i="14" a="1"/>
  <c r="L41" i="14" s="1"/>
  <c r="L37" i="14" a="1"/>
  <c r="L37" i="14" s="1"/>
  <c r="L33" i="14" a="1"/>
  <c r="L33" i="14" s="1"/>
  <c r="L39" i="14" a="1"/>
  <c r="L39" i="14" s="1"/>
  <c r="L35" i="14" a="1"/>
  <c r="L35" i="14" s="1"/>
  <c r="L40" i="14" a="1"/>
  <c r="L40" i="14" s="1"/>
  <c r="L36" i="14" a="1"/>
  <c r="L36" i="14" s="1"/>
  <c r="L42" i="14" a="1"/>
  <c r="L42" i="14" s="1"/>
  <c r="L38" i="14" a="1"/>
  <c r="L38" i="14" s="1"/>
  <c r="L34" i="14" a="1"/>
  <c r="L34" i="14" s="1"/>
  <c r="K29" i="14"/>
  <c r="K39" i="14" a="1"/>
  <c r="K39" i="14" s="1"/>
  <c r="K37" i="14" a="1"/>
  <c r="K37" i="14" s="1"/>
  <c r="K33" i="14" a="1"/>
  <c r="K33" i="14" s="1"/>
  <c r="K45" i="14"/>
  <c r="K41" i="14" a="1"/>
  <c r="K41" i="14" s="1"/>
  <c r="K35" i="14" a="1"/>
  <c r="K35" i="14" s="1"/>
  <c r="K34" i="14" a="1"/>
  <c r="K34" i="14" s="1"/>
  <c r="K40" i="14" a="1"/>
  <c r="K40" i="14" s="1"/>
  <c r="K38" i="14" a="1"/>
  <c r="K38" i="14" s="1"/>
  <c r="K42" i="14" a="1"/>
  <c r="K42" i="14" s="1"/>
  <c r="K36" i="14" a="1"/>
  <c r="K36" i="14" s="1"/>
  <c r="J29" i="14"/>
  <c r="J41" i="14" a="1"/>
  <c r="J41" i="14" s="1"/>
  <c r="J37" i="14" a="1"/>
  <c r="J37" i="14" s="1"/>
  <c r="J33" i="14" a="1"/>
  <c r="J33" i="14" s="1"/>
  <c r="J45" i="14"/>
  <c r="J39" i="14" a="1"/>
  <c r="J39" i="14" s="1"/>
  <c r="J35" i="14" a="1"/>
  <c r="J35" i="14" s="1"/>
  <c r="J40" i="14" a="1"/>
  <c r="J40" i="14" s="1"/>
  <c r="J38" i="14" a="1"/>
  <c r="J38" i="14" s="1"/>
  <c r="J34" i="14" a="1"/>
  <c r="J34" i="14" s="1"/>
  <c r="J42" i="14" a="1"/>
  <c r="J42" i="14" s="1"/>
  <c r="J36" i="14" a="1"/>
  <c r="J36" i="14" s="1"/>
  <c r="I29" i="14"/>
  <c r="I41" i="14" a="1"/>
  <c r="I41" i="14" s="1"/>
  <c r="I37" i="14" a="1"/>
  <c r="I37" i="14" s="1"/>
  <c r="I33" i="14" a="1"/>
  <c r="I33" i="14" s="1"/>
  <c r="I45" i="14"/>
  <c r="I39" i="14" a="1"/>
  <c r="I39" i="14" s="1"/>
  <c r="I35" i="14" a="1"/>
  <c r="I35" i="14" s="1"/>
  <c r="I40" i="14" a="1"/>
  <c r="I40" i="14" s="1"/>
  <c r="I36" i="14" a="1"/>
  <c r="I36" i="14" s="1"/>
  <c r="I42" i="14" a="1"/>
  <c r="I42" i="14" s="1"/>
  <c r="I38" i="14" a="1"/>
  <c r="I38" i="14" s="1"/>
  <c r="I34" i="14" a="1"/>
  <c r="I34" i="14" s="1"/>
  <c r="H29" i="14"/>
  <c r="H39" i="14" a="1"/>
  <c r="H39" i="14" s="1"/>
  <c r="H35" i="14" a="1"/>
  <c r="H35" i="14" s="1"/>
  <c r="H33" i="14" a="1"/>
  <c r="H33" i="14" s="1"/>
  <c r="H45" i="14"/>
  <c r="H41" i="14" a="1"/>
  <c r="H41" i="14" s="1"/>
  <c r="H37" i="14" a="1"/>
  <c r="H37" i="14" s="1"/>
  <c r="H40" i="14" a="1"/>
  <c r="H40" i="14" s="1"/>
  <c r="H38" i="14" a="1"/>
  <c r="H38" i="14" s="1"/>
  <c r="H42" i="14" a="1"/>
  <c r="H42" i="14" s="1"/>
  <c r="H36" i="14" a="1"/>
  <c r="H36" i="14" s="1"/>
  <c r="H34" i="14" a="1"/>
  <c r="H34" i="14" s="1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B8" i="12"/>
  <c r="E9" i="12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Q46" i="14"/>
  <c r="P46" i="14"/>
  <c r="O46" i="14"/>
  <c r="N46" i="14"/>
  <c r="M46" i="14"/>
  <c r="L46" i="14"/>
  <c r="K46" i="14"/>
  <c r="J46" i="14"/>
  <c r="I46" i="14"/>
  <c r="H46" i="14"/>
  <c r="B10" i="13" l="1"/>
  <c r="E11" i="13"/>
  <c r="D9" i="13" a="1"/>
  <c r="D9" i="13" s="1"/>
  <c r="A9" i="13" s="1"/>
  <c r="C9" i="13"/>
  <c r="C8" i="12"/>
  <c r="D8" i="12"/>
  <c r="A8" i="12" s="1"/>
  <c r="B9" i="12"/>
  <c r="E10" i="12"/>
  <c r="E12" i="13" l="1"/>
  <c r="B11" i="13"/>
  <c r="C10" i="13"/>
  <c r="D10" i="13" a="1"/>
  <c r="D10" i="13" s="1"/>
  <c r="A10" i="13" s="1"/>
  <c r="D9" i="12"/>
  <c r="A9" i="12" s="1"/>
  <c r="C9" i="12"/>
  <c r="B10" i="12"/>
  <c r="E11" i="12"/>
  <c r="D11" i="13" l="1" a="1"/>
  <c r="D11" i="13" s="1"/>
  <c r="A11" i="13" s="1"/>
  <c r="C11" i="13"/>
  <c r="B12" i="13"/>
  <c r="E13" i="13"/>
  <c r="B11" i="12"/>
  <c r="E12" i="12"/>
  <c r="D10" i="12"/>
  <c r="A10" i="12" s="1"/>
  <c r="C10" i="12"/>
  <c r="E14" i="13" l="1"/>
  <c r="B13" i="13"/>
  <c r="C12" i="13"/>
  <c r="D12" i="13" a="1"/>
  <c r="D12" i="13" s="1"/>
  <c r="A12" i="13" s="1"/>
  <c r="E13" i="12"/>
  <c r="B12" i="12"/>
  <c r="D11" i="12"/>
  <c r="A11" i="12" s="1"/>
  <c r="C11" i="12"/>
  <c r="B14" i="13" l="1"/>
  <c r="E15" i="13"/>
  <c r="D13" i="13" a="1"/>
  <c r="D13" i="13" s="1"/>
  <c r="A13" i="13" s="1"/>
  <c r="C13" i="13"/>
  <c r="D12" i="12"/>
  <c r="A12" i="12" s="1"/>
  <c r="C12" i="12"/>
  <c r="B13" i="12"/>
  <c r="E14" i="12"/>
  <c r="C14" i="13" l="1"/>
  <c r="D14" i="13" a="1"/>
  <c r="D14" i="13" s="1"/>
  <c r="A14" i="13" s="1"/>
  <c r="E16" i="13"/>
  <c r="B15" i="13"/>
  <c r="B14" i="12"/>
  <c r="E15" i="12"/>
  <c r="C13" i="12"/>
  <c r="D13" i="12"/>
  <c r="A13" i="12" s="1"/>
  <c r="B16" i="13" l="1"/>
  <c r="E17" i="13"/>
  <c r="D15" i="13" a="1"/>
  <c r="D15" i="13" s="1"/>
  <c r="A15" i="13" s="1"/>
  <c r="C15" i="13"/>
  <c r="D14" i="12"/>
  <c r="A14" i="12" s="1"/>
  <c r="C14" i="12"/>
  <c r="B15" i="12"/>
  <c r="E16" i="12"/>
  <c r="E18" i="13" l="1"/>
  <c r="B17" i="13"/>
  <c r="C16" i="13"/>
  <c r="D16" i="13" a="1"/>
  <c r="D16" i="13" s="1"/>
  <c r="A16" i="13" s="1"/>
  <c r="E17" i="12"/>
  <c r="B16" i="12"/>
  <c r="D15" i="12"/>
  <c r="A15" i="12" s="1"/>
  <c r="C15" i="12"/>
  <c r="D17" i="13" l="1" a="1"/>
  <c r="D17" i="13" s="1"/>
  <c r="A17" i="13" s="1"/>
  <c r="C17" i="13"/>
  <c r="B18" i="13"/>
  <c r="E19" i="13"/>
  <c r="E18" i="12"/>
  <c r="B17" i="12"/>
  <c r="C16" i="12"/>
  <c r="D16" i="12"/>
  <c r="A16" i="12" s="1"/>
  <c r="E20" i="13" l="1"/>
  <c r="B19" i="13"/>
  <c r="C18" i="13"/>
  <c r="D18" i="13" a="1"/>
  <c r="D18" i="13" s="1"/>
  <c r="A18" i="13" s="1"/>
  <c r="E19" i="12"/>
  <c r="B18" i="12"/>
  <c r="D17" i="12"/>
  <c r="A17" i="12" s="1"/>
  <c r="C17" i="12"/>
  <c r="D19" i="13" l="1" a="1"/>
  <c r="D19" i="13" s="1"/>
  <c r="A19" i="13" s="1"/>
  <c r="C19" i="13"/>
  <c r="B20" i="13"/>
  <c r="E21" i="13"/>
  <c r="E20" i="12"/>
  <c r="B19" i="12"/>
  <c r="D18" i="12"/>
  <c r="A18" i="12" s="1"/>
  <c r="C18" i="12"/>
  <c r="D6" i="18"/>
  <c r="B1" i="18"/>
  <c r="D1" i="18" s="1"/>
  <c r="D6" i="17"/>
  <c r="B1" i="17"/>
  <c r="D1" i="17" s="1"/>
  <c r="E22" i="13" l="1"/>
  <c r="B21" i="13"/>
  <c r="C20" i="13"/>
  <c r="D20" i="13" a="1"/>
  <c r="D20" i="13" s="1"/>
  <c r="A20" i="13" s="1"/>
  <c r="D19" i="12"/>
  <c r="A19" i="12" s="1"/>
  <c r="C19" i="12"/>
  <c r="E21" i="12"/>
  <c r="B20" i="12"/>
  <c r="E16" i="16"/>
  <c r="D21" i="13" l="1" a="1"/>
  <c r="D21" i="13" s="1"/>
  <c r="A21" i="13" s="1"/>
  <c r="C21" i="13"/>
  <c r="B22" i="13"/>
  <c r="E23" i="13"/>
  <c r="C20" i="12"/>
  <c r="D20" i="12"/>
  <c r="A20" i="12" s="1"/>
  <c r="B21" i="12"/>
  <c r="E22" i="12"/>
  <c r="J14" i="16"/>
  <c r="K14" i="16"/>
  <c r="I14" i="16" s="1"/>
  <c r="J15" i="16"/>
  <c r="K15" i="16"/>
  <c r="I15" i="16" s="1"/>
  <c r="E24" i="13" l="1"/>
  <c r="B23" i="13"/>
  <c r="C22" i="13"/>
  <c r="D22" i="13" a="1"/>
  <c r="D22" i="13" s="1"/>
  <c r="A22" i="13" s="1"/>
  <c r="E23" i="12"/>
  <c r="B22" i="12"/>
  <c r="C21" i="12"/>
  <c r="D21" i="12"/>
  <c r="A21" i="12" s="1"/>
  <c r="K8" i="16"/>
  <c r="K9" i="16"/>
  <c r="K10" i="16"/>
  <c r="J8" i="16"/>
  <c r="J9" i="16"/>
  <c r="J10" i="16"/>
  <c r="D23" i="13" l="1" a="1"/>
  <c r="D23" i="13" s="1"/>
  <c r="A23" i="13" s="1"/>
  <c r="C23" i="13"/>
  <c r="B24" i="13"/>
  <c r="E25" i="13"/>
  <c r="C22" i="12"/>
  <c r="D22" i="12"/>
  <c r="A22" i="12" s="1"/>
  <c r="E24" i="12"/>
  <c r="B23" i="12"/>
  <c r="J7" i="16"/>
  <c r="E26" i="13" l="1"/>
  <c r="B25" i="13"/>
  <c r="C24" i="13"/>
  <c r="D24" i="13" a="1"/>
  <c r="D24" i="13" s="1"/>
  <c r="A24" i="13" s="1"/>
  <c r="B24" i="12"/>
  <c r="E25" i="12"/>
  <c r="C23" i="12"/>
  <c r="D23" i="12"/>
  <c r="A23" i="12" s="1"/>
  <c r="K7" i="16"/>
  <c r="D25" i="13" l="1" a="1"/>
  <c r="D25" i="13" s="1"/>
  <c r="A25" i="13" s="1"/>
  <c r="C25" i="13"/>
  <c r="B26" i="13"/>
  <c r="E27" i="13"/>
  <c r="C24" i="12"/>
  <c r="D24" i="12"/>
  <c r="A24" i="12" s="1"/>
  <c r="B25" i="12"/>
  <c r="E26" i="12"/>
  <c r="K13" i="16"/>
  <c r="I13" i="16" s="1"/>
  <c r="J13" i="16"/>
  <c r="E28" i="13" l="1"/>
  <c r="B27" i="13"/>
  <c r="C26" i="13"/>
  <c r="D26" i="13" a="1"/>
  <c r="D26" i="13" s="1"/>
  <c r="A26" i="13" s="1"/>
  <c r="C25" i="12"/>
  <c r="D25" i="12"/>
  <c r="A25" i="12" s="1"/>
  <c r="E27" i="12"/>
  <c r="B26" i="12"/>
  <c r="J12" i="16"/>
  <c r="K12" i="16"/>
  <c r="D27" i="13" l="1" a="1"/>
  <c r="D27" i="13" s="1"/>
  <c r="A27" i="13" s="1"/>
  <c r="C27" i="13"/>
  <c r="B28" i="13"/>
  <c r="E29" i="13"/>
  <c r="E28" i="12"/>
  <c r="B27" i="12"/>
  <c r="D26" i="12"/>
  <c r="A26" i="12" s="1"/>
  <c r="C26" i="12"/>
  <c r="J11" i="16"/>
  <c r="K11" i="16"/>
  <c r="E30" i="13" l="1"/>
  <c r="B29" i="13"/>
  <c r="C28" i="13"/>
  <c r="D28" i="13" a="1"/>
  <c r="D28" i="13" s="1"/>
  <c r="A28" i="13" s="1"/>
  <c r="E29" i="12"/>
  <c r="B28" i="12"/>
  <c r="D27" i="12"/>
  <c r="A27" i="12" s="1"/>
  <c r="C27" i="12"/>
  <c r="J19" i="16"/>
  <c r="F16" i="16" s="1"/>
  <c r="H31" i="15" a="1"/>
  <c r="H31" i="15" s="1"/>
  <c r="B33" i="15" a="1"/>
  <c r="B33" i="15" s="1"/>
  <c r="G31" i="14" a="1"/>
  <c r="G31" i="14" s="1"/>
  <c r="B33" i="14" a="1"/>
  <c r="B33" i="14" s="1"/>
  <c r="D16" i="16"/>
  <c r="D19" i="16" s="1"/>
  <c r="B19" i="16"/>
  <c r="D6" i="16"/>
  <c r="C16" i="1"/>
  <c r="A7" i="16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D29" i="13" l="1" a="1"/>
  <c r="D29" i="13" s="1"/>
  <c r="A29" i="13" s="1"/>
  <c r="C29" i="13"/>
  <c r="B30" i="13"/>
  <c r="E31" i="13"/>
  <c r="E30" i="12"/>
  <c r="B29" i="12"/>
  <c r="D28" i="12"/>
  <c r="A28" i="12" s="1"/>
  <c r="C28" i="12"/>
  <c r="A33" i="15"/>
  <c r="B34" i="15" a="1"/>
  <c r="B34" i="15" s="1"/>
  <c r="H33" i="15" a="1"/>
  <c r="H33" i="15" s="1"/>
  <c r="H29" i="15"/>
  <c r="H45" i="15"/>
  <c r="D20" i="16"/>
  <c r="D1" i="8"/>
  <c r="D1" i="6"/>
  <c r="D1" i="4"/>
  <c r="I16" i="16"/>
  <c r="D21" i="16" s="1"/>
  <c r="G29" i="14"/>
  <c r="G45" i="14"/>
  <c r="A33" i="14"/>
  <c r="G33" i="14" a="1"/>
  <c r="G33" i="14" s="1"/>
  <c r="B34" i="14" a="1"/>
  <c r="B34" i="14" s="1"/>
  <c r="B31" i="13" l="1"/>
  <c r="C30" i="13"/>
  <c r="D30" i="13" a="1"/>
  <c r="D30" i="13" s="1"/>
  <c r="A30" i="13" s="1"/>
  <c r="B30" i="12"/>
  <c r="E31" i="12"/>
  <c r="B31" i="12" s="1"/>
  <c r="D29" i="12"/>
  <c r="A29" i="12" s="1"/>
  <c r="C29" i="12"/>
  <c r="D31" i="12"/>
  <c r="A31" i="12" s="1"/>
  <c r="C31" i="12"/>
  <c r="B49" i="15"/>
  <c r="C49" i="15" s="1"/>
  <c r="B35" i="15" a="1"/>
  <c r="B35" i="15" s="1"/>
  <c r="B35" i="14" a="1"/>
  <c r="B35" i="14" s="1"/>
  <c r="A34" i="15"/>
  <c r="H34" i="15" a="1"/>
  <c r="H34" i="15" s="1"/>
  <c r="B49" i="14"/>
  <c r="C49" i="14" s="1"/>
  <c r="A34" i="14"/>
  <c r="G34" i="14" a="1"/>
  <c r="G34" i="14" s="1"/>
  <c r="D31" i="13" l="1" a="1"/>
  <c r="D31" i="13" s="1"/>
  <c r="A31" i="13" s="1"/>
  <c r="C31" i="13"/>
  <c r="C30" i="12"/>
  <c r="D30" i="12"/>
  <c r="A30" i="12" s="1"/>
  <c r="B36" i="15" a="1"/>
  <c r="B36" i="15" s="1"/>
  <c r="A35" i="15"/>
  <c r="H35" i="15" a="1"/>
  <c r="H35" i="15" s="1"/>
  <c r="A35" i="14"/>
  <c r="B36" i="14" a="1"/>
  <c r="B36" i="14" s="1"/>
  <c r="G35" i="14" a="1"/>
  <c r="G35" i="14" s="1"/>
  <c r="B37" i="15" l="1" a="1"/>
  <c r="B37" i="15" s="1"/>
  <c r="B38" i="15" s="1" a="1"/>
  <c r="B38" i="15" s="1"/>
  <c r="H36" i="15" a="1"/>
  <c r="H36" i="15" s="1"/>
  <c r="A36" i="15"/>
  <c r="G36" i="14" a="1"/>
  <c r="G36" i="14" s="1"/>
  <c r="A36" i="14"/>
  <c r="B37" i="14" a="1"/>
  <c r="B37" i="14" s="1"/>
  <c r="B39" i="15" l="1" a="1"/>
  <c r="B39" i="15" s="1"/>
  <c r="B40" i="15" s="1" a="1"/>
  <c r="B40" i="15" s="1"/>
  <c r="A38" i="15"/>
  <c r="H38" i="15" a="1"/>
  <c r="H38" i="15" s="1"/>
  <c r="B38" i="14" a="1"/>
  <c r="B38" i="14" s="1"/>
  <c r="H37" i="15" a="1"/>
  <c r="H37" i="15" s="1"/>
  <c r="A37" i="15"/>
  <c r="A37" i="14"/>
  <c r="G37" i="14" a="1"/>
  <c r="G37" i="14" s="1"/>
  <c r="A40" i="15" l="1"/>
  <c r="H40" i="15" a="1"/>
  <c r="H40" i="15" s="1"/>
  <c r="H39" i="15" a="1"/>
  <c r="H39" i="15" s="1"/>
  <c r="A39" i="15"/>
  <c r="B41" i="15" a="1"/>
  <c r="B41" i="15" s="1"/>
  <c r="B39" i="14" a="1"/>
  <c r="B39" i="14" s="1"/>
  <c r="A38" i="14"/>
  <c r="G38" i="14" a="1"/>
  <c r="G38" i="14" s="1"/>
  <c r="H41" i="15" l="1" a="1"/>
  <c r="H41" i="15" s="1"/>
  <c r="A41" i="15"/>
  <c r="B42" i="15" a="1"/>
  <c r="B42" i="15" s="1"/>
  <c r="G39" i="14" a="1"/>
  <c r="G39" i="14" s="1"/>
  <c r="B40" i="14" a="1"/>
  <c r="B40" i="14" s="1"/>
  <c r="A39" i="14"/>
  <c r="A42" i="15" l="1"/>
  <c r="H42" i="15" a="1"/>
  <c r="H42" i="15" s="1"/>
  <c r="G40" i="14" a="1"/>
  <c r="G40" i="14" s="1"/>
  <c r="B41" i="14" a="1"/>
  <c r="B41" i="14" s="1"/>
  <c r="A40" i="14"/>
  <c r="A41" i="14" l="1"/>
  <c r="G41" i="14" a="1"/>
  <c r="G41" i="14" s="1"/>
  <c r="B42" i="14" a="1"/>
  <c r="B42" i="14" s="1"/>
  <c r="A42" i="14" l="1"/>
  <c r="G42" i="14" a="1"/>
  <c r="G42" i="14" s="1"/>
  <c r="H46" i="15" l="1"/>
  <c r="D49" i="15" l="1" a="1"/>
  <c r="D49" i="15" s="1"/>
  <c r="A49" i="15" s="1"/>
  <c r="G46" i="14" l="1"/>
  <c r="D49" i="14" l="1"/>
  <c r="A49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<sst xmlns="http://schemas.openxmlformats.org/spreadsheetml/2006/main" count="1257" uniqueCount="727">
  <si>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</si>
  <si>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</si>
  <si>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</si>
  <si>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</si>
  <si>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</si>
  <si>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</si>
  <si>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</si>
  <si>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</si>
  <si>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</si>
  <si>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</si>
  <si>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</si>
  <si>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</si>
  <si>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</si>
  <si>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</si>
  <si>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</si>
  <si>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</si>
  <si>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</si>
  <si>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</si>
  <si>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</si>
  <si>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</si>
  <si>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</si>
  <si>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</si>
  <si>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</si>
  <si>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</si>
  <si>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</si>
  <si>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</si>
  <si>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</si>
  <si>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</si>
  <si>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</si>
  <si>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</si>
  <si>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</si>
  <si>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</si>
  <si>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</si>
  <si>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</si>
  <si>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</si>
  <si>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</si>
  <si>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</si>
  <si>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</si>
  <si>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</si>
  <si>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</si>
  <si>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</si>
  <si>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</si>
  <si>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</si>
  <si>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</si>
  <si>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</si>
  <si>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</si>
  <si>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</si>
  <si>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</si>
  <si>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</si>
  <si>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</si>
  <si>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</si>
  <si>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</si>
  <si>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</si>
  <si>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</si>
  <si>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</si>
  <si>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</si>
  <si>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</si>
  <si>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</si>
  <si>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</si>
  <si>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</si>
  <si>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</si>
  <si>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</si>
  <si>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</si>
  <si>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</si>
  <si>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</si>
  <si>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</si>
  <si>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</si>
  <si>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</si>
  <si>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</si>
  <si>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</si>
  <si>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</si>
  <si>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</si>
  <si>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</si>
  <si>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</si>
  <si>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</si>
  <si>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</si>
  <si>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</si>
  <si>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</si>
  <si>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</si>
  <si>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</si>
  <si>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</si>
  <si>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</si>
  <si>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</si>
  <si>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</si>
  <si>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</si>
  <si>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</si>
  <si>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</si>
  <si>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</si>
  <si>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</si>
  <si>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</si>
  <si>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</si>
  <si>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</si>
  <si>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</si>
  <si>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</si>
  <si>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</si>
  <si>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</si>
  <si>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</si>
  <si>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</si>
  <si>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</si>
  <si>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</si>
  <si>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</si>
  <si>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</si>
  <si>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</si>
  <si>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</si>
  <si>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</si>
  <si>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</si>
  <si>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</si>
  <si>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</si>
  <si>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</si>
  <si>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</si>
  <si>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</si>
  <si>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</si>
  <si>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</si>
  <si>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</si>
  <si>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</si>
  <si>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</si>
  <si>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</si>
  <si>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</si>
  <si>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</si>
  <si>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</si>
  <si>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</si>
  <si>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</si>
  <si>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</si>
  <si>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</si>
  <si>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</si>
  <si>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</si>
  <si>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</si>
  <si>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</si>
  <si>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</si>
  <si>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</si>
  <si>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</si>
  <si>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</si>
  <si>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</si>
  <si>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</si>
  <si>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</si>
  <si>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</si>
  <si>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</si>
  <si>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</si>
  <si>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</si>
  <si>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</si>
  <si>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</si>
  <si>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</si>
  <si>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</si>
  <si>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</si>
  <si>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</si>
  <si>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</si>
  <si>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</si>
  <si>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</si>
  <si>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</si>
  <si>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</si>
  <si>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</si>
  <si>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</si>
  <si>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</si>
  <si>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</si>
  <si>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</si>
  <si>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</si>
  <si>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</si>
  <si>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</si>
  <si>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</si>
  <si>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</si>
  <si>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</si>
  <si>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</si>
  <si>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</si>
  <si>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</si>
  <si>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</si>
  <si>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</si>
  <si>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</si>
  <si>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</si>
  <si>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</si>
  <si>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</si>
  <si>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</si>
  <si>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</si>
  <si>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</si>
  <si>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</si>
  <si>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</si>
  <si>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</si>
  <si>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</si>
  <si>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</si>
  <si>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</si>
  <si>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</si>
  <si>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</si>
  <si>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</si>
  <si>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</si>
  <si>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</si>
  <si>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</si>
  <si>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</si>
  <si>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</si>
  <si>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</si>
  <si>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</si>
  <si>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</si>
  <si>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</si>
  <si>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</si>
  <si>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</si>
  <si>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</si>
  <si>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</si>
  <si>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</si>
  <si>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</si>
  <si>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</si>
  <si>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</si>
  <si>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</si>
  <si>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</si>
  <si>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</si>
  <si>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</si>
  <si>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</si>
  <si>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</si>
  <si>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</si>
  <si>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</si>
  <si>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</si>
  <si>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</si>
  <si>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</si>
  <si>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</si>
  <si>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</si>
  <si>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</si>
  <si>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</si>
  <si>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</si>
  <si>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</si>
  <si>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</si>
  <si>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</si>
  <si>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</si>
  <si>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</si>
  <si>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</si>
  <si>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</si>
  <si>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</si>
  <si>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</si>
  <si>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</si>
  <si>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</si>
  <si>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</si>
  <si>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</si>
  <si>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</si>
  <si>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</si>
  <si>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</si>
  <si>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</si>
  <si>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</si>
  <si>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</si>
  <si>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</si>
  <si>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</si>
  <si>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</si>
  <si>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</si>
  <si>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</si>
  <si>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</si>
  <si>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</si>
  <si>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</si>
  <si>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</si>
  <si>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</si>
  <si>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</si>
  <si>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</si>
  <si>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</si>
  <si>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</si>
  <si>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</si>
  <si>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</si>
  <si>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</si>
  <si>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</si>
  <si>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</si>
  <si>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</si>
  <si>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</si>
  <si>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</si>
  <si>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</si>
  <si>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</si>
  <si>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</si>
  <si>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</si>
  <si>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</si>
  <si>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</si>
  <si>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</si>
  <si>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</si>
  <si>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</si>
  <si>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</si>
  <si>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</si>
  <si>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</si>
  <si>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</si>
  <si>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</si>
  <si>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</si>
  <si>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</si>
  <si>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</si>
  <si>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</si>
  <si>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</si>
  <si>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</si>
  <si>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</si>
  <si>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</si>
  <si>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</si>
  <si>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</si>
  <si>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</si>
  <si>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</si>
  <si>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</si>
  <si>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</si>
  <si>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</si>
  <si>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</si>
  <si>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</si>
  <si>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</si>
  <si>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</si>
  <si>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</si>
  <si>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</si>
  <si>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</si>
  <si>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</si>
  <si>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</si>
  <si>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</si>
  <si>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</si>
  <si>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</si>
  <si>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</si>
  <si>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</si>
  <si>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</si>
  <si>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</si>
  <si>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</si>
  <si>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</si>
  <si>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</si>
  <si>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</si>
  <si>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</si>
  <si>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</si>
  <si>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</si>
  <si>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</si>
  <si>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</si>
  <si>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</si>
  <si>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</si>
  <si>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</si>
  <si>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</si>
  <si>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</si>
  <si>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</si>
  <si>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</si>
  <si>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</si>
  <si>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</si>
  <si>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</si>
  <si>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</si>
  <si>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</si>
  <si>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</si>
  <si>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</si>
  <si>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</si>
  <si>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</si>
  <si>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</si>
  <si>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</si>
  <si>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</si>
  <si>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</si>
  <si>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</si>
  <si>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</si>
  <si>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</si>
  <si>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</si>
  <si>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</si>
  <si>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</si>
  <si>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</si>
  <si>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</si>
  <si>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</si>
  <si>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</si>
  <si>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</si>
  <si>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</si>
  <si>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</si>
  <si>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</si>
  <si>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</si>
  <si>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</si>
  <si>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</si>
  <si>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</si>
  <si>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</si>
  <si>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</si>
  <si>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</si>
  <si>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</si>
  <si>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</si>
  <si>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</si>
  <si>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</si>
  <si>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</si>
  <si>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</si>
  <si>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</si>
  <si>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</si>
  <si>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</si>
  <si>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</si>
  <si>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</si>
  <si>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</si>
  <si>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</si>
  <si>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</si>
  <si>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</si>
  <si>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</si>
  <si>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</si>
  <si>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</si>
  <si>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</si>
  <si>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</si>
  <si>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</si>
  <si>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</si>
  <si>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</si>
  <si>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</si>
  <si>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</si>
  <si>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</si>
  <si>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</si>
  <si>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</si>
  <si>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</si>
  <si>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</si>
  <si>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</si>
  <si>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</si>
  <si>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</si>
  <si>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</si>
  <si>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</si>
  <si>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</si>
  <si>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</si>
  <si>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</si>
  <si>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</si>
  <si>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</si>
  <si>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</si>
  <si>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</si>
  <si>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</si>
  <si>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</si>
  <si>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</si>
  <si>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</si>
  <si>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</si>
  <si>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</si>
  <si>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</si>
  <si>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</si>
  <si>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</si>
  <si>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</si>
  <si>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</si>
  <si>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</si>
  <si>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</si>
  <si>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</si>
  <si>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</si>
  <si>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</si>
  <si>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</si>
  <si>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</si>
  <si>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</si>
  <si>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</si>
  <si>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</si>
  <si>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</si>
  <si>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</si>
  <si>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</si>
  <si>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</si>
  <si>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</si>
  <si>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</si>
  <si>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</si>
  <si>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</si>
  <si>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</si>
  <si>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</si>
  <si>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</si>
  <si>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</si>
  <si>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</si>
  <si>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</si>
  <si>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</si>
  <si>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</si>
  <si>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</si>
  <si>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</si>
  <si>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</si>
  <si>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</si>
  <si>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</si>
  <si>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</si>
  <si>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</si>
  <si>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</si>
  <si>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</si>
  <si>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</si>
  <si>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</si>
  <si>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</si>
  <si>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</si>
  <si>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</si>
  <si>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</si>
  <si>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</si>
  <si>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</si>
  <si>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</si>
  <si>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</si>
  <si>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</si>
  <si>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</si>
  <si>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</si>
  <si>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</si>
  <si>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</si>
  <si>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</si>
  <si>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</si>
  <si>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</si>
  <si>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</si>
  <si>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</si>
  <si>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</si>
  <si>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</si>
  <si>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</si>
  <si>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</si>
  <si>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</si>
  <si>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</si>
  <si>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</si>
  <si>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</si>
  <si>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</si>
  <si>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</si>
  <si>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</si>
  <si>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</si>
  <si>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</si>
  <si>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</si>
  <si>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</si>
  <si>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</si>
  <si>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</si>
  <si>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</si>
  <si>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</si>
  <si>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</si>
  <si>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</si>
  <si>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</si>
  <si>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</si>
  <si>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</si>
  <si>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</si>
  <si>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</si>
  <si>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</si>
  <si>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</si>
  <si>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</si>
  <si>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</si>
  <si>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</si>
  <si>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</si>
  <si>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</si>
  <si>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</si>
  <si>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</si>
  <si>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</si>
  <si>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</si>
  <si>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</si>
  <si>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</si>
  <si>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</si>
  <si>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</si>
  <si>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</si>
  <si>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</si>
  <si>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</si>
  <si>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</si>
  <si>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</si>
  <si>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</si>
  <si>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</si>
  <si>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</si>
  <si>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</si>
  <si>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</si>
  <si>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</si>
  <si>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</si>
  <si>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</si>
  <si>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</si>
  <si>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</si>
  <si>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</si>
  <si>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</si>
  <si>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</si>
  <si>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</si>
  <si>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</si>
  <si>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</si>
  <si>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</si>
  <si>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</si>
  <si>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</si>
  <si>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</si>
  <si>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</si>
  <si>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</si>
  <si>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</si>
  <si>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</si>
  <si>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</si>
  <si>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</si>
  <si>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</si>
  <si>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</si>
  <si>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</si>
  <si>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</si>
  <si>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</si>
  <si>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</si>
  <si>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</si>
  <si>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</si>
  <si>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</si>
  <si>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</si>
  <si>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</si>
  <si>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</si>
  <si>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</si>
  <si>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</si>
  <si>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</si>
  <si>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</si>
  <si>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</si>
  <si>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</si>
  <si>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</si>
  <si>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</si>
  <si>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</si>
  <si>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</si>
  <si>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</si>
  <si>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</si>
  <si>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</si>
  <si>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</si>
  <si>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</si>
  <si>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</si>
  <si>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</si>
  <si>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</si>
  <si>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</si>
  <si>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</si>
  <si>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</si>
  <si>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</si>
  <si>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</si>
  <si>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</si>
  <si>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</si>
  <si>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</si>
  <si>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</si>
  <si>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</si>
  <si>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</si>
  <si>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</si>
  <si>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</si>
  <si>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</si>
  <si>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</si>
  <si>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</si>
  <si>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</si>
  <si>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</si>
  <si>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</si>
  <si>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</si>
  <si>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</si>
  <si>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</si>
  <si>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</si>
  <si>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Data Point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</si>
  <si>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</si>
  <si>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</si>
  <si>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</si>
  <si>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</si>
  <si>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</si>
  <si>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</si>
  <si>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</si>
  <si>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</si>
  <si>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</si>
  <si>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</si>
  <si>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</si>
  <si>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</si>
  <si>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</si>
  <si>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</si>
  <si>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</si>
  <si>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</si>
  <si>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</si>
  <si>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</si>
  <si>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</si>
  <si>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</si>
  <si>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</si>
  <si>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</si>
  <si>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</si>
  <si>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</si>
  <si>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</si>
  <si>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</si>
  <si>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</si>
  <si>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</si>
  <si>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</si>
  <si>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</si>
  <si>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</si>
  <si>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</si>
  <si>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</si>
  <si>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</si>
  <si>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</si>
  <si>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</si>
  <si>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</si>
  <si>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</si>
  <si>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</si>
  <si>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</si>
  <si>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</si>
  <si>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</si>
  <si>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</si>
  <si>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</si>
  <si>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</si>
  <si>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</si>
  <si>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</si>
  <si>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</si>
  <si>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</si>
  <si>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</si>
  <si>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</si>
  <si>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</si>
  <si>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</si>
  <si>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</si>
  <si>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</si>
  <si>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</si>
  <si>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</si>
  <si>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</si>
  <si>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</si>
  <si>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</si>
  <si>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</si>
  <si>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</si>
  <si>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</si>
  <si>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</si>
  <si>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</si>
  <si>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</si>
  <si>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</si>
  <si>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</si>
  <si>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</si>
  <si>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</si>
  <si>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</si>
  <si>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</si>
  <si>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</si>
  <si>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</si>
  <si>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</si>
  <si>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</si>
  <si>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</si>
  <si>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</si>
  <si>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</si>
  <si>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</si>
  <si>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</si>
  <si>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</si>
  <si>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</si>
  <si>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</si>
  <si>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</si>
  <si>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</si>
  <si>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</si>
  <si>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</si>
  <si>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</si>
  <si>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</si>
  <si>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</si>
  <si>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</si>
  <si>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</si>
  <si>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</si>
  <si>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</si>
  <si>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</si>
  <si>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</si>
  <si>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</si>
  <si>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</si>
  <si>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</si>
  <si>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</si>
  <si>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</si>
  <si>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</si>
  <si>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</si>
  <si>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</si>
  <si>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</si>
  <si>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</si>
  <si>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</si>
  <si>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</si>
  <si>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</si>
  <si>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</si>
  <si>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</si>
  <si>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</si>
  <si>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</si>
  <si>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</si>
  <si>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</si>
  <si>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</si>
  <si>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</si>
  <si>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</si>
  <si>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</si>
  <si>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</si>
  <si>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</si>
  <si>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</si>
  <si>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</si>
  <si>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SI units</t>
  </si>
  <si>
    <t>Energy Meter via upload</t>
  </si>
  <si>
    <t>Room1</t>
  </si>
  <si>
    <t>Room2</t>
  </si>
  <si>
    <t>Room3</t>
  </si>
  <si>
    <t>Room4</t>
  </si>
  <si>
    <t>Room5</t>
  </si>
  <si>
    <t>Goa</t>
  </si>
  <si>
    <t>Hyd</t>
  </si>
  <si>
    <t>Delhi</t>
  </si>
  <si>
    <t>Banglore</t>
  </si>
  <si>
    <t>Chennai</t>
  </si>
  <si>
    <t>Water meter via upload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</si>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</sst>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0" fontId="4" fillId="3" borderId="52" xfId="8" applyNumberFormat="1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4" fontId="4" fillId="0" borderId="64" xfId="8" applyNumberFormat="1" applyFont="1" applyFill="1" applyBorder="1" applyAlignment="1" applyProtection="1">
      <alignment horizontal="left" vertical="center" indent="1"/>
    </xf>
    <xf numFmtId="3" fontId="4" fillId="0" borderId="64" xfId="8" applyNumberFormat="1" applyFont="1" applyFill="1" applyBorder="1" applyAlignment="1" applyProtection="1">
      <alignment horizontal="left" vertical="center" indent="1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16</xdr:row>
          <xdr:rowOff>133350</xdr:rowOff>
        </xdr:from>
        <xdr:to>
          <xdr:col>1</xdr:col>
          <xdr:colOff>1400175</xdr:colOff>
          <xdr:row>16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16</xdr:row>
          <xdr:rowOff>133350</xdr:rowOff>
        </xdr:from>
        <xdr:to>
          <xdr:col>2</xdr:col>
          <xdr:colOff>295275</xdr:colOff>
          <xdr:row>16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B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zoomScale="90" zoomScaleNormal="90" workbookViewId="0">
      <selection activeCell="E12" sqref="E12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53" t="s">
        <v>708</v>
      </c>
      <c r="D3" s="254"/>
      <c r="E3" s="254"/>
      <c r="F3" s="25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3" t="s">
        <v>625</v>
      </c>
      <c r="D8" s="194"/>
      <c r="E8" s="195"/>
      <c r="F8" s="196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7" t="s">
        <v>571</v>
      </c>
      <c r="D9" s="194"/>
      <c r="E9" s="195"/>
      <c r="F9" s="198" t="s">
        <v>709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9" t="s">
        <v>626</v>
      </c>
      <c r="D10" s="199"/>
      <c r="E10" s="194"/>
      <c r="F10" s="200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630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694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2"/>
      <c r="C15" s="251" t="s">
        <v>494</v>
      </c>
      <c r="D15" s="251"/>
      <c r="E15" s="251"/>
      <c r="F15" s="211">
        <v>2017</v>
      </c>
      <c r="G15" s="9"/>
      <c r="H15" s="9"/>
      <c r="I15" s="10"/>
      <c r="J15" s="9"/>
      <c r="K15" s="213"/>
      <c r="L15" s="127"/>
      <c r="M15" s="127"/>
      <c r="N15" s="127"/>
    </row>
    <row r="16" spans="2:14" x14ac:dyDescent="0.25">
      <c r="B16" s="212"/>
      <c r="C16" s="251" t="str">
        <f>CONCATENATE("Gross 
Floor Area 
",IF(Setup!$F$9="SI units","(sq m)","(sq ft)"))</f>
        <v>Gross 
Floor Area 
(sq m)</v>
      </c>
      <c r="D16" s="251"/>
      <c r="E16" s="251"/>
      <c r="F16" s="249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2"/>
      <c r="C17" s="251" t="s">
        <v>495</v>
      </c>
      <c r="D17" s="251"/>
      <c r="E17" s="251"/>
      <c r="F17" s="250">
        <v>30</v>
      </c>
      <c r="G17" s="11"/>
      <c r="H17" s="11"/>
      <c r="I17" s="12"/>
      <c r="J17" s="11"/>
      <c r="K17" s="213"/>
      <c r="L17" s="127"/>
      <c r="M17" s="127"/>
      <c r="N17" s="127"/>
    </row>
    <row r="18" spans="2:19" x14ac:dyDescent="0.25">
      <c r="B18" s="212"/>
      <c r="C18" s="251" t="s">
        <v>496</v>
      </c>
      <c r="D18" s="251"/>
      <c r="E18" s="251"/>
      <c r="F18" s="250">
        <v>9</v>
      </c>
      <c r="G18" s="11"/>
      <c r="H18" s="11"/>
      <c r="I18" s="12"/>
      <c r="J18" s="11"/>
      <c r="K18" s="213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4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627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1"/>
      <c r="D24" s="201"/>
      <c r="E24" s="201"/>
      <c r="F24" s="201"/>
      <c r="G24" s="202"/>
      <c r="H24" s="202"/>
      <c r="I24" s="203"/>
      <c r="J24" s="202"/>
      <c r="K24" s="140"/>
    </row>
    <row r="25" spans="2:19" ht="21" customHeight="1" x14ac:dyDescent="0.25">
      <c r="B25" s="139"/>
      <c r="C25" s="204" t="s">
        <v>629</v>
      </c>
      <c r="D25" s="205"/>
      <c r="E25" s="201"/>
      <c r="F25" s="201"/>
      <c r="G25" s="206"/>
      <c r="H25" s="206"/>
      <c r="I25" s="206"/>
      <c r="J25" s="206"/>
      <c r="K25" s="140"/>
    </row>
    <row r="26" spans="2:19" ht="30.6" customHeight="1" x14ac:dyDescent="0.25">
      <c r="B26" s="139"/>
      <c r="C26" s="252" t="s">
        <v>575</v>
      </c>
      <c r="D26" s="252"/>
      <c r="E26" s="252"/>
      <c r="F26" s="252"/>
      <c r="G26" s="206"/>
      <c r="H26" s="206"/>
      <c r="I26" s="206"/>
      <c r="J26" s="206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7" t="s">
        <v>610</v>
      </c>
    </row>
    <row r="27" spans="2:19" ht="11.25" customHeight="1" x14ac:dyDescent="0.25">
      <c r="B27" s="208"/>
      <c r="C27" s="207"/>
      <c r="D27" s="207"/>
      <c r="E27" s="207"/>
      <c r="F27" s="207"/>
      <c r="G27" s="206"/>
      <c r="H27" s="206"/>
      <c r="I27" s="206"/>
      <c r="J27" s="206"/>
      <c r="K27" s="210"/>
      <c r="L27" s="209" t="s">
        <v>8</v>
      </c>
      <c r="M27" s="130" t="s">
        <v>9</v>
      </c>
      <c r="O27" s="128" t="s">
        <v>546</v>
      </c>
      <c r="Q27" s="128" t="s">
        <v>546</v>
      </c>
      <c r="S27" s="218" t="s">
        <v>638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8" t="s">
        <v>639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8" t="s">
        <v>640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8" t="s">
        <v>641</v>
      </c>
    </row>
    <row r="31" spans="2:19" x14ac:dyDescent="0.25">
      <c r="F31" s="129"/>
      <c r="K31" s="141" t="s">
        <v>628</v>
      </c>
      <c r="L31" s="130" t="s">
        <v>16</v>
      </c>
      <c r="M31" s="130" t="s">
        <v>17</v>
      </c>
      <c r="O31" s="128" t="s">
        <v>562</v>
      </c>
      <c r="S31" s="218" t="s">
        <v>642</v>
      </c>
    </row>
    <row r="32" spans="2:19" x14ac:dyDescent="0.25">
      <c r="K32" s="141" t="s">
        <v>633</v>
      </c>
      <c r="L32" s="130" t="s">
        <v>18</v>
      </c>
      <c r="M32" s="130" t="s">
        <v>19</v>
      </c>
      <c r="S32" s="218" t="s">
        <v>643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8" t="s">
        <v>644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8" t="s">
        <v>645</v>
      </c>
    </row>
    <row r="35" spans="11:19" x14ac:dyDescent="0.25">
      <c r="L35" s="130" t="s">
        <v>24</v>
      </c>
      <c r="M35" s="130" t="s">
        <v>25</v>
      </c>
      <c r="S35" s="218" t="s">
        <v>646</v>
      </c>
    </row>
    <row r="36" spans="11:19" x14ac:dyDescent="0.25">
      <c r="L36" s="130" t="s">
        <v>26</v>
      </c>
      <c r="M36" s="130" t="s">
        <v>27</v>
      </c>
      <c r="S36" s="218" t="s">
        <v>647</v>
      </c>
    </row>
    <row r="37" spans="11:19" x14ac:dyDescent="0.25">
      <c r="L37" s="130" t="s">
        <v>28</v>
      </c>
      <c r="M37" s="130" t="s">
        <v>29</v>
      </c>
      <c r="S37" s="218" t="s">
        <v>648</v>
      </c>
    </row>
    <row r="38" spans="11:19" x14ac:dyDescent="0.25">
      <c r="L38" s="130" t="s">
        <v>30</v>
      </c>
      <c r="M38" s="130" t="s">
        <v>31</v>
      </c>
      <c r="S38" s="218" t="s">
        <v>649</v>
      </c>
    </row>
    <row r="39" spans="11:19" x14ac:dyDescent="0.25">
      <c r="L39" s="130" t="s">
        <v>32</v>
      </c>
      <c r="M39" s="130" t="s">
        <v>33</v>
      </c>
      <c r="S39" s="218" t="s">
        <v>650</v>
      </c>
    </row>
    <row r="40" spans="11:19" x14ac:dyDescent="0.25">
      <c r="L40" s="130" t="s">
        <v>34</v>
      </c>
      <c r="M40" s="130" t="s">
        <v>35</v>
      </c>
      <c r="S40" s="218" t="s">
        <v>651</v>
      </c>
    </row>
    <row r="41" spans="11:19" x14ac:dyDescent="0.25">
      <c r="L41" s="130" t="s">
        <v>36</v>
      </c>
      <c r="M41" s="130" t="s">
        <v>37</v>
      </c>
      <c r="S41" s="218" t="s">
        <v>652</v>
      </c>
    </row>
    <row r="42" spans="11:19" x14ac:dyDescent="0.25">
      <c r="L42" s="130" t="s">
        <v>38</v>
      </c>
      <c r="M42" s="130" t="s">
        <v>39</v>
      </c>
      <c r="S42" s="218" t="s">
        <v>653</v>
      </c>
    </row>
    <row r="43" spans="11:19" x14ac:dyDescent="0.25">
      <c r="L43" s="130" t="s">
        <v>40</v>
      </c>
      <c r="M43" s="130" t="s">
        <v>41</v>
      </c>
      <c r="S43" s="218" t="s">
        <v>654</v>
      </c>
    </row>
    <row r="44" spans="11:19" x14ac:dyDescent="0.25">
      <c r="L44" s="130" t="s">
        <v>42</v>
      </c>
      <c r="M44" s="130" t="s">
        <v>43</v>
      </c>
      <c r="S44" s="218" t="s">
        <v>655</v>
      </c>
    </row>
    <row r="45" spans="11:19" x14ac:dyDescent="0.25">
      <c r="L45" s="130" t="s">
        <v>44</v>
      </c>
      <c r="M45" s="130" t="s">
        <v>45</v>
      </c>
      <c r="S45" s="218" t="s">
        <v>656</v>
      </c>
    </row>
    <row r="46" spans="11:19" x14ac:dyDescent="0.25">
      <c r="L46" s="130" t="s">
        <v>46</v>
      </c>
      <c r="M46" s="130" t="s">
        <v>47</v>
      </c>
      <c r="S46" s="218" t="s">
        <v>657</v>
      </c>
    </row>
    <row r="47" spans="11:19" x14ac:dyDescent="0.25">
      <c r="L47" s="130" t="s">
        <v>48</v>
      </c>
      <c r="M47" s="130" t="s">
        <v>49</v>
      </c>
      <c r="S47" s="218" t="s">
        <v>658</v>
      </c>
    </row>
    <row r="48" spans="11:19" x14ac:dyDescent="0.25">
      <c r="L48" s="130" t="s">
        <v>50</v>
      </c>
      <c r="M48" s="130" t="s">
        <v>51</v>
      </c>
      <c r="S48" s="218" t="s">
        <v>659</v>
      </c>
    </row>
    <row r="49" spans="12:19" x14ac:dyDescent="0.25">
      <c r="L49" s="130" t="s">
        <v>52</v>
      </c>
      <c r="M49" s="130" t="s">
        <v>53</v>
      </c>
      <c r="S49" s="218" t="s">
        <v>660</v>
      </c>
    </row>
    <row r="50" spans="12:19" x14ac:dyDescent="0.25">
      <c r="L50" s="130" t="s">
        <v>54</v>
      </c>
      <c r="M50" s="130" t="s">
        <v>55</v>
      </c>
      <c r="S50" s="218" t="s">
        <v>661</v>
      </c>
    </row>
    <row r="51" spans="12:19" x14ac:dyDescent="0.25">
      <c r="L51" s="130" t="s">
        <v>56</v>
      </c>
      <c r="M51" s="130" t="s">
        <v>57</v>
      </c>
      <c r="S51" s="218" t="s">
        <v>662</v>
      </c>
    </row>
    <row r="52" spans="12:19" x14ac:dyDescent="0.25">
      <c r="L52" s="130" t="s">
        <v>58</v>
      </c>
      <c r="M52" s="130" t="s">
        <v>59</v>
      </c>
      <c r="S52" s="218" t="s">
        <v>663</v>
      </c>
    </row>
    <row r="53" spans="12:19" x14ac:dyDescent="0.25">
      <c r="L53" s="130" t="s">
        <v>60</v>
      </c>
      <c r="M53" s="130" t="s">
        <v>61</v>
      </c>
      <c r="S53" s="218" t="s">
        <v>664</v>
      </c>
    </row>
    <row r="54" spans="12:19" x14ac:dyDescent="0.25">
      <c r="L54" s="130" t="s">
        <v>62</v>
      </c>
      <c r="M54" s="130" t="s">
        <v>63</v>
      </c>
      <c r="S54" s="218" t="s">
        <v>665</v>
      </c>
    </row>
    <row r="55" spans="12:19" x14ac:dyDescent="0.25">
      <c r="L55" s="130" t="s">
        <v>64</v>
      </c>
      <c r="M55" s="130" t="s">
        <v>65</v>
      </c>
      <c r="S55" s="218" t="s">
        <v>666</v>
      </c>
    </row>
    <row r="56" spans="12:19" x14ac:dyDescent="0.25">
      <c r="L56" s="130" t="s">
        <v>66</v>
      </c>
      <c r="M56" s="130" t="s">
        <v>67</v>
      </c>
      <c r="S56" s="218" t="s">
        <v>667</v>
      </c>
    </row>
    <row r="57" spans="12:19" x14ac:dyDescent="0.25">
      <c r="L57" s="130" t="s">
        <v>68</v>
      </c>
      <c r="M57" s="130" t="s">
        <v>69</v>
      </c>
      <c r="S57" s="218" t="s">
        <v>668</v>
      </c>
    </row>
    <row r="58" spans="12:19" x14ac:dyDescent="0.25">
      <c r="L58" s="130" t="s">
        <v>70</v>
      </c>
      <c r="M58" s="130" t="s">
        <v>71</v>
      </c>
      <c r="S58" s="218" t="s">
        <v>669</v>
      </c>
    </row>
    <row r="59" spans="12:19" x14ac:dyDescent="0.25">
      <c r="L59" s="130" t="s">
        <v>72</v>
      </c>
      <c r="M59" s="130" t="s">
        <v>73</v>
      </c>
      <c r="S59" s="218" t="s">
        <v>670</v>
      </c>
    </row>
    <row r="60" spans="12:19" x14ac:dyDescent="0.25">
      <c r="L60" s="130" t="s">
        <v>74</v>
      </c>
      <c r="M60" s="130" t="s">
        <v>75</v>
      </c>
      <c r="S60" s="218" t="s">
        <v>671</v>
      </c>
    </row>
    <row r="61" spans="12:19" x14ac:dyDescent="0.25">
      <c r="L61" s="130" t="s">
        <v>76</v>
      </c>
      <c r="M61" s="130" t="s">
        <v>77</v>
      </c>
      <c r="S61" s="218" t="s">
        <v>672</v>
      </c>
    </row>
    <row r="62" spans="12:19" x14ac:dyDescent="0.25">
      <c r="L62" s="130" t="s">
        <v>78</v>
      </c>
      <c r="M62" s="130" t="s">
        <v>79</v>
      </c>
      <c r="S62" s="218" t="s">
        <v>673</v>
      </c>
    </row>
    <row r="63" spans="12:19" x14ac:dyDescent="0.25">
      <c r="L63" s="130" t="s">
        <v>80</v>
      </c>
      <c r="M63" s="130" t="s">
        <v>81</v>
      </c>
      <c r="S63" s="218" t="s">
        <v>674</v>
      </c>
    </row>
    <row r="64" spans="12:19" x14ac:dyDescent="0.25">
      <c r="L64" s="130" t="s">
        <v>82</v>
      </c>
      <c r="M64" s="130" t="s">
        <v>83</v>
      </c>
      <c r="S64" s="218" t="s">
        <v>675</v>
      </c>
    </row>
    <row r="65" spans="12:19" x14ac:dyDescent="0.25">
      <c r="L65" s="130" t="s">
        <v>84</v>
      </c>
      <c r="M65" s="130" t="s">
        <v>85</v>
      </c>
      <c r="S65" s="218" t="s">
        <v>676</v>
      </c>
    </row>
    <row r="66" spans="12:19" x14ac:dyDescent="0.25">
      <c r="L66" s="130" t="s">
        <v>86</v>
      </c>
      <c r="M66" s="130" t="s">
        <v>87</v>
      </c>
      <c r="S66" s="218" t="s">
        <v>677</v>
      </c>
    </row>
    <row r="67" spans="12:19" x14ac:dyDescent="0.25">
      <c r="L67" s="130" t="s">
        <v>88</v>
      </c>
      <c r="M67" s="130" t="s">
        <v>89</v>
      </c>
      <c r="S67" s="218" t="s">
        <v>678</v>
      </c>
    </row>
    <row r="68" spans="12:19" x14ac:dyDescent="0.25">
      <c r="L68" s="130" t="s">
        <v>90</v>
      </c>
      <c r="M68" s="130" t="s">
        <v>91</v>
      </c>
      <c r="S68" s="218" t="s">
        <v>679</v>
      </c>
    </row>
    <row r="69" spans="12:19" x14ac:dyDescent="0.25">
      <c r="L69" s="130" t="s">
        <v>92</v>
      </c>
      <c r="M69" s="130" t="s">
        <v>93</v>
      </c>
      <c r="S69" s="218" t="s">
        <v>680</v>
      </c>
    </row>
    <row r="70" spans="12:19" x14ac:dyDescent="0.25">
      <c r="L70" s="130" t="s">
        <v>94</v>
      </c>
      <c r="M70" s="130" t="s">
        <v>95</v>
      </c>
      <c r="S70" s="218" t="s">
        <v>681</v>
      </c>
    </row>
    <row r="71" spans="12:19" x14ac:dyDescent="0.25">
      <c r="L71" s="130" t="s">
        <v>96</v>
      </c>
      <c r="M71" s="130" t="s">
        <v>97</v>
      </c>
      <c r="S71" s="218" t="s">
        <v>682</v>
      </c>
    </row>
    <row r="72" spans="12:19" x14ac:dyDescent="0.25">
      <c r="L72" s="130" t="s">
        <v>98</v>
      </c>
      <c r="M72" s="130" t="s">
        <v>99</v>
      </c>
      <c r="S72" s="218" t="s">
        <v>683</v>
      </c>
    </row>
    <row r="73" spans="12:19" x14ac:dyDescent="0.25">
      <c r="L73" s="130" t="s">
        <v>100</v>
      </c>
      <c r="M73" s="130" t="s">
        <v>101</v>
      </c>
      <c r="S73" s="218" t="s">
        <v>684</v>
      </c>
    </row>
    <row r="74" spans="12:19" x14ac:dyDescent="0.25">
      <c r="L74" s="130" t="s">
        <v>102</v>
      </c>
      <c r="M74" s="130" t="s">
        <v>103</v>
      </c>
      <c r="S74" s="218" t="s">
        <v>685</v>
      </c>
    </row>
    <row r="75" spans="12:19" x14ac:dyDescent="0.25">
      <c r="L75" s="130" t="s">
        <v>104</v>
      </c>
      <c r="M75" s="130" t="s">
        <v>105</v>
      </c>
      <c r="S75" s="218" t="s">
        <v>686</v>
      </c>
    </row>
    <row r="76" spans="12:19" x14ac:dyDescent="0.25">
      <c r="L76" s="130" t="s">
        <v>106</v>
      </c>
      <c r="M76" s="130" t="s">
        <v>107</v>
      </c>
      <c r="S76" s="218" t="s">
        <v>687</v>
      </c>
    </row>
    <row r="77" spans="12:19" x14ac:dyDescent="0.25">
      <c r="L77" s="130" t="s">
        <v>108</v>
      </c>
      <c r="M77" s="130" t="s">
        <v>109</v>
      </c>
      <c r="S77" s="218" t="s">
        <v>688</v>
      </c>
    </row>
    <row r="78" spans="12:19" x14ac:dyDescent="0.25">
      <c r="L78" s="130" t="s">
        <v>110</v>
      </c>
      <c r="M78" s="130" t="s">
        <v>111</v>
      </c>
      <c r="S78" s="218" t="s">
        <v>689</v>
      </c>
    </row>
    <row r="79" spans="12:19" x14ac:dyDescent="0.25">
      <c r="L79" s="130" t="s">
        <v>112</v>
      </c>
      <c r="M79" s="130" t="s">
        <v>113</v>
      </c>
      <c r="S79" s="218" t="s">
        <v>690</v>
      </c>
    </row>
    <row r="80" spans="12:19" x14ac:dyDescent="0.25">
      <c r="L80" s="130" t="s">
        <v>114</v>
      </c>
      <c r="M80" s="130" t="s">
        <v>115</v>
      </c>
      <c r="S80" s="218" t="s">
        <v>691</v>
      </c>
    </row>
    <row r="81" spans="12:19" x14ac:dyDescent="0.25">
      <c r="L81" s="130" t="s">
        <v>116</v>
      </c>
      <c r="M81" s="130" t="s">
        <v>117</v>
      </c>
      <c r="S81" s="218" t="s">
        <v>692</v>
      </c>
    </row>
    <row r="82" spans="12:19" x14ac:dyDescent="0.25">
      <c r="L82" s="130" t="s">
        <v>118</v>
      </c>
      <c r="M82" s="130" t="s">
        <v>119</v>
      </c>
      <c r="S82" s="218" t="s">
        <v>693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604</v>
      </c>
      <c r="B1" s="6" t="str">
        <f ca="1">MID(CELL("filename",A1),FIND("]",CELL("filename",A1))+1,256)</f>
        <v>base_w</v>
      </c>
      <c r="C1" s="1"/>
      <c r="D1" s="242" t="str">
        <f ca="1">B1</f>
        <v>base_w</v>
      </c>
      <c r="E1" s="1"/>
    </row>
    <row r="2" spans="1:9" x14ac:dyDescent="0.25">
      <c r="A2" s="6" t="s">
        <v>604</v>
      </c>
      <c r="B2" s="232" t="s">
        <v>570</v>
      </c>
      <c r="C2" s="240"/>
      <c r="D2" s="233"/>
      <c r="E2" s="1"/>
    </row>
    <row r="3" spans="1:9" x14ac:dyDescent="0.25">
      <c r="A3" s="6" t="s">
        <v>604</v>
      </c>
      <c r="B3" s="231" t="s">
        <v>702</v>
      </c>
      <c r="C3" s="241"/>
      <c r="D3" s="233" t="s">
        <v>697</v>
      </c>
      <c r="E3" s="1"/>
    </row>
    <row r="4" spans="1:9" x14ac:dyDescent="0.25">
      <c r="A4" s="6" t="s">
        <v>604</v>
      </c>
      <c r="B4" s="231" t="s">
        <v>571</v>
      </c>
      <c r="C4" s="241"/>
      <c r="D4" s="233" t="s">
        <v>530</v>
      </c>
      <c r="E4" s="1"/>
    </row>
    <row r="5" spans="1:9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9" ht="24.75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697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698</v>
      </c>
    </row>
    <row r="11" spans="1:9" x14ac:dyDescent="0.25">
      <c r="I11" t="s">
        <v>699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700</v>
      </c>
    </row>
    <row r="28" spans="8:8" x14ac:dyDescent="0.25">
      <c r="H28" s="5" t="s">
        <v>701</v>
      </c>
    </row>
    <row r="29" spans="8:8" x14ac:dyDescent="0.25">
      <c r="H29" s="5" t="s">
        <v>695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604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604</v>
      </c>
      <c r="B2" s="232" t="s">
        <v>570</v>
      </c>
      <c r="C2" s="240"/>
      <c r="D2" s="233"/>
      <c r="E2" s="1"/>
    </row>
    <row r="3" spans="1:10" x14ac:dyDescent="0.25">
      <c r="A3" s="6" t="s">
        <v>604</v>
      </c>
      <c r="B3" s="231" t="s">
        <v>702</v>
      </c>
      <c r="C3" s="241"/>
      <c r="D3" s="233" t="s">
        <v>696</v>
      </c>
      <c r="E3" s="1"/>
    </row>
    <row r="4" spans="1:10" x14ac:dyDescent="0.25">
      <c r="A4" s="6" t="s">
        <v>604</v>
      </c>
      <c r="B4" s="231" t="s">
        <v>571</v>
      </c>
      <c r="C4" s="241"/>
      <c r="D4" s="233" t="s">
        <v>535</v>
      </c>
      <c r="E4" s="1"/>
    </row>
    <row r="5" spans="1:10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10" ht="24" customHeight="1" x14ac:dyDescent="0.25">
      <c r="A6" s="6">
        <v>10</v>
      </c>
      <c r="B6" s="236" t="s">
        <v>549</v>
      </c>
      <c r="C6" s="236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696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704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604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604</v>
      </c>
      <c r="B2" s="232" t="s">
        <v>570</v>
      </c>
      <c r="C2" s="237"/>
      <c r="D2" s="233"/>
      <c r="E2" s="1"/>
    </row>
    <row r="3" spans="1:24" ht="29.25" customHeight="1" x14ac:dyDescent="0.25">
      <c r="A3" s="6" t="s">
        <v>604</v>
      </c>
      <c r="B3" s="231" t="s">
        <v>572</v>
      </c>
      <c r="C3" s="238"/>
      <c r="D3" s="234" t="s">
        <v>518</v>
      </c>
      <c r="E3" s="1"/>
    </row>
    <row r="4" spans="1:24" ht="15.75" customHeight="1" x14ac:dyDescent="0.25">
      <c r="A4" s="6" t="s">
        <v>604</v>
      </c>
      <c r="B4" s="231" t="s">
        <v>571</v>
      </c>
      <c r="C4" s="12"/>
      <c r="D4" s="235" t="s">
        <v>535</v>
      </c>
      <c r="E4" s="1"/>
    </row>
    <row r="5" spans="1:24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24" ht="24" customHeight="1" x14ac:dyDescent="0.25">
      <c r="A6" s="6">
        <v>10</v>
      </c>
      <c r="B6" s="236" t="s">
        <v>549</v>
      </c>
      <c r="C6" s="236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706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707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707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707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705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705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705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705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3"/>
  <sheetViews>
    <sheetView showGridLines="0" topLeftCell="A5" zoomScale="90" zoomScaleNormal="90" workbookViewId="0">
      <selection activeCell="F20" sqref="F20"/>
    </sheetView>
  </sheetViews>
  <sheetFormatPr defaultColWidth="9.140625" defaultRowHeight="12.75" x14ac:dyDescent="0.2"/>
  <cols>
    <col min="1" max="1" width="2.7109375" style="226" customWidth="1"/>
    <col min="2" max="2" width="38.5703125" style="161" customWidth="1"/>
    <col min="3" max="3" width="45.7109375" style="185" customWidth="1"/>
    <col min="4" max="4" width="15.7109375" style="185" customWidth="1"/>
    <col min="5" max="5" width="14.7109375" style="185" customWidth="1"/>
    <col min="6" max="6" width="19.85546875" style="185" customWidth="1"/>
    <col min="7" max="9" width="14.7109375" style="185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1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2"/>
      <c r="B2" s="158" t="s">
        <v>624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1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3"/>
      <c r="B4" s="257" t="s">
        <v>607</v>
      </c>
      <c r="C4" s="257"/>
      <c r="D4" s="257"/>
      <c r="E4" s="257"/>
      <c r="F4" s="257"/>
      <c r="G4" s="257"/>
      <c r="H4" s="257"/>
      <c r="I4" s="257"/>
    </row>
    <row r="5" spans="1:12" ht="17.45" customHeight="1" x14ac:dyDescent="0.2">
      <c r="A5" s="224"/>
      <c r="B5" s="162"/>
      <c r="C5" s="163"/>
      <c r="D5" s="163"/>
      <c r="E5" s="163"/>
      <c r="F5" s="164"/>
      <c r="G5" s="165" t="s">
        <v>608</v>
      </c>
      <c r="H5" s="166"/>
      <c r="I5" s="167"/>
      <c r="J5" s="168"/>
      <c r="K5" s="168"/>
      <c r="L5" s="160"/>
    </row>
    <row r="6" spans="1:12" ht="44.45" customHeight="1" x14ac:dyDescent="0.2">
      <c r="A6" s="225">
        <v>16</v>
      </c>
      <c r="B6" s="169" t="s">
        <v>609</v>
      </c>
      <c r="C6" s="170" t="s">
        <v>610</v>
      </c>
      <c r="D6" s="170" t="str">
        <f>CONCATENATE("Gross 
Floor Area
",IF(Setup!$F$9="SI Units","(sq m)","(sq ft)"))</f>
        <v>Gross 
Floor Area
(sq m)</v>
      </c>
      <c r="E6" s="170" t="s">
        <v>611</v>
      </c>
      <c r="F6" s="170" t="s">
        <v>612</v>
      </c>
      <c r="G6" s="171" t="s">
        <v>613</v>
      </c>
      <c r="H6" s="172" t="s">
        <v>614</v>
      </c>
      <c r="I6" s="173" t="s">
        <v>615</v>
      </c>
      <c r="J6" s="174" t="s">
        <v>616</v>
      </c>
      <c r="K6" s="219" t="s">
        <v>617</v>
      </c>
      <c r="L6" s="220"/>
    </row>
    <row r="7" spans="1:12" ht="15" customHeight="1" x14ac:dyDescent="0.2">
      <c r="A7" s="175">
        <f>IF(B7&gt;=0,0,0)</f>
        <v>0</v>
      </c>
      <c r="B7" s="176" t="s">
        <v>711</v>
      </c>
      <c r="C7" s="177" t="s">
        <v>640</v>
      </c>
      <c r="D7" s="179">
        <v>111</v>
      </c>
      <c r="E7" s="178">
        <v>10</v>
      </c>
      <c r="F7" s="178">
        <v>1</v>
      </c>
      <c r="G7" s="178">
        <v>2</v>
      </c>
      <c r="H7" s="179">
        <v>2</v>
      </c>
      <c r="I7" s="180">
        <v>3</v>
      </c>
      <c r="J7" s="161">
        <f t="shared" ref="J7:J10" si="0">E7*D7</f>
        <v>1110</v>
      </c>
      <c r="K7" s="161">
        <f t="shared" ref="K7:K10" si="1">E7/7</f>
        <v>1.4285714285714286</v>
      </c>
    </row>
    <row r="8" spans="1:12" ht="15" customHeight="1" x14ac:dyDescent="0.2">
      <c r="A8" s="175">
        <v>0</v>
      </c>
      <c r="B8" s="122" t="s">
        <v>712</v>
      </c>
      <c r="C8" s="181" t="s">
        <v>641</v>
      </c>
      <c r="D8" s="179">
        <v>20</v>
      </c>
      <c r="E8" s="178">
        <v>10</v>
      </c>
      <c r="F8" s="178">
        <v>1</v>
      </c>
      <c r="G8" s="178">
        <v>1</v>
      </c>
      <c r="H8" s="182">
        <v>11</v>
      </c>
      <c r="I8" s="180">
        <v>8</v>
      </c>
      <c r="J8" s="161">
        <f t="shared" si="0"/>
        <v>200</v>
      </c>
      <c r="K8" s="161">
        <f t="shared" si="1"/>
        <v>1.4285714285714286</v>
      </c>
    </row>
    <row r="9" spans="1:12" ht="15" customHeight="1" x14ac:dyDescent="0.2">
      <c r="A9" s="175">
        <v>0</v>
      </c>
      <c r="B9" s="122" t="s">
        <v>713</v>
      </c>
      <c r="C9" s="181" t="s">
        <v>643</v>
      </c>
      <c r="D9" s="179">
        <v>20</v>
      </c>
      <c r="E9" s="178">
        <v>20</v>
      </c>
      <c r="F9" s="178">
        <v>23</v>
      </c>
      <c r="G9" s="178">
        <v>22</v>
      </c>
      <c r="H9" s="182">
        <v>3</v>
      </c>
      <c r="I9" s="180">
        <v>23</v>
      </c>
      <c r="J9" s="161">
        <f t="shared" si="0"/>
        <v>400</v>
      </c>
      <c r="K9" s="161">
        <f t="shared" si="1"/>
        <v>2.8571428571428572</v>
      </c>
    </row>
    <row r="10" spans="1:12" ht="15" customHeight="1" x14ac:dyDescent="0.2">
      <c r="A10" s="175">
        <v>0</v>
      </c>
      <c r="B10" s="122" t="s">
        <v>714</v>
      </c>
      <c r="C10" s="181" t="s">
        <v>645</v>
      </c>
      <c r="D10" s="179">
        <v>22</v>
      </c>
      <c r="E10" s="178">
        <v>33</v>
      </c>
      <c r="F10" s="178">
        <v>33</v>
      </c>
      <c r="G10" s="178">
        <v>33</v>
      </c>
      <c r="H10" s="182">
        <v>3</v>
      </c>
      <c r="I10" s="180">
        <v>21</v>
      </c>
      <c r="J10" s="161">
        <f t="shared" si="0"/>
        <v>726</v>
      </c>
      <c r="K10" s="161">
        <f t="shared" si="1"/>
        <v>4.7142857142857144</v>
      </c>
    </row>
    <row r="11" spans="1:12" ht="15" customHeight="1" x14ac:dyDescent="0.2">
      <c r="A11" s="175">
        <v>0</v>
      </c>
      <c r="B11" s="122" t="s">
        <v>715</v>
      </c>
      <c r="C11" s="181" t="s">
        <v>668</v>
      </c>
      <c r="D11" s="179">
        <v>1111</v>
      </c>
      <c r="E11" s="178">
        <v>1</v>
      </c>
      <c r="F11" s="178">
        <v>1</v>
      </c>
      <c r="G11" s="178">
        <v>1</v>
      </c>
      <c r="H11" s="182">
        <v>1</v>
      </c>
      <c r="I11" s="180">
        <v>7</v>
      </c>
      <c r="J11" s="161">
        <f t="shared" ref="J11:J13" si="2">E11*D11</f>
        <v>1111</v>
      </c>
      <c r="K11" s="161">
        <f t="shared" ref="K11:K13" si="3">E11/7</f>
        <v>0.14285714285714285</v>
      </c>
    </row>
    <row r="12" spans="1:12" ht="15" customHeight="1" x14ac:dyDescent="0.2">
      <c r="A12" s="175">
        <v>0</v>
      </c>
      <c r="B12" s="122"/>
      <c r="C12" s="181"/>
      <c r="D12" s="179"/>
      <c r="E12" s="178">
        <v>10</v>
      </c>
      <c r="F12" s="178"/>
      <c r="G12" s="178"/>
      <c r="H12" s="182"/>
      <c r="I12" s="180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>
        <v>0</v>
      </c>
      <c r="B13" s="122"/>
      <c r="C13" s="181"/>
      <c r="D13" s="179"/>
      <c r="E13" s="178"/>
      <c r="F13" s="178"/>
      <c r="G13" s="178"/>
      <c r="H13" s="182"/>
      <c r="I13" s="180" t="str">
        <f t="shared" ref="I13:I15" si="4">IFERROR((G13/K13)*H13," ")</f>
        <v xml:space="preserve"> </v>
      </c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22"/>
      <c r="C14" s="181"/>
      <c r="D14" s="179"/>
      <c r="E14" s="178"/>
      <c r="F14" s="178"/>
      <c r="G14" s="178"/>
      <c r="H14" s="182"/>
      <c r="I14" s="180" t="str">
        <f t="shared" si="4"/>
        <v xml:space="preserve"> </v>
      </c>
      <c r="J14" s="161">
        <f t="shared" ref="J14:J15" si="5">E14*D14</f>
        <v>0</v>
      </c>
      <c r="K14" s="161">
        <f t="shared" ref="K14:K15" si="6">E14/7</f>
        <v>0</v>
      </c>
    </row>
    <row r="15" spans="1:12" ht="15" customHeight="1" x14ac:dyDescent="0.2">
      <c r="A15" s="175"/>
      <c r="B15" s="122"/>
      <c r="C15" s="181"/>
      <c r="D15" s="179"/>
      <c r="E15" s="178"/>
      <c r="F15" s="178"/>
      <c r="G15" s="178"/>
      <c r="H15" s="182"/>
      <c r="I15" s="180" t="str">
        <f t="shared" si="4"/>
        <v xml:space="preserve"> </v>
      </c>
      <c r="J15" s="161">
        <f t="shared" si="5"/>
        <v>0</v>
      </c>
      <c r="K15" s="161">
        <f t="shared" si="6"/>
        <v>0</v>
      </c>
    </row>
    <row r="16" spans="1:12" ht="20.25" customHeight="1" x14ac:dyDescent="0.2">
      <c r="A16" s="175" t="s">
        <v>551</v>
      </c>
      <c r="B16" s="258" t="s">
        <v>618</v>
      </c>
      <c r="C16" s="259"/>
      <c r="D16" s="245">
        <f>IFERROR(SUM(D7:D15)," ")</f>
        <v>1284</v>
      </c>
      <c r="E16" s="183">
        <f>SUM(E7:E15)</f>
        <v>84</v>
      </c>
      <c r="F16" s="183">
        <f>SUM(F7:F15)+J19</f>
        <v>74.125</v>
      </c>
      <c r="G16" s="183"/>
      <c r="H16" s="183"/>
      <c r="I16" s="184">
        <f>SUM(I7:I15)</f>
        <v>62</v>
      </c>
    </row>
    <row r="17" spans="1:10" ht="33.75" customHeight="1" x14ac:dyDescent="0.2"/>
    <row r="18" spans="1:10" x14ac:dyDescent="0.2">
      <c r="B18" s="160"/>
    </row>
    <row r="19" spans="1:10" x14ac:dyDescent="0.2">
      <c r="A19" s="227"/>
      <c r="B19" s="260" t="str">
        <f>CONCATENATE("Gross 
Floor Area 
",IF(Setup!$F$9="SI Units","(sq m)","(sq ft)"))</f>
        <v>Gross 
Floor Area 
(sq m)</v>
      </c>
      <c r="C19" s="261"/>
      <c r="D19" s="243">
        <f>IFERROR(D16," ")</f>
        <v>1284</v>
      </c>
      <c r="F19" s="186"/>
      <c r="G19" s="262" t="s">
        <v>619</v>
      </c>
      <c r="H19" s="263"/>
      <c r="J19" s="228">
        <f>(G21*H21)/8</f>
        <v>15.125</v>
      </c>
    </row>
    <row r="20" spans="1:10" ht="38.25" x14ac:dyDescent="0.2">
      <c r="A20" s="227"/>
      <c r="B20" s="255" t="s">
        <v>620</v>
      </c>
      <c r="C20" s="264"/>
      <c r="D20" s="244">
        <f>IFERROR(SUM(J7:J15)/D16," ")</f>
        <v>2.7624610591900312</v>
      </c>
      <c r="F20" s="187"/>
      <c r="G20" s="188" t="s">
        <v>621</v>
      </c>
      <c r="H20" s="188" t="s">
        <v>622</v>
      </c>
    </row>
    <row r="21" spans="1:10" x14ac:dyDescent="0.2">
      <c r="A21" s="227"/>
      <c r="B21" s="255" t="s">
        <v>623</v>
      </c>
      <c r="C21" s="256"/>
      <c r="D21" s="189">
        <f>IFERROR((F16+I16)," ")</f>
        <v>136.125</v>
      </c>
      <c r="G21" s="190">
        <v>11</v>
      </c>
      <c r="H21" s="191">
        <v>11</v>
      </c>
    </row>
    <row r="22" spans="1:10" x14ac:dyDescent="0.2">
      <c r="C22" s="192"/>
      <c r="D22" s="192"/>
      <c r="I22" s="187"/>
    </row>
    <row r="23" spans="1:10" x14ac:dyDescent="0.2">
      <c r="I23" s="187"/>
    </row>
  </sheetData>
  <sheetProtection formatRows="0"/>
  <mergeCells count="6">
    <mergeCell ref="B21:C21"/>
    <mergeCell ref="B4:I4"/>
    <mergeCell ref="B16:C16"/>
    <mergeCell ref="B19:C19"/>
    <mergeCell ref="G19:H19"/>
    <mergeCell ref="B20:C20"/>
  </mergeCells>
  <dataValidations count="6">
    <dataValidation type="list" allowBlank="1" showInputMessage="1" sqref="C7:C15" xr:uid="{00000000-0002-0000-0400-000000000000}">
      <formula1>spacetype</formula1>
    </dataValidation>
    <dataValidation type="whole" allowBlank="1" showInputMessage="1" showErrorMessage="1" errorTitle="Weekly Operating Hours" error="It can accepts integer values from 1 to 168." sqref="D20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19" xr:uid="{00000000-0002-0000-0400-000002000000}">
      <formula1>0</formula1>
      <formula2>5000000</formula2>
    </dataValidation>
    <dataValidation type="whole" allowBlank="1" showInputMessage="1" showErrorMessage="1" errorTitle="Operating Hours" error="Integers are only allowed in this fields_x000a_" sqref="E7:E15" xr:uid="{00000000-0002-0000-0400-000003000000}">
      <formula1>0</formula1>
      <formula2>99999999999999</formula2>
    </dataValidation>
    <dataValidation type="whole" allowBlank="1" showInputMessage="1" showErrorMessage="1" errorTitle="Regular Building Occupants" error="Integers are only allowed in this fields" sqref="F7:F15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5" xr:uid="{00000000-0002-0000-0400-000005000000}">
      <formula1>0</formula1>
      <formula2>99999999999999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16</xdr:row>
                    <xdr:rowOff>133350</xdr:rowOff>
                  </from>
                  <to>
                    <xdr:col>1</xdr:col>
                    <xdr:colOff>1400175</xdr:colOff>
                    <xdr:row>16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16</xdr:row>
                    <xdr:rowOff>133350</xdr:rowOff>
                  </from>
                  <to>
                    <xdr:col>2</xdr:col>
                    <xdr:colOff>295275</xdr:colOff>
                    <xdr:row>16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604</v>
      </c>
      <c r="B1" s="1"/>
      <c r="C1" s="1"/>
      <c r="D1" s="1"/>
      <c r="E1" s="1"/>
    </row>
    <row r="2" spans="1:6" x14ac:dyDescent="0.25">
      <c r="A2" s="6" t="s">
        <v>604</v>
      </c>
      <c r="B2" s="267" t="s">
        <v>570</v>
      </c>
      <c r="C2" s="268"/>
      <c r="D2" s="42" t="s">
        <v>606</v>
      </c>
      <c r="E2" s="1"/>
    </row>
    <row r="3" spans="1:6" x14ac:dyDescent="0.25">
      <c r="A3" s="6" t="s">
        <v>604</v>
      </c>
      <c r="B3" s="265" t="s">
        <v>702</v>
      </c>
      <c r="C3" s="266"/>
      <c r="D3" s="42" t="s">
        <v>563</v>
      </c>
      <c r="E3" s="1"/>
    </row>
    <row r="4" spans="1:6" ht="15" customHeight="1" x14ac:dyDescent="0.25">
      <c r="A4" s="6" t="s">
        <v>604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6" t="s">
        <v>636</v>
      </c>
      <c r="C5" s="153"/>
      <c r="D5" s="215"/>
      <c r="E5" s="1"/>
    </row>
    <row r="6" spans="1:6" ht="48" customHeight="1" x14ac:dyDescent="0.25">
      <c r="A6" s="6">
        <v>34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>INDEX(Dates,1,E7)</f>
        <v>44012</v>
      </c>
      <c r="C7" s="114">
        <f t="shared" ref="C7" si="0">B7</f>
        <v>44012</v>
      </c>
      <c r="D7" s="115">
        <f>HLOOKUP(B7,ReadingTable,2,FALSE)</f>
        <v>0.62</v>
      </c>
      <c r="E7" s="116">
        <f>IF(E6="",7,E6+1)</f>
        <v>7</v>
      </c>
    </row>
    <row r="8" spans="1:6" x14ac:dyDescent="0.25">
      <c r="A8" s="113">
        <f t="shared" ref="A8:A31" si="1">IFERROR(IF(D8="",1,0),1)</f>
        <v>0</v>
      </c>
      <c r="B8" s="114">
        <f>INDEX(Dates,1,E8)</f>
        <v>43982</v>
      </c>
      <c r="C8" s="114">
        <f t="shared" ref="C8:C31" si="2">B8</f>
        <v>43982</v>
      </c>
      <c r="D8" s="115">
        <f>HLOOKUP(B8,ReadingTable,2,FALSE)</f>
        <v>0.19</v>
      </c>
      <c r="E8" s="116">
        <f t="shared" ref="E8:E31" si="3">IF(E7="",7,E7+1)</f>
        <v>8</v>
      </c>
    </row>
    <row r="9" spans="1:6" x14ac:dyDescent="0.25">
      <c r="A9" s="113">
        <f t="shared" si="1"/>
        <v>0</v>
      </c>
      <c r="B9" s="114">
        <f>INDEX(Dates,1,E9)</f>
        <v>43951</v>
      </c>
      <c r="C9" s="114">
        <f t="shared" si="2"/>
        <v>43951</v>
      </c>
      <c r="D9" s="115">
        <f>HLOOKUP(B9,ReadingTable,2,FALSE)</f>
        <v>0.44</v>
      </c>
      <c r="E9" s="116">
        <f t="shared" si="3"/>
        <v>9</v>
      </c>
    </row>
    <row r="10" spans="1:6" x14ac:dyDescent="0.25">
      <c r="A10" s="113">
        <f t="shared" si="1"/>
        <v>0</v>
      </c>
      <c r="B10" s="114">
        <f>INDEX(Dates,1,E10)</f>
        <v>43921</v>
      </c>
      <c r="C10" s="114">
        <f t="shared" si="2"/>
        <v>43921</v>
      </c>
      <c r="D10" s="115">
        <f>HLOOKUP(B10,ReadingTable,2,FALSE)</f>
        <v>0.73</v>
      </c>
      <c r="E10" s="116">
        <f t="shared" si="3"/>
        <v>10</v>
      </c>
    </row>
    <row r="11" spans="1:6" x14ac:dyDescent="0.25">
      <c r="A11" s="113">
        <f t="shared" si="1"/>
        <v>0</v>
      </c>
      <c r="B11" s="114">
        <f>INDEX(Dates,1,E11)</f>
        <v>43889</v>
      </c>
      <c r="C11" s="114">
        <f t="shared" si="2"/>
        <v>43889</v>
      </c>
      <c r="D11" s="115">
        <f>HLOOKUP(B11,ReadingTable,2,FALSE)</f>
        <v>0.99</v>
      </c>
      <c r="E11" s="116">
        <f t="shared" si="3"/>
        <v>11</v>
      </c>
    </row>
    <row r="12" spans="1:6" x14ac:dyDescent="0.25">
      <c r="A12" s="113">
        <f t="shared" si="1"/>
        <v>0</v>
      </c>
      <c r="B12" s="114">
        <f>INDEX(Dates,1,E12)</f>
        <v>43861</v>
      </c>
      <c r="C12" s="114">
        <f t="shared" si="2"/>
        <v>43861</v>
      </c>
      <c r="D12" s="115">
        <f>HLOOKUP(B12,ReadingTable,2,FALSE)</f>
        <v>0.11</v>
      </c>
      <c r="E12" s="116">
        <f t="shared" si="3"/>
        <v>12</v>
      </c>
    </row>
    <row r="13" spans="1:6" x14ac:dyDescent="0.25">
      <c r="A13" s="113">
        <f t="shared" si="1"/>
        <v>0</v>
      </c>
      <c r="B13" s="114">
        <f>INDEX(Dates,1,E13)</f>
        <v>43830</v>
      </c>
      <c r="C13" s="114">
        <f t="shared" si="2"/>
        <v>43830</v>
      </c>
      <c r="D13" s="115">
        <f>HLOOKUP(B13,ReadingTable,2,FALSE)</f>
        <v>0.25</v>
      </c>
      <c r="E13" s="116">
        <f t="shared" si="3"/>
        <v>13</v>
      </c>
    </row>
    <row r="14" spans="1:6" x14ac:dyDescent="0.25">
      <c r="A14" s="113">
        <f t="shared" si="1"/>
        <v>0</v>
      </c>
      <c r="B14" s="114">
        <f>INDEX(Dates,1,E14)</f>
        <v>43799</v>
      </c>
      <c r="C14" s="114">
        <f t="shared" si="2"/>
        <v>43799</v>
      </c>
      <c r="D14" s="115">
        <f>HLOOKUP(B14,ReadingTable,2,FALSE)</f>
        <v>0.25</v>
      </c>
      <c r="E14" s="116">
        <f t="shared" si="3"/>
        <v>14</v>
      </c>
    </row>
    <row r="15" spans="1:6" x14ac:dyDescent="0.25">
      <c r="A15" s="113">
        <f t="shared" si="1"/>
        <v>0</v>
      </c>
      <c r="B15" s="114">
        <f>INDEX(Dates,1,E15)</f>
        <v>43769</v>
      </c>
      <c r="C15" s="114">
        <f t="shared" si="2"/>
        <v>43769</v>
      </c>
      <c r="D15" s="115">
        <f>HLOOKUP(B15,ReadingTable,2,FALSE)</f>
        <v>0.33</v>
      </c>
      <c r="E15" s="116">
        <f t="shared" si="3"/>
        <v>15</v>
      </c>
    </row>
    <row r="16" spans="1:6" x14ac:dyDescent="0.25">
      <c r="A16" s="113">
        <f t="shared" si="1"/>
        <v>0</v>
      </c>
      <c r="B16" s="114">
        <f>INDEX(Dates,1,E16)</f>
        <v>43738</v>
      </c>
      <c r="C16" s="114">
        <f t="shared" si="2"/>
        <v>43738</v>
      </c>
      <c r="D16" s="115">
        <f>HLOOKUP(B16,ReadingTable,2,FALSE)</f>
        <v>0.19</v>
      </c>
      <c r="E16" s="116">
        <f t="shared" si="3"/>
        <v>16</v>
      </c>
    </row>
    <row r="17" spans="1:5" x14ac:dyDescent="0.25">
      <c r="A17" s="113">
        <f t="shared" si="1"/>
        <v>0</v>
      </c>
      <c r="B17" s="114">
        <f>INDEX(Dates,1,E17)</f>
        <v>43708</v>
      </c>
      <c r="C17" s="114">
        <f t="shared" si="2"/>
        <v>43708</v>
      </c>
      <c r="D17" s="115">
        <f>HLOOKUP(B17,ReadingTable,2,FALSE)</f>
        <v>0.5</v>
      </c>
      <c r="E17" s="116">
        <f t="shared" si="3"/>
        <v>17</v>
      </c>
    </row>
    <row r="18" spans="1:5" x14ac:dyDescent="0.25">
      <c r="A18" s="113">
        <f t="shared" si="1"/>
        <v>0</v>
      </c>
      <c r="B18" s="114">
        <f>INDEX(Dates,1,E18)</f>
        <v>43677</v>
      </c>
      <c r="C18" s="114">
        <f t="shared" si="2"/>
        <v>43677</v>
      </c>
      <c r="D18" s="115">
        <f>HLOOKUP(B18,ReadingTable,2,FALSE)</f>
        <v>0.5</v>
      </c>
      <c r="E18" s="116">
        <f t="shared" si="3"/>
        <v>18</v>
      </c>
    </row>
    <row r="19" spans="1:5" x14ac:dyDescent="0.25">
      <c r="A19" s="113">
        <f t="shared" si="1"/>
        <v>0</v>
      </c>
      <c r="B19" s="114">
        <f>INDEX(Dates,1,E19)</f>
        <v>43646</v>
      </c>
      <c r="C19" s="114">
        <f t="shared" si="2"/>
        <v>43646</v>
      </c>
      <c r="D19" s="115">
        <f>HLOOKUP(B19,ReadingTable,2,FALSE)</f>
        <v>0.5</v>
      </c>
      <c r="E19" s="116">
        <f t="shared" si="3"/>
        <v>19</v>
      </c>
    </row>
    <row r="20" spans="1:5" x14ac:dyDescent="0.25">
      <c r="A20" s="113">
        <f t="shared" si="1"/>
        <v>0</v>
      </c>
      <c r="B20" s="114">
        <f>INDEX(Dates,1,E20)</f>
        <v>43616</v>
      </c>
      <c r="C20" s="114">
        <f t="shared" si="2"/>
        <v>43616</v>
      </c>
      <c r="D20" s="115">
        <f>HLOOKUP(B20,ReadingTable,2,FALSE)</f>
        <v>0.19</v>
      </c>
      <c r="E20" s="116">
        <f t="shared" si="3"/>
        <v>20</v>
      </c>
    </row>
    <row r="21" spans="1:5" x14ac:dyDescent="0.25">
      <c r="A21" s="113">
        <f t="shared" si="1"/>
        <v>0</v>
      </c>
      <c r="B21" s="114">
        <f>INDEX(Dates,1,E21)</f>
        <v>43585</v>
      </c>
      <c r="C21" s="114">
        <f t="shared" si="2"/>
        <v>43585</v>
      </c>
      <c r="D21" s="115">
        <f>HLOOKUP(B21,ReadingTable,2,FALSE)</f>
        <v>0.44</v>
      </c>
      <c r="E21" s="116">
        <f t="shared" si="3"/>
        <v>21</v>
      </c>
    </row>
    <row r="22" spans="1:5" x14ac:dyDescent="0.25">
      <c r="A22" s="113">
        <f t="shared" si="1"/>
        <v>0</v>
      </c>
      <c r="B22" s="114">
        <f>INDEX(Dates,1,E22)</f>
        <v>43555</v>
      </c>
      <c r="C22" s="114">
        <f t="shared" si="2"/>
        <v>43555</v>
      </c>
      <c r="D22" s="115">
        <f>HLOOKUP(B22,ReadingTable,2,FALSE)</f>
        <v>0.73</v>
      </c>
      <c r="E22" s="116">
        <f t="shared" si="3"/>
        <v>22</v>
      </c>
    </row>
    <row r="23" spans="1:5" x14ac:dyDescent="0.25">
      <c r="A23" s="113">
        <f t="shared" si="1"/>
        <v>0</v>
      </c>
      <c r="B23" s="114">
        <f>INDEX(Dates,1,E23)</f>
        <v>43524</v>
      </c>
      <c r="C23" s="114">
        <f t="shared" si="2"/>
        <v>43524</v>
      </c>
      <c r="D23" s="115">
        <f>HLOOKUP(B23,ReadingTable,2,FALSE)</f>
        <v>0.99</v>
      </c>
      <c r="E23" s="116">
        <f t="shared" si="3"/>
        <v>23</v>
      </c>
    </row>
    <row r="24" spans="1:5" x14ac:dyDescent="0.25">
      <c r="A24" s="113">
        <f t="shared" si="1"/>
        <v>0</v>
      </c>
      <c r="B24" s="114">
        <f>INDEX(Dates,1,E24)</f>
        <v>43496</v>
      </c>
      <c r="C24" s="114">
        <f t="shared" si="2"/>
        <v>43496</v>
      </c>
      <c r="D24" s="115">
        <f>HLOOKUP(B24,ReadingTable,2,FALSE)</f>
        <v>0.11</v>
      </c>
      <c r="E24" s="116">
        <f t="shared" si="3"/>
        <v>24</v>
      </c>
    </row>
    <row r="25" spans="1:5" x14ac:dyDescent="0.25">
      <c r="A25" s="113">
        <f t="shared" si="1"/>
        <v>0</v>
      </c>
      <c r="B25" s="114">
        <f>INDEX(Dates,1,E25)</f>
        <v>43465</v>
      </c>
      <c r="C25" s="114">
        <f t="shared" si="2"/>
        <v>43465</v>
      </c>
      <c r="D25" s="115">
        <f>HLOOKUP(B25,ReadingTable,2,FALSE)</f>
        <v>0.25</v>
      </c>
      <c r="E25" s="116">
        <f t="shared" si="3"/>
        <v>25</v>
      </c>
    </row>
    <row r="26" spans="1:5" x14ac:dyDescent="0.25">
      <c r="A26" s="113">
        <f t="shared" si="1"/>
        <v>0</v>
      </c>
      <c r="B26" s="114">
        <f>INDEX(Dates,1,E26)</f>
        <v>43434</v>
      </c>
      <c r="C26" s="114">
        <f t="shared" si="2"/>
        <v>43434</v>
      </c>
      <c r="D26" s="115">
        <f>HLOOKUP(B26,ReadingTable,2,FALSE)</f>
        <v>0.25</v>
      </c>
      <c r="E26" s="116">
        <f t="shared" si="3"/>
        <v>26</v>
      </c>
    </row>
    <row r="27" spans="1:5" x14ac:dyDescent="0.25">
      <c r="A27" s="113">
        <f t="shared" si="1"/>
        <v>0</v>
      </c>
      <c r="B27" s="114">
        <f>INDEX(Dates,1,E27)</f>
        <v>43404</v>
      </c>
      <c r="C27" s="114">
        <f t="shared" si="2"/>
        <v>43404</v>
      </c>
      <c r="D27" s="115">
        <f>HLOOKUP(B27,ReadingTable,2,FALSE)</f>
        <v>0.33</v>
      </c>
      <c r="E27" s="116">
        <f t="shared" si="3"/>
        <v>27</v>
      </c>
    </row>
    <row r="28" spans="1:5" x14ac:dyDescent="0.25">
      <c r="A28" s="113">
        <f t="shared" si="1"/>
        <v>0</v>
      </c>
      <c r="B28" s="114">
        <f>INDEX(Dates,1,E28)</f>
        <v>43373</v>
      </c>
      <c r="C28" s="114">
        <f t="shared" si="2"/>
        <v>43373</v>
      </c>
      <c r="D28" s="115">
        <f>HLOOKUP(B28,ReadingTable,2,FALSE)</f>
        <v>0.19</v>
      </c>
      <c r="E28" s="116">
        <f t="shared" si="3"/>
        <v>28</v>
      </c>
    </row>
    <row r="29" spans="1:5" x14ac:dyDescent="0.25">
      <c r="A29" s="113">
        <f t="shared" si="1"/>
        <v>0</v>
      </c>
      <c r="B29" s="114">
        <f>INDEX(Dates,1,E29)</f>
        <v>43343</v>
      </c>
      <c r="C29" s="114">
        <f t="shared" si="2"/>
        <v>43343</v>
      </c>
      <c r="D29" s="115">
        <f>HLOOKUP(B29,ReadingTable,2,FALSE)</f>
        <v>0.5</v>
      </c>
      <c r="E29" s="116">
        <f t="shared" si="3"/>
        <v>29</v>
      </c>
    </row>
    <row r="30" spans="1:5" x14ac:dyDescent="0.25">
      <c r="A30" s="113">
        <f t="shared" si="1"/>
        <v>0</v>
      </c>
      <c r="B30" s="114">
        <f>INDEX(Dates,1,E30)</f>
        <v>43312</v>
      </c>
      <c r="C30" s="114">
        <f t="shared" si="2"/>
        <v>43312</v>
      </c>
      <c r="D30" s="115">
        <f>HLOOKUP(B30,ReadingTable,2,FALSE)</f>
        <v>0.5</v>
      </c>
      <c r="E30" s="116">
        <f t="shared" si="3"/>
        <v>30</v>
      </c>
    </row>
    <row r="31" spans="1:5" x14ac:dyDescent="0.25">
      <c r="A31" s="113">
        <f t="shared" si="1"/>
        <v>0</v>
      </c>
      <c r="B31" s="114">
        <f>INDEX(Dates,1,E31)</f>
        <v>43281</v>
      </c>
      <c r="C31" s="114">
        <f t="shared" si="2"/>
        <v>43281</v>
      </c>
      <c r="D31" s="115">
        <f>HLOOKUP(B31,ReadingTable,2,FALSE)</f>
        <v>0.5</v>
      </c>
      <c r="E31" s="116">
        <f t="shared" si="3"/>
        <v>31</v>
      </c>
    </row>
    <row r="32" spans="1:5" x14ac:dyDescent="0.25">
      <c r="A32" s="6" t="s">
        <v>551</v>
      </c>
      <c r="B32" s="45"/>
      <c r="C32" s="45"/>
      <c r="D32" s="45"/>
      <c r="E32" s="45"/>
    </row>
    <row r="33" spans="1:5" x14ac:dyDescent="0.25">
      <c r="A33" s="6"/>
      <c r="B33" s="45"/>
      <c r="C33" s="45"/>
      <c r="D33" s="45"/>
      <c r="E33" s="45"/>
    </row>
    <row r="34" spans="1:5" ht="36.6" customHeight="1" x14ac:dyDescent="0.25">
      <c r="A34" s="6" t="s">
        <v>551</v>
      </c>
      <c r="B34" s="34"/>
      <c r="C34" s="34"/>
      <c r="D34" s="34"/>
      <c r="E34" s="1"/>
    </row>
  </sheetData>
  <sheetProtection algorithmName="SHA-512" hashValue="hHQMK7AVgGpL6AEVPvpQaleVb+7920HTrFyqzWoPv8FDQLUKO2haAERH5mcKcDi6kirgp0XOo3Pm/TZeG1ctlw==" saltValue="5pDZ7oywv/moSPm0L+LGpQ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1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604</v>
      </c>
      <c r="B1" s="86" t="s">
        <v>634</v>
      </c>
    </row>
    <row r="2" spans="1:6" ht="33.75" customHeight="1" x14ac:dyDescent="0.25">
      <c r="A2" s="85" t="s">
        <v>604</v>
      </c>
      <c r="B2" s="88" t="s">
        <v>583</v>
      </c>
      <c r="C2" s="89" t="s">
        <v>584</v>
      </c>
      <c r="D2" s="90" t="s">
        <v>585</v>
      </c>
      <c r="E2" s="91" t="s">
        <v>586</v>
      </c>
      <c r="F2" s="92" t="s">
        <v>596</v>
      </c>
    </row>
    <row r="3" spans="1:6" x14ac:dyDescent="0.25">
      <c r="B3" s="122" t="s">
        <v>716</v>
      </c>
      <c r="C3" s="248">
        <v>43983</v>
      </c>
      <c r="D3" s="142">
        <v>44012</v>
      </c>
      <c r="E3" s="151">
        <v>0.375</v>
      </c>
      <c r="F3" s="143">
        <v>0.62</v>
      </c>
    </row>
    <row r="4" spans="1:6" x14ac:dyDescent="0.25">
      <c r="B4" s="122" t="s">
        <v>717</v>
      </c>
      <c r="C4" s="248">
        <v>43952</v>
      </c>
      <c r="D4" s="142">
        <v>43982</v>
      </c>
      <c r="E4" s="151">
        <v>0.41666666666666669</v>
      </c>
      <c r="F4" s="143">
        <v>0.19</v>
      </c>
    </row>
    <row r="5" spans="1:6" x14ac:dyDescent="0.25">
      <c r="B5" s="122" t="s">
        <v>718</v>
      </c>
      <c r="C5" s="248">
        <v>43922</v>
      </c>
      <c r="D5" s="142">
        <v>43951</v>
      </c>
      <c r="E5" s="151">
        <v>0.45833333333333331</v>
      </c>
      <c r="F5" s="143">
        <v>0.44</v>
      </c>
    </row>
    <row r="6" spans="1:6" x14ac:dyDescent="0.25">
      <c r="B6" s="122" t="s">
        <v>719</v>
      </c>
      <c r="C6" s="248">
        <v>43891</v>
      </c>
      <c r="D6" s="142">
        <v>43921</v>
      </c>
      <c r="E6" s="151">
        <v>0.10416666666666667</v>
      </c>
      <c r="F6" s="143">
        <v>0.73</v>
      </c>
    </row>
    <row r="7" spans="1:6" x14ac:dyDescent="0.25">
      <c r="B7" s="122" t="s">
        <v>720</v>
      </c>
      <c r="C7" s="248">
        <v>43862</v>
      </c>
      <c r="D7" s="142">
        <v>43889</v>
      </c>
      <c r="E7" s="151">
        <v>0.14583333333333334</v>
      </c>
      <c r="F7" s="143">
        <v>0.99</v>
      </c>
    </row>
    <row r="8" spans="1:6" x14ac:dyDescent="0.25">
      <c r="B8" s="122" t="s">
        <v>717</v>
      </c>
      <c r="C8" s="248">
        <v>43831</v>
      </c>
      <c r="D8" s="142">
        <v>43861</v>
      </c>
      <c r="E8" s="151">
        <v>8.3333333333333329E-2</v>
      </c>
      <c r="F8" s="143">
        <v>0.11</v>
      </c>
    </row>
    <row r="9" spans="1:6" x14ac:dyDescent="0.25">
      <c r="B9" s="122" t="s">
        <v>718</v>
      </c>
      <c r="C9" s="248">
        <v>43800</v>
      </c>
      <c r="D9" s="142">
        <v>43830</v>
      </c>
      <c r="E9" s="151">
        <v>0.125</v>
      </c>
      <c r="F9" s="143">
        <v>0.25</v>
      </c>
    </row>
    <row r="10" spans="1:6" x14ac:dyDescent="0.25">
      <c r="B10" s="122" t="s">
        <v>716</v>
      </c>
      <c r="C10" s="248">
        <v>43770</v>
      </c>
      <c r="D10" s="142">
        <v>43799</v>
      </c>
      <c r="E10" s="151">
        <v>0.33333333333333331</v>
      </c>
      <c r="F10" s="143">
        <v>0.25</v>
      </c>
    </row>
    <row r="11" spans="1:6" x14ac:dyDescent="0.25">
      <c r="B11" s="122" t="s">
        <v>722</v>
      </c>
      <c r="C11" s="248">
        <v>43739</v>
      </c>
      <c r="D11" s="142">
        <v>43769</v>
      </c>
      <c r="E11" s="151">
        <v>0.30555555555555552</v>
      </c>
      <c r="F11" s="143">
        <v>0.33</v>
      </c>
    </row>
    <row r="12" spans="1:6" x14ac:dyDescent="0.25">
      <c r="B12" s="122" t="s">
        <v>723</v>
      </c>
      <c r="C12" s="248">
        <v>43709</v>
      </c>
      <c r="D12" s="142">
        <v>43738</v>
      </c>
      <c r="E12" s="151">
        <v>0.26458333333333334</v>
      </c>
      <c r="F12" s="143">
        <v>0.19</v>
      </c>
    </row>
    <row r="13" spans="1:6" x14ac:dyDescent="0.25">
      <c r="B13" s="122" t="s">
        <v>724</v>
      </c>
      <c r="C13" s="248">
        <v>43678</v>
      </c>
      <c r="D13" s="142">
        <v>43708</v>
      </c>
      <c r="E13" s="151">
        <v>0.5083333333333333</v>
      </c>
      <c r="F13" s="143">
        <v>0.5</v>
      </c>
    </row>
    <row r="14" spans="1:6" x14ac:dyDescent="0.25">
      <c r="B14" s="122" t="s">
        <v>725</v>
      </c>
      <c r="C14" s="248">
        <v>43647</v>
      </c>
      <c r="D14" s="142">
        <v>43677</v>
      </c>
      <c r="E14" s="151">
        <v>5.486111111111111E-2</v>
      </c>
      <c r="F14" s="143">
        <v>0.5</v>
      </c>
    </row>
    <row r="15" spans="1:6" x14ac:dyDescent="0.25">
      <c r="B15" s="122" t="s">
        <v>726</v>
      </c>
      <c r="C15" s="248">
        <v>43617</v>
      </c>
      <c r="D15" s="142">
        <v>43646</v>
      </c>
      <c r="E15" s="151">
        <v>0.38194444444444442</v>
      </c>
      <c r="F15" s="143">
        <v>0.5</v>
      </c>
    </row>
    <row r="16" spans="1:6" x14ac:dyDescent="0.25">
      <c r="B16" s="122" t="s">
        <v>716</v>
      </c>
      <c r="C16" s="248">
        <v>43586</v>
      </c>
      <c r="D16" s="142">
        <v>43616</v>
      </c>
      <c r="E16" s="151">
        <v>0.375</v>
      </c>
      <c r="F16" s="143">
        <v>0.19</v>
      </c>
    </row>
    <row r="17" spans="1:31" x14ac:dyDescent="0.25">
      <c r="B17" s="122" t="s">
        <v>717</v>
      </c>
      <c r="C17" s="248">
        <v>43556</v>
      </c>
      <c r="D17" s="142">
        <v>43585</v>
      </c>
      <c r="E17" s="151">
        <v>0.41666666666666669</v>
      </c>
      <c r="F17" s="143">
        <v>0.44</v>
      </c>
    </row>
    <row r="18" spans="1:31" x14ac:dyDescent="0.25">
      <c r="B18" s="122" t="s">
        <v>718</v>
      </c>
      <c r="C18" s="248">
        <v>43525</v>
      </c>
      <c r="D18" s="142">
        <v>43555</v>
      </c>
      <c r="E18" s="151">
        <v>0.45833333333333331</v>
      </c>
      <c r="F18" s="143">
        <v>0.73</v>
      </c>
    </row>
    <row r="19" spans="1:31" x14ac:dyDescent="0.25">
      <c r="B19" s="122" t="s">
        <v>719</v>
      </c>
      <c r="C19" s="248">
        <v>43497</v>
      </c>
      <c r="D19" s="142">
        <v>43524</v>
      </c>
      <c r="E19" s="151">
        <v>0.10416666666666667</v>
      </c>
      <c r="F19" s="143">
        <v>0.99</v>
      </c>
    </row>
    <row r="20" spans="1:31" x14ac:dyDescent="0.25">
      <c r="B20" s="122" t="s">
        <v>720</v>
      </c>
      <c r="C20" s="248">
        <v>43466</v>
      </c>
      <c r="D20" s="142">
        <v>43496</v>
      </c>
      <c r="E20" s="151">
        <v>0.14583333333333334</v>
      </c>
      <c r="F20" s="143">
        <v>0.11</v>
      </c>
    </row>
    <row r="21" spans="1:31" x14ac:dyDescent="0.25">
      <c r="B21" s="122" t="s">
        <v>717</v>
      </c>
      <c r="C21" s="248">
        <v>43435</v>
      </c>
      <c r="D21" s="142">
        <v>43465</v>
      </c>
      <c r="E21" s="151">
        <v>8.3333333333333329E-2</v>
      </c>
      <c r="F21" s="143">
        <v>0.25</v>
      </c>
    </row>
    <row r="22" spans="1:31" x14ac:dyDescent="0.25">
      <c r="B22" s="122" t="s">
        <v>718</v>
      </c>
      <c r="C22" s="248">
        <v>43405</v>
      </c>
      <c r="D22" s="142">
        <v>43434</v>
      </c>
      <c r="E22" s="151">
        <v>0.125</v>
      </c>
      <c r="F22" s="143">
        <v>0.25</v>
      </c>
    </row>
    <row r="23" spans="1:31" x14ac:dyDescent="0.25">
      <c r="B23" s="122" t="s">
        <v>716</v>
      </c>
      <c r="C23" s="248">
        <v>43374</v>
      </c>
      <c r="D23" s="142">
        <v>43404</v>
      </c>
      <c r="E23" s="151">
        <v>0.33333333333333331</v>
      </c>
      <c r="F23" s="143">
        <v>0.33</v>
      </c>
    </row>
    <row r="24" spans="1:31" x14ac:dyDescent="0.25">
      <c r="B24" s="122" t="s">
        <v>722</v>
      </c>
      <c r="C24" s="248">
        <v>43344</v>
      </c>
      <c r="D24" s="142">
        <v>43373</v>
      </c>
      <c r="E24" s="151">
        <v>0.30555555555555552</v>
      </c>
      <c r="F24" s="143">
        <v>0.19</v>
      </c>
    </row>
    <row r="25" spans="1:31" x14ac:dyDescent="0.25">
      <c r="B25" s="122" t="s">
        <v>723</v>
      </c>
      <c r="C25" s="248">
        <v>43313</v>
      </c>
      <c r="D25" s="142">
        <v>43343</v>
      </c>
      <c r="E25" s="151">
        <v>0.26458333333333334</v>
      </c>
      <c r="F25" s="143">
        <v>0.5</v>
      </c>
    </row>
    <row r="26" spans="1:31" x14ac:dyDescent="0.25">
      <c r="B26" s="122" t="s">
        <v>724</v>
      </c>
      <c r="C26" s="248">
        <v>43282</v>
      </c>
      <c r="D26" s="142">
        <v>43312</v>
      </c>
      <c r="E26" s="151">
        <v>0.5083333333333333</v>
      </c>
      <c r="F26" s="143">
        <v>0.5</v>
      </c>
    </row>
    <row r="27" spans="1:31" x14ac:dyDescent="0.25">
      <c r="B27" s="122" t="s">
        <v>720</v>
      </c>
      <c r="C27" s="248">
        <v>43252</v>
      </c>
      <c r="D27" s="142">
        <v>43281</v>
      </c>
      <c r="E27" s="151">
        <v>0.26458333333333334</v>
      </c>
      <c r="F27" s="143">
        <v>0.5</v>
      </c>
    </row>
    <row r="28" spans="1:31" ht="39" customHeight="1" x14ac:dyDescent="0.25"/>
    <row r="29" spans="1:31" s="93" customFormat="1" ht="51" customHeight="1" x14ac:dyDescent="0.2">
      <c r="A29" s="85" t="s">
        <v>594</v>
      </c>
      <c r="B29" s="86" t="s">
        <v>588</v>
      </c>
      <c r="F29" s="94"/>
      <c r="G29" s="95">
        <f t="shared" ref="G29:H29" si="0">IF(G31="",1,0)</f>
        <v>0</v>
      </c>
      <c r="H29" s="95">
        <f t="shared" ref="H29:AE29" si="1">IF(H31="",1,0)</f>
        <v>0</v>
      </c>
      <c r="I29" s="95">
        <f t="shared" si="1"/>
        <v>0</v>
      </c>
      <c r="J29" s="95">
        <f t="shared" si="1"/>
        <v>0</v>
      </c>
      <c r="K29" s="95">
        <f t="shared" si="1"/>
        <v>0</v>
      </c>
      <c r="L29" s="95">
        <f t="shared" si="1"/>
        <v>0</v>
      </c>
      <c r="M29" s="95">
        <f t="shared" si="1"/>
        <v>0</v>
      </c>
      <c r="N29" s="95">
        <f t="shared" si="1"/>
        <v>0</v>
      </c>
      <c r="O29" s="95">
        <f t="shared" si="1"/>
        <v>0</v>
      </c>
      <c r="P29" s="95">
        <f t="shared" si="1"/>
        <v>0</v>
      </c>
      <c r="Q29" s="95">
        <f t="shared" si="1"/>
        <v>0</v>
      </c>
      <c r="R29" s="95">
        <f t="shared" si="1"/>
        <v>0</v>
      </c>
      <c r="S29" s="95">
        <f t="shared" si="1"/>
        <v>0</v>
      </c>
      <c r="T29" s="95">
        <f t="shared" si="1"/>
        <v>0</v>
      </c>
      <c r="U29" s="95">
        <f t="shared" si="1"/>
        <v>0</v>
      </c>
      <c r="V29" s="95">
        <f t="shared" si="1"/>
        <v>0</v>
      </c>
      <c r="W29" s="95">
        <f t="shared" si="1"/>
        <v>0</v>
      </c>
      <c r="X29" s="95">
        <f t="shared" si="1"/>
        <v>0</v>
      </c>
      <c r="Y29" s="95">
        <f t="shared" si="1"/>
        <v>0</v>
      </c>
      <c r="Z29" s="95">
        <f t="shared" si="1"/>
        <v>0</v>
      </c>
      <c r="AA29" s="95">
        <f t="shared" si="1"/>
        <v>0</v>
      </c>
      <c r="AB29" s="95">
        <f t="shared" si="1"/>
        <v>0</v>
      </c>
      <c r="AC29" s="95">
        <f t="shared" si="1"/>
        <v>0</v>
      </c>
      <c r="AD29" s="95">
        <f t="shared" si="1"/>
        <v>0</v>
      </c>
      <c r="AE29" s="95">
        <f t="shared" si="1"/>
        <v>0</v>
      </c>
    </row>
    <row r="30" spans="1:31" ht="21" customHeight="1" x14ac:dyDescent="0.25">
      <c r="A30" s="85" t="s">
        <v>604</v>
      </c>
      <c r="B30" s="269" t="s">
        <v>583</v>
      </c>
      <c r="C30" s="96"/>
      <c r="D30" s="96"/>
      <c r="E30" s="96"/>
      <c r="F30" s="97"/>
      <c r="G30" s="98" t="s">
        <v>585</v>
      </c>
      <c r="H30" s="98" t="s">
        <v>585</v>
      </c>
      <c r="I30" s="98" t="s">
        <v>585</v>
      </c>
      <c r="J30" s="98" t="s">
        <v>585</v>
      </c>
      <c r="K30" s="98" t="s">
        <v>585</v>
      </c>
      <c r="L30" s="98" t="s">
        <v>585</v>
      </c>
      <c r="M30" s="98" t="s">
        <v>585</v>
      </c>
      <c r="N30" s="98" t="s">
        <v>585</v>
      </c>
      <c r="O30" s="98" t="s">
        <v>585</v>
      </c>
      <c r="P30" s="98" t="s">
        <v>585</v>
      </c>
      <c r="Q30" s="98" t="s">
        <v>585</v>
      </c>
      <c r="R30" s="98" t="s">
        <v>585</v>
      </c>
      <c r="S30" s="98" t="s">
        <v>585</v>
      </c>
      <c r="T30" s="98" t="s">
        <v>585</v>
      </c>
      <c r="U30" s="98" t="s">
        <v>585</v>
      </c>
      <c r="V30" s="98" t="s">
        <v>585</v>
      </c>
      <c r="W30" s="98" t="s">
        <v>585</v>
      </c>
      <c r="X30" s="98" t="s">
        <v>585</v>
      </c>
      <c r="Y30" s="98" t="s">
        <v>585</v>
      </c>
      <c r="Z30" s="98" t="s">
        <v>585</v>
      </c>
      <c r="AA30" s="98" t="s">
        <v>585</v>
      </c>
      <c r="AB30" s="98" t="s">
        <v>585</v>
      </c>
      <c r="AC30" s="98" t="s">
        <v>585</v>
      </c>
      <c r="AD30" s="98" t="s">
        <v>585</v>
      </c>
      <c r="AE30" s="98" t="s">
        <v>585</v>
      </c>
    </row>
    <row r="31" spans="1:31" ht="15" customHeight="1" x14ac:dyDescent="0.25">
      <c r="A31" s="85" t="s">
        <v>604</v>
      </c>
      <c r="B31" s="270"/>
      <c r="C31" s="99"/>
      <c r="D31" s="99"/>
      <c r="E31" s="99"/>
      <c r="F31" s="100"/>
      <c r="G31" s="229">
        <f t="array" ref="G31">IFERROR(INDEX($D$3:$D$28, MATCH(0,IF(ISBLANK($D$3:$D$28),1,COUNTIF($F31:F31, $D$3:$D$28)), 0)),"")</f>
        <v>44012</v>
      </c>
      <c r="H31" s="229">
        <f t="array" ref="H31">IFERROR(INDEX($D$3:$D$28, MATCH(0,IF(ISBLANK($D$3:$D$28),1,COUNTIF($F31:G31, $D$3:$D$28)), 0)),"")</f>
        <v>43982</v>
      </c>
      <c r="I31" s="229">
        <f t="array" ref="I31">IFERROR(INDEX($D$3:$D$28, MATCH(0,IF(ISBLANK($D$3:$D$28),1,COUNTIF($F31:H31, $D$3:$D$28)), 0)),"")</f>
        <v>43951</v>
      </c>
      <c r="J31" s="229">
        <f t="array" ref="J31">IFERROR(INDEX($D$3:$D$28, MATCH(0,IF(ISBLANK($D$3:$D$28),1,COUNTIF($F31:I31, $D$3:$D$28)), 0)),"")</f>
        <v>43921</v>
      </c>
      <c r="K31" s="229">
        <f t="array" ref="K31">IFERROR(INDEX($D$3:$D$28, MATCH(0,IF(ISBLANK($D$3:$D$28),1,COUNTIF($F31:J31, $D$3:$D$28)), 0)),"")</f>
        <v>43889</v>
      </c>
      <c r="L31" s="229">
        <f t="array" ref="L31">IFERROR(INDEX($D$3:$D$28, MATCH(0,IF(ISBLANK($D$3:$D$28),1,COUNTIF($F31:K31, $D$3:$D$28)), 0)),"")</f>
        <v>43861</v>
      </c>
      <c r="M31" s="229">
        <f t="array" ref="M31">IFERROR(INDEX($D$3:$D$28, MATCH(0,IF(ISBLANK($D$3:$D$28),1,COUNTIF($F31:L31, $D$3:$D$28)), 0)),"")</f>
        <v>43830</v>
      </c>
      <c r="N31" s="229">
        <f t="array" ref="N31">IFERROR(INDEX($D$3:$D$28, MATCH(0,IF(ISBLANK($D$3:$D$28),1,COUNTIF($F31:M31, $D$3:$D$28)), 0)),"")</f>
        <v>43799</v>
      </c>
      <c r="O31" s="229">
        <f t="array" ref="O31">IFERROR(INDEX($D$3:$D$28, MATCH(0,IF(ISBLANK($D$3:$D$28),1,COUNTIF($F31:N31, $D$3:$D$28)), 0)),"")</f>
        <v>43769</v>
      </c>
      <c r="P31" s="229">
        <f t="array" ref="P31">IFERROR(INDEX($D$3:$D$28, MATCH(0,IF(ISBLANK($D$3:$D$28),1,COUNTIF($F31:O31, $D$3:$D$28)), 0)),"")</f>
        <v>43738</v>
      </c>
      <c r="Q31" s="229">
        <f t="array" ref="Q31">IFERROR(INDEX($D$3:$D$28, MATCH(0,IF(ISBLANK($D$3:$D$28),1,COUNTIF($F31:P31, $D$3:$D$28)), 0)),"")</f>
        <v>43708</v>
      </c>
      <c r="R31" s="229">
        <f t="array" ref="R31">IFERROR(INDEX($D$3:$D$28, MATCH(0,IF(ISBLANK($D$3:$D$28),1,COUNTIF($F31:Q31, $D$3:$D$28)), 0)),"")</f>
        <v>43677</v>
      </c>
      <c r="S31" s="229">
        <f t="array" ref="S31">IFERROR(INDEX($D$3:$D$28, MATCH(0,IF(ISBLANK($D$3:$D$28),1,COUNTIF($F31:R31, $D$3:$D$28)), 0)),"")</f>
        <v>43646</v>
      </c>
      <c r="T31" s="229">
        <f t="array" ref="T31">IFERROR(INDEX($D$3:$D$28, MATCH(0,IF(ISBLANK($D$3:$D$28),1,COUNTIF($F31:S31, $D$3:$D$28)), 0)),"")</f>
        <v>43616</v>
      </c>
      <c r="U31" s="229">
        <f t="array" ref="U31">IFERROR(INDEX($D$3:$D$28, MATCH(0,IF(ISBLANK($D$3:$D$28),1,COUNTIF($F31:T31, $D$3:$D$28)), 0)),"")</f>
        <v>43585</v>
      </c>
      <c r="V31" s="229">
        <f t="array" ref="V31">IFERROR(INDEX($D$3:$D$28, MATCH(0,IF(ISBLANK($D$3:$D$28),1,COUNTIF($F31:U31, $D$3:$D$28)), 0)),"")</f>
        <v>43555</v>
      </c>
      <c r="W31" s="229">
        <f t="array" ref="W31">IFERROR(INDEX($D$3:$D$28, MATCH(0,IF(ISBLANK($D$3:$D$28),1,COUNTIF($F31:V31, $D$3:$D$28)), 0)),"")</f>
        <v>43524</v>
      </c>
      <c r="X31" s="229">
        <f t="array" ref="X31">IFERROR(INDEX($D$3:$D$28, MATCH(0,IF(ISBLANK($D$3:$D$28),1,COUNTIF($F31:W31, $D$3:$D$28)), 0)),"")</f>
        <v>43496</v>
      </c>
      <c r="Y31" s="229">
        <f t="array" ref="Y31">IFERROR(INDEX($D$3:$D$28, MATCH(0,IF(ISBLANK($D$3:$D$28),1,COUNTIF($F31:X31, $D$3:$D$28)), 0)),"")</f>
        <v>43465</v>
      </c>
      <c r="Z31" s="229">
        <f t="array" ref="Z31">IFERROR(INDEX($D$3:$D$28, MATCH(0,IF(ISBLANK($D$3:$D$28),1,COUNTIF($F31:Y31, $D$3:$D$28)), 0)),"")</f>
        <v>43434</v>
      </c>
      <c r="AA31" s="229">
        <f t="array" ref="AA31">IFERROR(INDEX($D$3:$D$28, MATCH(0,IF(ISBLANK($D$3:$D$28),1,COUNTIF($F31:Z31, $D$3:$D$28)), 0)),"")</f>
        <v>43404</v>
      </c>
      <c r="AB31" s="229">
        <f t="array" ref="AB31">IFERROR(INDEX($D$3:$D$28, MATCH(0,IF(ISBLANK($D$3:$D$28),1,COUNTIF($F31:AA31, $D$3:$D$28)), 0)),"")</f>
        <v>43373</v>
      </c>
      <c r="AC31" s="229">
        <f t="array" ref="AC31">IFERROR(INDEX($D$3:$D$28, MATCH(0,IF(ISBLANK($D$3:$D$28),1,COUNTIF($F31:AB31, $D$3:$D$28)), 0)),"")</f>
        <v>43343</v>
      </c>
      <c r="AD31" s="229">
        <f t="array" ref="AD31">IFERROR(INDEX($D$3:$D$28, MATCH(0,IF(ISBLANK($D$3:$D$28),1,COUNTIF($F31:AC31, $D$3:$D$28)), 0)),"")</f>
        <v>43312</v>
      </c>
      <c r="AE31" s="229">
        <f t="array" ref="AE31">IFERROR(INDEX($D$3:$D$28, MATCH(0,IF(ISBLANK($D$3:$D$28),1,COUNTIF($F31:AD31, $D$3:$D$28)), 0)),"")</f>
        <v>43281</v>
      </c>
    </row>
    <row r="32" spans="1:31" ht="27.75" customHeight="1" x14ac:dyDescent="0.25">
      <c r="A32" s="85" t="s">
        <v>604</v>
      </c>
      <c r="B32" s="271"/>
      <c r="C32" s="101"/>
      <c r="D32" s="101"/>
      <c r="E32" s="101"/>
      <c r="F32" s="102"/>
      <c r="G32" s="103" t="s">
        <v>595</v>
      </c>
      <c r="H32" s="103" t="s">
        <v>595</v>
      </c>
      <c r="I32" s="103" t="s">
        <v>595</v>
      </c>
      <c r="J32" s="103" t="s">
        <v>595</v>
      </c>
      <c r="K32" s="103" t="s">
        <v>595</v>
      </c>
      <c r="L32" s="103" t="s">
        <v>595</v>
      </c>
      <c r="M32" s="103" t="s">
        <v>595</v>
      </c>
      <c r="N32" s="103" t="s">
        <v>595</v>
      </c>
      <c r="O32" s="103" t="s">
        <v>595</v>
      </c>
      <c r="P32" s="103" t="s">
        <v>595</v>
      </c>
      <c r="Q32" s="103" t="s">
        <v>595</v>
      </c>
      <c r="R32" s="103" t="s">
        <v>595</v>
      </c>
      <c r="S32" s="103" t="s">
        <v>595</v>
      </c>
      <c r="T32" s="103" t="s">
        <v>595</v>
      </c>
      <c r="U32" s="103" t="s">
        <v>595</v>
      </c>
      <c r="V32" s="103" t="s">
        <v>595</v>
      </c>
      <c r="W32" s="103" t="s">
        <v>595</v>
      </c>
      <c r="X32" s="103" t="s">
        <v>595</v>
      </c>
      <c r="Y32" s="103" t="s">
        <v>595</v>
      </c>
      <c r="Z32" s="103" t="s">
        <v>595</v>
      </c>
      <c r="AA32" s="103" t="s">
        <v>595</v>
      </c>
      <c r="AB32" s="103" t="s">
        <v>595</v>
      </c>
      <c r="AC32" s="103" t="s">
        <v>595</v>
      </c>
      <c r="AD32" s="103" t="s">
        <v>595</v>
      </c>
      <c r="AE32" s="103" t="s">
        <v>595</v>
      </c>
    </row>
    <row r="33" spans="1:31" ht="15" customHeight="1" x14ac:dyDescent="0.25">
      <c r="A33" s="85">
        <f>IF(B33="",1,0)</f>
        <v>0</v>
      </c>
      <c r="B33" s="104" t="str">
        <f t="array" ref="B33">IFERROR(INDEX($B$3:$B$28, MATCH(0,IF(ISBLANK($B$3:$B$28),1,COUNTIF($B$32:B32, $B$3:$B$28)), 0)),"")</f>
        <v>Goa</v>
      </c>
      <c r="C33" s="105"/>
      <c r="D33" s="105"/>
      <c r="E33" s="105"/>
      <c r="F33" s="106"/>
      <c r="G33" s="144">
        <f t="array" ref="G33">IFERROR(PERCENTILE(IF($B$3:$B$28=$B33,IF($D$3:$D$28=G$31,IF($F$3:$F$28&lt;&gt;"",$F$3:$F$28))),0.95),"")</f>
        <v>0.62</v>
      </c>
      <c r="H33" s="144" t="str">
        <f t="array" ref="H33">IFERROR(PERCENTILE(IF($B$3:$B$28=$B33,IF($D$3:$D$28=H$31,IF($F$3:$F$28&lt;&gt;"",$F$3:$F$28))),0.95),"")</f>
        <v/>
      </c>
      <c r="I33" s="144" t="str">
        <f t="array" ref="I33">IFERROR(PERCENTILE(IF($B$3:$B$28=$B33,IF($D$3:$D$28=I$31,IF($F$3:$F$28&lt;&gt;"",$F$3:$F$28))),0.95),"")</f>
        <v/>
      </c>
      <c r="J33" s="144" t="str">
        <f t="array" ref="J33">IFERROR(PERCENTILE(IF($B$3:$B$28=$B33,IF($D$3:$D$28=J$31,IF($F$3:$F$28&lt;&gt;"",$F$3:$F$28))),0.95),"")</f>
        <v/>
      </c>
      <c r="K33" s="144" t="str">
        <f t="array" ref="K33">IFERROR(PERCENTILE(IF($B$3:$B$28=$B33,IF($D$3:$D$28=K$31,IF($F$3:$F$28&lt;&gt;"",$F$3:$F$28))),0.95),"")</f>
        <v/>
      </c>
      <c r="L33" s="144" t="str">
        <f t="array" ref="L33">IFERROR(PERCENTILE(IF($B$3:$B$28=$B33,IF($D$3:$D$28=L$31,IF($F$3:$F$28&lt;&gt;"",$F$3:$F$28))),0.95),"")</f>
        <v/>
      </c>
      <c r="M33" s="144" t="str">
        <f t="array" ref="M33">IFERROR(PERCENTILE(IF($B$3:$B$28=$B33,IF($D$3:$D$28=M$31,IF($F$3:$F$28&lt;&gt;"",$F$3:$F$28))),0.95),"")</f>
        <v/>
      </c>
      <c r="N33" s="144">
        <f t="array" ref="N33">IFERROR(PERCENTILE(IF($B$3:$B$28=$B33,IF($D$3:$D$28=N$31,IF($F$3:$F$28&lt;&gt;"",$F$3:$F$28))),0.95),"")</f>
        <v>0.25</v>
      </c>
      <c r="O33" s="144" t="str">
        <f t="array" ref="O33">IFERROR(PERCENTILE(IF($B$3:$B$28=$B33,IF($D$3:$D$28=O$31,IF($F$3:$F$28&lt;&gt;"",$F$3:$F$28))),0.95),"")</f>
        <v/>
      </c>
      <c r="P33" s="144" t="str">
        <f t="array" ref="P33">IFERROR(PERCENTILE(IF($B$3:$B$28=$B33,IF($D$3:$D$28=P$31,IF($F$3:$F$28&lt;&gt;"",$F$3:$F$28))),0.95),"")</f>
        <v/>
      </c>
      <c r="Q33" s="144" t="str">
        <f t="array" ref="Q33">IFERROR(PERCENTILE(IF($B$3:$B$28=$B33,IF($D$3:$D$28=Q$31,IF($F$3:$F$28&lt;&gt;"",$F$3:$F$28))),0.95),"")</f>
        <v/>
      </c>
      <c r="R33" s="144" t="str">
        <f t="array" ref="R33">IFERROR(PERCENTILE(IF($B$3:$B$28=$B33,IF($D$3:$D$28=R$31,IF($F$3:$F$28&lt;&gt;"",$F$3:$F$28))),0.95),"")</f>
        <v/>
      </c>
      <c r="S33" s="144" t="str">
        <f t="array" ref="S33">IFERROR(PERCENTILE(IF($B$3:$B$28=$B33,IF($D$3:$D$28=S$31,IF($F$3:$F$28&lt;&gt;"",$F$3:$F$28))),0.95),"")</f>
        <v/>
      </c>
      <c r="T33" s="144">
        <f t="array" ref="T33">IFERROR(PERCENTILE(IF($B$3:$B$28=$B33,IF($D$3:$D$28=T$31,IF($F$3:$F$28&lt;&gt;"",$F$3:$F$28))),0.95),"")</f>
        <v>0.19</v>
      </c>
      <c r="U33" s="144" t="str">
        <f t="array" ref="U33">IFERROR(PERCENTILE(IF($B$3:$B$28=$B33,IF($D$3:$D$28=U$31,IF($F$3:$F$28&lt;&gt;"",$F$3:$F$28))),0.95),"")</f>
        <v/>
      </c>
      <c r="V33" s="144" t="str">
        <f t="array" ref="V33">IFERROR(PERCENTILE(IF($B$3:$B$28=$B33,IF($D$3:$D$28=V$31,IF($F$3:$F$28&lt;&gt;"",$F$3:$F$28))),0.95),"")</f>
        <v/>
      </c>
      <c r="W33" s="144" t="str">
        <f t="array" ref="W33">IFERROR(PERCENTILE(IF($B$3:$B$28=$B33,IF($D$3:$D$28=W$31,IF($F$3:$F$28&lt;&gt;"",$F$3:$F$28))),0.95),"")</f>
        <v/>
      </c>
      <c r="X33" s="144" t="str">
        <f t="array" ref="X33">IFERROR(PERCENTILE(IF($B$3:$B$28=$B33,IF($D$3:$D$28=X$31,IF($F$3:$F$28&lt;&gt;"",$F$3:$F$28))),0.95),"")</f>
        <v/>
      </c>
      <c r="Y33" s="144" t="str">
        <f t="array" ref="Y33">IFERROR(PERCENTILE(IF($B$3:$B$28=$B33,IF($D$3:$D$28=Y$31,IF($F$3:$F$28&lt;&gt;"",$F$3:$F$28))),0.95),"")</f>
        <v/>
      </c>
      <c r="Z33" s="144" t="str">
        <f t="array" ref="Z33">IFERROR(PERCENTILE(IF($B$3:$B$28=$B33,IF($D$3:$D$28=Z$31,IF($F$3:$F$28&lt;&gt;"",$F$3:$F$28))),0.95),"")</f>
        <v/>
      </c>
      <c r="AA33" s="144">
        <f t="array" ref="AA33">IFERROR(PERCENTILE(IF($B$3:$B$28=$B33,IF($D$3:$D$28=AA$31,IF($F$3:$F$28&lt;&gt;"",$F$3:$F$28))),0.95),"")</f>
        <v>0.33</v>
      </c>
      <c r="AB33" s="144" t="str">
        <f t="array" ref="AB33">IFERROR(PERCENTILE(IF($B$3:$B$28=$B33,IF($D$3:$D$28=AB$31,IF($F$3:$F$28&lt;&gt;"",$F$3:$F$28))),0.95),"")</f>
        <v/>
      </c>
      <c r="AC33" s="144" t="str">
        <f t="array" ref="AC33">IFERROR(PERCENTILE(IF($B$3:$B$28=$B33,IF($D$3:$D$28=AC$31,IF($F$3:$F$28&lt;&gt;"",$F$3:$F$28))),0.95),"")</f>
        <v/>
      </c>
      <c r="AD33" s="144" t="str">
        <f t="array" ref="AD33">IFERROR(PERCENTILE(IF($B$3:$B$28=$B33,IF($D$3:$D$28=AD$31,IF($F$3:$F$28&lt;&gt;"",$F$3:$F$28))),0.95),"")</f>
        <v/>
      </c>
      <c r="AE33" s="144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5">
        <f t="shared" ref="A34" si="2">IF(B34="",1,0)</f>
        <v>0</v>
      </c>
      <c r="B34" s="104" t="str">
        <f t="array" ref="B34">IFERROR(INDEX($B$3:$B$28, MATCH(0,IF(ISBLANK($B$3:$B$28),1,COUNTIF($B$32:B33, $B$3:$B$28)), 0)),"")</f>
        <v>Hyd</v>
      </c>
      <c r="C34" s="105"/>
      <c r="D34" s="105"/>
      <c r="E34" s="105"/>
      <c r="F34" s="106"/>
      <c r="G34" s="144" t="str">
        <f t="array" ref="G34">IFERROR(PERCENTILE(IF($B$3:$B$28=$B34,IF($D$3:$D$28=G$31,IF($F$3:$F$28&lt;&gt;"",$F$3:$F$28))),0.95),"")</f>
        <v/>
      </c>
      <c r="H34" s="144">
        <f t="array" ref="H34">IFERROR(PERCENTILE(IF($B$3:$B$28=$B34,IF($D$3:$D$28=H$31,IF($F$3:$F$28&lt;&gt;"",$F$3:$F$28))),0.95),"")</f>
        <v>0.19</v>
      </c>
      <c r="I34" s="144" t="str">
        <f t="array" ref="I34">IFERROR(PERCENTILE(IF($B$3:$B$28=$B34,IF($D$3:$D$28=I$31,IF($F$3:$F$28&lt;&gt;"",$F$3:$F$28))),0.95),"")</f>
        <v/>
      </c>
      <c r="J34" s="144" t="str">
        <f t="array" ref="J34">IFERROR(PERCENTILE(IF($B$3:$B$28=$B34,IF($D$3:$D$28=J$31,IF($F$3:$F$28&lt;&gt;"",$F$3:$F$28))),0.95),"")</f>
        <v/>
      </c>
      <c r="K34" s="144" t="str">
        <f t="array" ref="K34">IFERROR(PERCENTILE(IF($B$3:$B$28=$B34,IF($D$3:$D$28=K$31,IF($F$3:$F$28&lt;&gt;"",$F$3:$F$28))),0.95),"")</f>
        <v/>
      </c>
      <c r="L34" s="144">
        <f t="array" ref="L34">IFERROR(PERCENTILE(IF($B$3:$B$28=$B34,IF($D$3:$D$28=L$31,IF($F$3:$F$28&lt;&gt;"",$F$3:$F$28))),0.95),"")</f>
        <v>0.11</v>
      </c>
      <c r="M34" s="144" t="str">
        <f t="array" ref="M34">IFERROR(PERCENTILE(IF($B$3:$B$28=$B34,IF($D$3:$D$28=M$31,IF($F$3:$F$28&lt;&gt;"",$F$3:$F$28))),0.95),"")</f>
        <v/>
      </c>
      <c r="N34" s="144" t="str">
        <f t="array" ref="N34">IFERROR(PERCENTILE(IF($B$3:$B$28=$B34,IF($D$3:$D$28=N$31,IF($F$3:$F$28&lt;&gt;"",$F$3:$F$28))),0.95),"")</f>
        <v/>
      </c>
      <c r="O34" s="144" t="str">
        <f t="array" ref="O34">IFERROR(PERCENTILE(IF($B$3:$B$28=$B34,IF($D$3:$D$28=O$31,IF($F$3:$F$28&lt;&gt;"",$F$3:$F$28))),0.95),"")</f>
        <v/>
      </c>
      <c r="P34" s="144" t="str">
        <f t="array" ref="P34">IFERROR(PERCENTILE(IF($B$3:$B$28=$B34,IF($D$3:$D$28=P$31,IF($F$3:$F$28&lt;&gt;"",$F$3:$F$28))),0.95),"")</f>
        <v/>
      </c>
      <c r="Q34" s="144" t="str">
        <f t="array" ref="Q34">IFERROR(PERCENTILE(IF($B$3:$B$28=$B34,IF($D$3:$D$28=Q$31,IF($F$3:$F$28&lt;&gt;"",$F$3:$F$28))),0.95),"")</f>
        <v/>
      </c>
      <c r="R34" s="144" t="str">
        <f t="array" ref="R34">IFERROR(PERCENTILE(IF($B$3:$B$28=$B34,IF($D$3:$D$28=R$31,IF($F$3:$F$28&lt;&gt;"",$F$3:$F$28))),0.95),"")</f>
        <v/>
      </c>
      <c r="S34" s="144" t="str">
        <f t="array" ref="S34">IFERROR(PERCENTILE(IF($B$3:$B$28=$B34,IF($D$3:$D$28=S$31,IF($F$3:$F$28&lt;&gt;"",$F$3:$F$28))),0.95),"")</f>
        <v/>
      </c>
      <c r="T34" s="144" t="str">
        <f t="array" ref="T34">IFERROR(PERCENTILE(IF($B$3:$B$28=$B34,IF($D$3:$D$28=T$31,IF($F$3:$F$28&lt;&gt;"",$F$3:$F$28))),0.95),"")</f>
        <v/>
      </c>
      <c r="U34" s="144">
        <f t="array" ref="U34">IFERROR(PERCENTILE(IF($B$3:$B$28=$B34,IF($D$3:$D$28=U$31,IF($F$3:$F$28&lt;&gt;"",$F$3:$F$28))),0.95),"")</f>
        <v>0.44</v>
      </c>
      <c r="V34" s="144" t="str">
        <f t="array" ref="V34">IFERROR(PERCENTILE(IF($B$3:$B$28=$B34,IF($D$3:$D$28=V$31,IF($F$3:$F$28&lt;&gt;"",$F$3:$F$28))),0.95),"")</f>
        <v/>
      </c>
      <c r="W34" s="144" t="str">
        <f t="array" ref="W34">IFERROR(PERCENTILE(IF($B$3:$B$28=$B34,IF($D$3:$D$28=W$31,IF($F$3:$F$28&lt;&gt;"",$F$3:$F$28))),0.95),"")</f>
        <v/>
      </c>
      <c r="X34" s="144" t="str">
        <f t="array" ref="X34">IFERROR(PERCENTILE(IF($B$3:$B$28=$B34,IF($D$3:$D$28=X$31,IF($F$3:$F$28&lt;&gt;"",$F$3:$F$28))),0.95),"")</f>
        <v/>
      </c>
      <c r="Y34" s="144">
        <f t="array" ref="Y34">IFERROR(PERCENTILE(IF($B$3:$B$28=$B34,IF($D$3:$D$28=Y$31,IF($F$3:$F$28&lt;&gt;"",$F$3:$F$28))),0.95),"")</f>
        <v>0.25</v>
      </c>
      <c r="Z34" s="144" t="str">
        <f t="array" ref="Z34">IFERROR(PERCENTILE(IF($B$3:$B$28=$B34,IF($D$3:$D$28=Z$31,IF($F$3:$F$28&lt;&gt;"",$F$3:$F$28))),0.95),"")</f>
        <v/>
      </c>
      <c r="AA34" s="144" t="str">
        <f t="array" ref="AA34">IFERROR(PERCENTILE(IF($B$3:$B$28=$B34,IF($D$3:$D$28=AA$31,IF($F$3:$F$28&lt;&gt;"",$F$3:$F$28))),0.95),"")</f>
        <v/>
      </c>
      <c r="AB34" s="144" t="str">
        <f t="array" ref="AB34">IFERROR(PERCENTILE(IF($B$3:$B$28=$B34,IF($D$3:$D$28=AB$31,IF($F$3:$F$28&lt;&gt;"",$F$3:$F$28))),0.95),"")</f>
        <v/>
      </c>
      <c r="AC34" s="144" t="str">
        <f t="array" ref="AC34">IFERROR(PERCENTILE(IF($B$3:$B$28=$B34,IF($D$3:$D$28=AC$31,IF($F$3:$F$28&lt;&gt;"",$F$3:$F$28))),0.95),"")</f>
        <v/>
      </c>
      <c r="AD34" s="144" t="str">
        <f t="array" ref="AD34">IFERROR(PERCENTILE(IF($B$3:$B$28=$B34,IF($D$3:$D$28=AD$31,IF($F$3:$F$28&lt;&gt;"",$F$3:$F$28))),0.95),"")</f>
        <v/>
      </c>
      <c r="AE34" s="144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5">
        <f t="shared" ref="A35:A37" si="3">IF(B35="",1,0)</f>
        <v>0</v>
      </c>
      <c r="B35" s="104" t="str">
        <f t="array" ref="B35">IFERROR(INDEX($B$3:$B$28, MATCH(0,IF(ISBLANK($B$3:$B$28),1,COUNTIF($B$32:B34, $B$3:$B$28)), 0)),"")</f>
        <v>Delhi</v>
      </c>
      <c r="C35" s="105"/>
      <c r="D35" s="105"/>
      <c r="E35" s="105"/>
      <c r="F35" s="106"/>
      <c r="G35" s="144" t="str">
        <f t="array" ref="G35">IFERROR(PERCENTILE(IF($B$3:$B$28=$B35,IF($D$3:$D$28=G$31,IF($F$3:$F$28&lt;&gt;"",$F$3:$F$28))),0.95),"")</f>
        <v/>
      </c>
      <c r="H35" s="144" t="str">
        <f t="array" ref="H35">IFERROR(PERCENTILE(IF($B$3:$B$28=$B35,IF($D$3:$D$28=H$31,IF($F$3:$F$28&lt;&gt;"",$F$3:$F$28))),0.95),"")</f>
        <v/>
      </c>
      <c r="I35" s="144">
        <f t="array" ref="I35">IFERROR(PERCENTILE(IF($B$3:$B$28=$B35,IF($D$3:$D$28=I$31,IF($F$3:$F$28&lt;&gt;"",$F$3:$F$28))),0.95),"")</f>
        <v>0.44</v>
      </c>
      <c r="J35" s="144" t="str">
        <f t="array" ref="J35">IFERROR(PERCENTILE(IF($B$3:$B$28=$B35,IF($D$3:$D$28=J$31,IF($F$3:$F$28&lt;&gt;"",$F$3:$F$28))),0.95),"")</f>
        <v/>
      </c>
      <c r="K35" s="144" t="str">
        <f t="array" ref="K35">IFERROR(PERCENTILE(IF($B$3:$B$28=$B35,IF($D$3:$D$28=K$31,IF($F$3:$F$28&lt;&gt;"",$F$3:$F$28))),0.95),"")</f>
        <v/>
      </c>
      <c r="L35" s="144" t="str">
        <f t="array" ref="L35">IFERROR(PERCENTILE(IF($B$3:$B$28=$B35,IF($D$3:$D$28=L$31,IF($F$3:$F$28&lt;&gt;"",$F$3:$F$28))),0.95),"")</f>
        <v/>
      </c>
      <c r="M35" s="144">
        <f t="array" ref="M35">IFERROR(PERCENTILE(IF($B$3:$B$28=$B35,IF($D$3:$D$28=M$31,IF($F$3:$F$28&lt;&gt;"",$F$3:$F$28))),0.95),"")</f>
        <v>0.25</v>
      </c>
      <c r="N35" s="144" t="str">
        <f t="array" ref="N35">IFERROR(PERCENTILE(IF($B$3:$B$28=$B35,IF($D$3:$D$28=N$31,IF($F$3:$F$28&lt;&gt;"",$F$3:$F$28))),0.95),"")</f>
        <v/>
      </c>
      <c r="O35" s="144" t="str">
        <f t="array" ref="O35">IFERROR(PERCENTILE(IF($B$3:$B$28=$B35,IF($D$3:$D$28=O$31,IF($F$3:$F$28&lt;&gt;"",$F$3:$F$28))),0.95),"")</f>
        <v/>
      </c>
      <c r="P35" s="144" t="str">
        <f t="array" ref="P35">IFERROR(PERCENTILE(IF($B$3:$B$28=$B35,IF($D$3:$D$28=P$31,IF($F$3:$F$28&lt;&gt;"",$F$3:$F$28))),0.95),"")</f>
        <v/>
      </c>
      <c r="Q35" s="144" t="str">
        <f t="array" ref="Q35">IFERROR(PERCENTILE(IF($B$3:$B$28=$B35,IF($D$3:$D$28=Q$31,IF($F$3:$F$28&lt;&gt;"",$F$3:$F$28))),0.95),"")</f>
        <v/>
      </c>
      <c r="R35" s="144" t="str">
        <f t="array" ref="R35">IFERROR(PERCENTILE(IF($B$3:$B$28=$B35,IF($D$3:$D$28=R$31,IF($F$3:$F$28&lt;&gt;"",$F$3:$F$28))),0.95),"")</f>
        <v/>
      </c>
      <c r="S35" s="144" t="str">
        <f t="array" ref="S35">IFERROR(PERCENTILE(IF($B$3:$B$28=$B35,IF($D$3:$D$28=S$31,IF($F$3:$F$28&lt;&gt;"",$F$3:$F$28))),0.95),"")</f>
        <v/>
      </c>
      <c r="T35" s="144" t="str">
        <f t="array" ref="T35">IFERROR(PERCENTILE(IF($B$3:$B$28=$B35,IF($D$3:$D$28=T$31,IF($F$3:$F$28&lt;&gt;"",$F$3:$F$28))),0.95),"")</f>
        <v/>
      </c>
      <c r="U35" s="144" t="str">
        <f t="array" ref="U35">IFERROR(PERCENTILE(IF($B$3:$B$28=$B35,IF($D$3:$D$28=U$31,IF($F$3:$F$28&lt;&gt;"",$F$3:$F$28))),0.95),"")</f>
        <v/>
      </c>
      <c r="V35" s="144">
        <f t="array" ref="V35">IFERROR(PERCENTILE(IF($B$3:$B$28=$B35,IF($D$3:$D$28=V$31,IF($F$3:$F$28&lt;&gt;"",$F$3:$F$28))),0.95),"")</f>
        <v>0.73</v>
      </c>
      <c r="W35" s="144" t="str">
        <f t="array" ref="W35">IFERROR(PERCENTILE(IF($B$3:$B$28=$B35,IF($D$3:$D$28=W$31,IF($F$3:$F$28&lt;&gt;"",$F$3:$F$28))),0.95),"")</f>
        <v/>
      </c>
      <c r="X35" s="144" t="str">
        <f t="array" ref="X35">IFERROR(PERCENTILE(IF($B$3:$B$28=$B35,IF($D$3:$D$28=X$31,IF($F$3:$F$28&lt;&gt;"",$F$3:$F$28))),0.95),"")</f>
        <v/>
      </c>
      <c r="Y35" s="144" t="str">
        <f t="array" ref="Y35">IFERROR(PERCENTILE(IF($B$3:$B$28=$B35,IF($D$3:$D$28=Y$31,IF($F$3:$F$28&lt;&gt;"",$F$3:$F$28))),0.95),"")</f>
        <v/>
      </c>
      <c r="Z35" s="144">
        <f t="array" ref="Z35">IFERROR(PERCENTILE(IF($B$3:$B$28=$B35,IF($D$3:$D$28=Z$31,IF($F$3:$F$28&lt;&gt;"",$F$3:$F$28))),0.95),"")</f>
        <v>0.25</v>
      </c>
      <c r="AA35" s="144" t="str">
        <f t="array" ref="AA35">IFERROR(PERCENTILE(IF($B$3:$B$28=$B35,IF($D$3:$D$28=AA$31,IF($F$3:$F$28&lt;&gt;"",$F$3:$F$28))),0.95),"")</f>
        <v/>
      </c>
      <c r="AB35" s="144" t="str">
        <f t="array" ref="AB35">IFERROR(PERCENTILE(IF($B$3:$B$28=$B35,IF($D$3:$D$28=AB$31,IF($F$3:$F$28&lt;&gt;"",$F$3:$F$28))),0.95),"")</f>
        <v/>
      </c>
      <c r="AC35" s="144" t="str">
        <f t="array" ref="AC35">IFERROR(PERCENTILE(IF($B$3:$B$28=$B35,IF($D$3:$D$28=AC$31,IF($F$3:$F$28&lt;&gt;"",$F$3:$F$28))),0.95),"")</f>
        <v/>
      </c>
      <c r="AD35" s="144" t="str">
        <f t="array" ref="AD35">IFERROR(PERCENTILE(IF($B$3:$B$28=$B35,IF($D$3:$D$28=AD$31,IF($F$3:$F$28&lt;&gt;"",$F$3:$F$28))),0.95),"")</f>
        <v/>
      </c>
      <c r="AE35" s="144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5">
        <f t="shared" si="3"/>
        <v>0</v>
      </c>
      <c r="B36" s="104" t="str">
        <f t="array" ref="B36">IFERROR(INDEX($B$3:$B$28, MATCH(0,IF(ISBLANK($B$3:$B$28),1,COUNTIF($B$32:B35, $B$3:$B$28)), 0)),"")</f>
        <v>Banglore</v>
      </c>
      <c r="C36" s="105"/>
      <c r="D36" s="105"/>
      <c r="E36" s="105"/>
      <c r="F36" s="106"/>
      <c r="G36" s="144" t="str">
        <f t="array" ref="G36">IFERROR(PERCENTILE(IF($B$3:$B$28=$B36,IF($D$3:$D$28=G$31,IF($F$3:$F$28&lt;&gt;"",$F$3:$F$28))),0.95),"")</f>
        <v/>
      </c>
      <c r="H36" s="144" t="str">
        <f t="array" ref="H36">IFERROR(PERCENTILE(IF($B$3:$B$28=$B36,IF($D$3:$D$28=H$31,IF($F$3:$F$28&lt;&gt;"",$F$3:$F$28))),0.95),"")</f>
        <v/>
      </c>
      <c r="I36" s="144" t="str">
        <f t="array" ref="I36">IFERROR(PERCENTILE(IF($B$3:$B$28=$B36,IF($D$3:$D$28=I$31,IF($F$3:$F$28&lt;&gt;"",$F$3:$F$28))),0.95),"")</f>
        <v/>
      </c>
      <c r="J36" s="144">
        <f t="array" ref="J36">IFERROR(PERCENTILE(IF($B$3:$B$28=$B36,IF($D$3:$D$28=J$31,IF($F$3:$F$28&lt;&gt;"",$F$3:$F$28))),0.95),"")</f>
        <v>0.73</v>
      </c>
      <c r="K36" s="144" t="str">
        <f t="array" ref="K36">IFERROR(PERCENTILE(IF($B$3:$B$28=$B36,IF($D$3:$D$28=K$31,IF($F$3:$F$28&lt;&gt;"",$F$3:$F$28))),0.95),"")</f>
        <v/>
      </c>
      <c r="L36" s="144" t="str">
        <f t="array" ref="L36">IFERROR(PERCENTILE(IF($B$3:$B$28=$B36,IF($D$3:$D$28=L$31,IF($F$3:$F$28&lt;&gt;"",$F$3:$F$28))),0.95),"")</f>
        <v/>
      </c>
      <c r="M36" s="144" t="str">
        <f t="array" ref="M36">IFERROR(PERCENTILE(IF($B$3:$B$28=$B36,IF($D$3:$D$28=M$31,IF($F$3:$F$28&lt;&gt;"",$F$3:$F$28))),0.95),"")</f>
        <v/>
      </c>
      <c r="N36" s="144" t="str">
        <f t="array" ref="N36">IFERROR(PERCENTILE(IF($B$3:$B$28=$B36,IF($D$3:$D$28=N$31,IF($F$3:$F$28&lt;&gt;"",$F$3:$F$28))),0.95),"")</f>
        <v/>
      </c>
      <c r="O36" s="144" t="str">
        <f t="array" ref="O36">IFERROR(PERCENTILE(IF($B$3:$B$28=$B36,IF($D$3:$D$28=O$31,IF($F$3:$F$28&lt;&gt;"",$F$3:$F$28))),0.95),"")</f>
        <v/>
      </c>
      <c r="P36" s="144" t="str">
        <f t="array" ref="P36">IFERROR(PERCENTILE(IF($B$3:$B$28=$B36,IF($D$3:$D$28=P$31,IF($F$3:$F$28&lt;&gt;"",$F$3:$F$28))),0.95),"")</f>
        <v/>
      </c>
      <c r="Q36" s="144" t="str">
        <f t="array" ref="Q36">IFERROR(PERCENTILE(IF($B$3:$B$28=$B36,IF($D$3:$D$28=Q$31,IF($F$3:$F$28&lt;&gt;"",$F$3:$F$28))),0.95),"")</f>
        <v/>
      </c>
      <c r="R36" s="144" t="str">
        <f t="array" ref="R36">IFERROR(PERCENTILE(IF($B$3:$B$28=$B36,IF($D$3:$D$28=R$31,IF($F$3:$F$28&lt;&gt;"",$F$3:$F$28))),0.95),"")</f>
        <v/>
      </c>
      <c r="S36" s="144" t="str">
        <f t="array" ref="S36">IFERROR(PERCENTILE(IF($B$3:$B$28=$B36,IF($D$3:$D$28=S$31,IF($F$3:$F$28&lt;&gt;"",$F$3:$F$28))),0.95),"")</f>
        <v/>
      </c>
      <c r="T36" s="144" t="str">
        <f t="array" ref="T36">IFERROR(PERCENTILE(IF($B$3:$B$28=$B36,IF($D$3:$D$28=T$31,IF($F$3:$F$28&lt;&gt;"",$F$3:$F$28))),0.95),"")</f>
        <v/>
      </c>
      <c r="U36" s="144" t="str">
        <f t="array" ref="U36">IFERROR(PERCENTILE(IF($B$3:$B$28=$B36,IF($D$3:$D$28=U$31,IF($F$3:$F$28&lt;&gt;"",$F$3:$F$28))),0.95),"")</f>
        <v/>
      </c>
      <c r="V36" s="144" t="str">
        <f t="array" ref="V36">IFERROR(PERCENTILE(IF($B$3:$B$28=$B36,IF($D$3:$D$28=V$31,IF($F$3:$F$28&lt;&gt;"",$F$3:$F$28))),0.95),"")</f>
        <v/>
      </c>
      <c r="W36" s="144">
        <f t="array" ref="W36">IFERROR(PERCENTILE(IF($B$3:$B$28=$B36,IF($D$3:$D$28=W$31,IF($F$3:$F$28&lt;&gt;"",$F$3:$F$28))),0.95),"")</f>
        <v>0.99</v>
      </c>
      <c r="X36" s="144" t="str">
        <f t="array" ref="X36">IFERROR(PERCENTILE(IF($B$3:$B$28=$B36,IF($D$3:$D$28=X$31,IF($F$3:$F$28&lt;&gt;"",$F$3:$F$28))),0.95),"")</f>
        <v/>
      </c>
      <c r="Y36" s="144" t="str">
        <f t="array" ref="Y36">IFERROR(PERCENTILE(IF($B$3:$B$28=$B36,IF($D$3:$D$28=Y$31,IF($F$3:$F$28&lt;&gt;"",$F$3:$F$28))),0.95),"")</f>
        <v/>
      </c>
      <c r="Z36" s="144" t="str">
        <f t="array" ref="Z36">IFERROR(PERCENTILE(IF($B$3:$B$28=$B36,IF($D$3:$D$28=Z$31,IF($F$3:$F$28&lt;&gt;"",$F$3:$F$28))),0.95),"")</f>
        <v/>
      </c>
      <c r="AA36" s="144" t="str">
        <f t="array" ref="AA36">IFERROR(PERCENTILE(IF($B$3:$B$28=$B36,IF($D$3:$D$28=AA$31,IF($F$3:$F$28&lt;&gt;"",$F$3:$F$28))),0.95),"")</f>
        <v/>
      </c>
      <c r="AB36" s="144" t="str">
        <f t="array" ref="AB36">IFERROR(PERCENTILE(IF($B$3:$B$28=$B36,IF($D$3:$D$28=AB$31,IF($F$3:$F$28&lt;&gt;"",$F$3:$F$28))),0.95),"")</f>
        <v/>
      </c>
      <c r="AC36" s="144" t="str">
        <f t="array" ref="AC36">IFERROR(PERCENTILE(IF($B$3:$B$28=$B36,IF($D$3:$D$28=AC$31,IF($F$3:$F$28&lt;&gt;"",$F$3:$F$28))),0.95),"")</f>
        <v/>
      </c>
      <c r="AD36" s="144" t="str">
        <f t="array" ref="AD36">IFERROR(PERCENTILE(IF($B$3:$B$28=$B36,IF($D$3:$D$28=AD$31,IF($F$3:$F$28&lt;&gt;"",$F$3:$F$28))),0.95),"")</f>
        <v/>
      </c>
      <c r="AE36" s="144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5">
        <f t="shared" si="3"/>
        <v>0</v>
      </c>
      <c r="B37" s="104" t="str">
        <f t="array" ref="B37">IFERROR(INDEX($B$3:$B$28, MATCH(0,IF(ISBLANK($B$3:$B$28),1,COUNTIF($B$32:B36, $B$3:$B$28)), 0)),"")</f>
        <v>Chennai</v>
      </c>
      <c r="C37" s="105"/>
      <c r="D37" s="105"/>
      <c r="E37" s="105"/>
      <c r="F37" s="106"/>
      <c r="G37" s="144" t="str">
        <f t="array" ref="G37">IFERROR(PERCENTILE(IF($B$3:$B$28=$B37,IF($D$3:$D$28=G$31,IF($F$3:$F$28&lt;&gt;"",$F$3:$F$28))),0.95),"")</f>
        <v/>
      </c>
      <c r="H37" s="144" t="str">
        <f t="array" ref="H37">IFERROR(PERCENTILE(IF($B$3:$B$28=$B37,IF($D$3:$D$28=H$31,IF($F$3:$F$28&lt;&gt;"",$F$3:$F$28))),0.95),"")</f>
        <v/>
      </c>
      <c r="I37" s="144" t="str">
        <f t="array" ref="I37">IFERROR(PERCENTILE(IF($B$3:$B$28=$B37,IF($D$3:$D$28=I$31,IF($F$3:$F$28&lt;&gt;"",$F$3:$F$28))),0.95),"")</f>
        <v/>
      </c>
      <c r="J37" s="144" t="str">
        <f t="array" ref="J37">IFERROR(PERCENTILE(IF($B$3:$B$28=$B37,IF($D$3:$D$28=J$31,IF($F$3:$F$28&lt;&gt;"",$F$3:$F$28))),0.95),"")</f>
        <v/>
      </c>
      <c r="K37" s="144">
        <f t="array" ref="K37">IFERROR(PERCENTILE(IF($B$3:$B$28=$B37,IF($D$3:$D$28=K$31,IF($F$3:$F$28&lt;&gt;"",$F$3:$F$28))),0.95),"")</f>
        <v>0.99</v>
      </c>
      <c r="L37" s="144" t="str">
        <f t="array" ref="L37">IFERROR(PERCENTILE(IF($B$3:$B$28=$B37,IF($D$3:$D$28=L$31,IF($F$3:$F$28&lt;&gt;"",$F$3:$F$28))),0.95),"")</f>
        <v/>
      </c>
      <c r="M37" s="144" t="str">
        <f t="array" ref="M37">IFERROR(PERCENTILE(IF($B$3:$B$28=$B37,IF($D$3:$D$28=M$31,IF($F$3:$F$28&lt;&gt;"",$F$3:$F$28))),0.95),"")</f>
        <v/>
      </c>
      <c r="N37" s="144" t="str">
        <f t="array" ref="N37">IFERROR(PERCENTILE(IF($B$3:$B$28=$B37,IF($D$3:$D$28=N$31,IF($F$3:$F$28&lt;&gt;"",$F$3:$F$28))),0.95),"")</f>
        <v/>
      </c>
      <c r="O37" s="144" t="str">
        <f t="array" ref="O37">IFERROR(PERCENTILE(IF($B$3:$B$28=$B37,IF($D$3:$D$28=O$31,IF($F$3:$F$28&lt;&gt;"",$F$3:$F$28))),0.95),"")</f>
        <v/>
      </c>
      <c r="P37" s="144" t="str">
        <f t="array" ref="P37">IFERROR(PERCENTILE(IF($B$3:$B$28=$B37,IF($D$3:$D$28=P$31,IF($F$3:$F$28&lt;&gt;"",$F$3:$F$28))),0.95),"")</f>
        <v/>
      </c>
      <c r="Q37" s="144" t="str">
        <f t="array" ref="Q37">IFERROR(PERCENTILE(IF($B$3:$B$28=$B37,IF($D$3:$D$28=Q$31,IF($F$3:$F$28&lt;&gt;"",$F$3:$F$28))),0.95),"")</f>
        <v/>
      </c>
      <c r="R37" s="144" t="str">
        <f t="array" ref="R37">IFERROR(PERCENTILE(IF($B$3:$B$28=$B37,IF($D$3:$D$28=R$31,IF($F$3:$F$28&lt;&gt;"",$F$3:$F$28))),0.95),"")</f>
        <v/>
      </c>
      <c r="S37" s="144" t="str">
        <f t="array" ref="S37">IFERROR(PERCENTILE(IF($B$3:$B$28=$B37,IF($D$3:$D$28=S$31,IF($F$3:$F$28&lt;&gt;"",$F$3:$F$28))),0.95),"")</f>
        <v/>
      </c>
      <c r="T37" s="144" t="str">
        <f t="array" ref="T37">IFERROR(PERCENTILE(IF($B$3:$B$28=$B37,IF($D$3:$D$28=T$31,IF($F$3:$F$28&lt;&gt;"",$F$3:$F$28))),0.95),"")</f>
        <v/>
      </c>
      <c r="U37" s="144" t="str">
        <f t="array" ref="U37">IFERROR(PERCENTILE(IF($B$3:$B$28=$B37,IF($D$3:$D$28=U$31,IF($F$3:$F$28&lt;&gt;"",$F$3:$F$28))),0.95),"")</f>
        <v/>
      </c>
      <c r="V37" s="144" t="str">
        <f t="array" ref="V37">IFERROR(PERCENTILE(IF($B$3:$B$28=$B37,IF($D$3:$D$28=V$31,IF($F$3:$F$28&lt;&gt;"",$F$3:$F$28))),0.95),"")</f>
        <v/>
      </c>
      <c r="W37" s="144" t="str">
        <f t="array" ref="W37">IFERROR(PERCENTILE(IF($B$3:$B$28=$B37,IF($D$3:$D$28=W$31,IF($F$3:$F$28&lt;&gt;"",$F$3:$F$28))),0.95),"")</f>
        <v/>
      </c>
      <c r="X37" s="144">
        <f t="array" ref="X37">IFERROR(PERCENTILE(IF($B$3:$B$28=$B37,IF($D$3:$D$28=X$31,IF($F$3:$F$28&lt;&gt;"",$F$3:$F$28))),0.95),"")</f>
        <v>0.11</v>
      </c>
      <c r="Y37" s="144" t="str">
        <f t="array" ref="Y37">IFERROR(PERCENTILE(IF($B$3:$B$28=$B37,IF($D$3:$D$28=Y$31,IF($F$3:$F$28&lt;&gt;"",$F$3:$F$28))),0.95),"")</f>
        <v/>
      </c>
      <c r="Z37" s="144" t="str">
        <f t="array" ref="Z37">IFERROR(PERCENTILE(IF($B$3:$B$28=$B37,IF($D$3:$D$28=Z$31,IF($F$3:$F$28&lt;&gt;"",$F$3:$F$28))),0.95),"")</f>
        <v/>
      </c>
      <c r="AA37" s="144" t="str">
        <f t="array" ref="AA37">IFERROR(PERCENTILE(IF($B$3:$B$28=$B37,IF($D$3:$D$28=AA$31,IF($F$3:$F$28&lt;&gt;"",$F$3:$F$28))),0.95),"")</f>
        <v/>
      </c>
      <c r="AB37" s="144" t="str">
        <f t="array" ref="AB37">IFERROR(PERCENTILE(IF($B$3:$B$28=$B37,IF($D$3:$D$28=AB$31,IF($F$3:$F$28&lt;&gt;"",$F$3:$F$28))),0.95),"")</f>
        <v/>
      </c>
      <c r="AC37" s="144" t="str">
        <f t="array" ref="AC37">IFERROR(PERCENTILE(IF($B$3:$B$28=$B37,IF($D$3:$D$28=AC$31,IF($F$3:$F$28&lt;&gt;"",$F$3:$F$28))),0.95),"")</f>
        <v/>
      </c>
      <c r="AD37" s="144" t="str">
        <f t="array" ref="AD37">IFERROR(PERCENTILE(IF($B$3:$B$28=$B37,IF($D$3:$D$28=AD$31,IF($F$3:$F$28&lt;&gt;"",$F$3:$F$28))),0.95),"")</f>
        <v/>
      </c>
      <c r="AE37" s="144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5">
        <f t="shared" ref="A38:A42" si="4">IF(B38="",1,0)</f>
        <v>0</v>
      </c>
      <c r="B38" s="104" t="str">
        <f t="array" ref="B38">IFERROR(INDEX($B$3:$B$28, MATCH(0,IF(ISBLANK($B$3:$B$28),1,COUNTIF($B$32:B37, $B$3:$B$28)), 0)),"")</f>
        <v>Madhya Pradesh</v>
      </c>
      <c r="C38" s="105"/>
      <c r="D38" s="105"/>
      <c r="E38" s="105"/>
      <c r="F38" s="106"/>
      <c r="G38" s="144" t="str">
        <f t="array" ref="G38">IFERROR(PERCENTILE(IF($B$3:$B$28=$B38,IF($D$3:$D$28=G$31,IF($F$3:$F$28&lt;&gt;"",$F$3:$F$28))),0.95),"")</f>
        <v/>
      </c>
      <c r="H38" s="144" t="str">
        <f t="array" ref="H38">IFERROR(PERCENTILE(IF($B$3:$B$28=$B38,IF($D$3:$D$28=H$31,IF($F$3:$F$28&lt;&gt;"",$F$3:$F$28))),0.95),"")</f>
        <v/>
      </c>
      <c r="I38" s="144" t="str">
        <f t="array" ref="I38">IFERROR(PERCENTILE(IF($B$3:$B$28=$B38,IF($D$3:$D$28=I$31,IF($F$3:$F$28&lt;&gt;"",$F$3:$F$28))),0.95),"")</f>
        <v/>
      </c>
      <c r="J38" s="144" t="str">
        <f t="array" ref="J38">IFERROR(PERCENTILE(IF($B$3:$B$28=$B38,IF($D$3:$D$28=J$31,IF($F$3:$F$28&lt;&gt;"",$F$3:$F$28))),0.95),"")</f>
        <v/>
      </c>
      <c r="K38" s="144" t="str">
        <f t="array" ref="K38">IFERROR(PERCENTILE(IF($B$3:$B$28=$B38,IF($D$3:$D$28=K$31,IF($F$3:$F$28&lt;&gt;"",$F$3:$F$28))),0.95),"")</f>
        <v/>
      </c>
      <c r="L38" s="144" t="str">
        <f t="array" ref="L38">IFERROR(PERCENTILE(IF($B$3:$B$28=$B38,IF($D$3:$D$28=L$31,IF($F$3:$F$28&lt;&gt;"",$F$3:$F$28))),0.95),"")</f>
        <v/>
      </c>
      <c r="M38" s="144" t="str">
        <f t="array" ref="M38">IFERROR(PERCENTILE(IF($B$3:$B$28=$B38,IF($D$3:$D$28=M$31,IF($F$3:$F$28&lt;&gt;"",$F$3:$F$28))),0.95),"")</f>
        <v/>
      </c>
      <c r="N38" s="144" t="str">
        <f t="array" ref="N38">IFERROR(PERCENTILE(IF($B$3:$B$28=$B38,IF($D$3:$D$28=N$31,IF($F$3:$F$28&lt;&gt;"",$F$3:$F$28))),0.95),"")</f>
        <v/>
      </c>
      <c r="O38" s="144">
        <f t="array" ref="O38">IFERROR(PERCENTILE(IF($B$3:$B$28=$B38,IF($D$3:$D$28=O$31,IF($F$3:$F$28&lt;&gt;"",$F$3:$F$28))),0.95),"")</f>
        <v>0.33</v>
      </c>
      <c r="P38" s="144" t="str">
        <f t="array" ref="P38">IFERROR(PERCENTILE(IF($B$3:$B$28=$B38,IF($D$3:$D$28=P$31,IF($F$3:$F$28&lt;&gt;"",$F$3:$F$28))),0.95),"")</f>
        <v/>
      </c>
      <c r="Q38" s="144" t="str">
        <f t="array" ref="Q38">IFERROR(PERCENTILE(IF($B$3:$B$28=$B38,IF($D$3:$D$28=Q$31,IF($F$3:$F$28&lt;&gt;"",$F$3:$F$28))),0.95),"")</f>
        <v/>
      </c>
      <c r="R38" s="144" t="str">
        <f t="array" ref="R38">IFERROR(PERCENTILE(IF($B$3:$B$28=$B38,IF($D$3:$D$28=R$31,IF($F$3:$F$28&lt;&gt;"",$F$3:$F$28))),0.95),"")</f>
        <v/>
      </c>
      <c r="S38" s="144" t="str">
        <f t="array" ref="S38">IFERROR(PERCENTILE(IF($B$3:$B$28=$B38,IF($D$3:$D$28=S$31,IF($F$3:$F$28&lt;&gt;"",$F$3:$F$28))),0.95),"")</f>
        <v/>
      </c>
      <c r="T38" s="144" t="str">
        <f t="array" ref="T38">IFERROR(PERCENTILE(IF($B$3:$B$28=$B38,IF($D$3:$D$28=T$31,IF($F$3:$F$28&lt;&gt;"",$F$3:$F$28))),0.95),"")</f>
        <v/>
      </c>
      <c r="U38" s="144" t="str">
        <f t="array" ref="U38">IFERROR(PERCENTILE(IF($B$3:$B$28=$B38,IF($D$3:$D$28=U$31,IF($F$3:$F$28&lt;&gt;"",$F$3:$F$28))),0.95),"")</f>
        <v/>
      </c>
      <c r="V38" s="144" t="str">
        <f t="array" ref="V38">IFERROR(PERCENTILE(IF($B$3:$B$28=$B38,IF($D$3:$D$28=V$31,IF($F$3:$F$28&lt;&gt;"",$F$3:$F$28))),0.95),"")</f>
        <v/>
      </c>
      <c r="W38" s="144" t="str">
        <f t="array" ref="W38">IFERROR(PERCENTILE(IF($B$3:$B$28=$B38,IF($D$3:$D$28=W$31,IF($F$3:$F$28&lt;&gt;"",$F$3:$F$28))),0.95),"")</f>
        <v/>
      </c>
      <c r="X38" s="144" t="str">
        <f t="array" ref="X38">IFERROR(PERCENTILE(IF($B$3:$B$28=$B38,IF($D$3:$D$28=X$31,IF($F$3:$F$28&lt;&gt;"",$F$3:$F$28))),0.95),"")</f>
        <v/>
      </c>
      <c r="Y38" s="144" t="str">
        <f t="array" ref="Y38">IFERROR(PERCENTILE(IF($B$3:$B$28=$B38,IF($D$3:$D$28=Y$31,IF($F$3:$F$28&lt;&gt;"",$F$3:$F$28))),0.95),"")</f>
        <v/>
      </c>
      <c r="Z38" s="144" t="str">
        <f t="array" ref="Z38">IFERROR(PERCENTILE(IF($B$3:$B$28=$B38,IF($D$3:$D$28=Z$31,IF($F$3:$F$28&lt;&gt;"",$F$3:$F$28))),0.95),"")</f>
        <v/>
      </c>
      <c r="AA38" s="144" t="str">
        <f t="array" ref="AA38">IFERROR(PERCENTILE(IF($B$3:$B$28=$B38,IF($D$3:$D$28=AA$31,IF($F$3:$F$28&lt;&gt;"",$F$3:$F$28))),0.95),"")</f>
        <v/>
      </c>
      <c r="AB38" s="144">
        <f t="array" ref="AB38">IFERROR(PERCENTILE(IF($B$3:$B$28=$B38,IF($D$3:$D$28=AB$31,IF($F$3:$F$28&lt;&gt;"",$F$3:$F$28))),0.95),"")</f>
        <v>0.19</v>
      </c>
      <c r="AC38" s="144" t="str">
        <f t="array" ref="AC38">IFERROR(PERCENTILE(IF($B$3:$B$28=$B38,IF($D$3:$D$28=AC$31,IF($F$3:$F$28&lt;&gt;"",$F$3:$F$28))),0.95),"")</f>
        <v/>
      </c>
      <c r="AD38" s="144" t="str">
        <f t="array" ref="AD38">IFERROR(PERCENTILE(IF($B$3:$B$28=$B38,IF($D$3:$D$28=AD$31,IF($F$3:$F$28&lt;&gt;"",$F$3:$F$28))),0.95),"")</f>
        <v/>
      </c>
      <c r="AE38" s="144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5">
        <f t="shared" si="4"/>
        <v>0</v>
      </c>
      <c r="B39" s="104" t="str">
        <f t="array" ref="B39">IFERROR(INDEX($B$3:$B$28, MATCH(0,IF(ISBLANK($B$3:$B$28),1,COUNTIF($B$32:B38, $B$3:$B$28)), 0)),"")</f>
        <v>Gujrat</v>
      </c>
      <c r="C39" s="105"/>
      <c r="D39" s="105"/>
      <c r="E39" s="105"/>
      <c r="F39" s="106"/>
      <c r="G39" s="144" t="str">
        <f t="array" ref="G39">IFERROR(PERCENTILE(IF($B$3:$B$28=$B39,IF($D$3:$D$28=G$31,IF($F$3:$F$28&lt;&gt;"",$F$3:$F$28))),0.95),"")</f>
        <v/>
      </c>
      <c r="H39" s="144" t="str">
        <f t="array" ref="H39">IFERROR(PERCENTILE(IF($B$3:$B$28=$B39,IF($D$3:$D$28=H$31,IF($F$3:$F$28&lt;&gt;"",$F$3:$F$28))),0.95),"")</f>
        <v/>
      </c>
      <c r="I39" s="144" t="str">
        <f t="array" ref="I39">IFERROR(PERCENTILE(IF($B$3:$B$28=$B39,IF($D$3:$D$28=I$31,IF($F$3:$F$28&lt;&gt;"",$F$3:$F$28))),0.95),"")</f>
        <v/>
      </c>
      <c r="J39" s="144" t="str">
        <f t="array" ref="J39">IFERROR(PERCENTILE(IF($B$3:$B$28=$B39,IF($D$3:$D$28=J$31,IF($F$3:$F$28&lt;&gt;"",$F$3:$F$28))),0.95),"")</f>
        <v/>
      </c>
      <c r="K39" s="144" t="str">
        <f t="array" ref="K39">IFERROR(PERCENTILE(IF($B$3:$B$28=$B39,IF($D$3:$D$28=K$31,IF($F$3:$F$28&lt;&gt;"",$F$3:$F$28))),0.95),"")</f>
        <v/>
      </c>
      <c r="L39" s="144" t="str">
        <f t="array" ref="L39">IFERROR(PERCENTILE(IF($B$3:$B$28=$B39,IF($D$3:$D$28=L$31,IF($F$3:$F$28&lt;&gt;"",$F$3:$F$28))),0.95),"")</f>
        <v/>
      </c>
      <c r="M39" s="144" t="str">
        <f t="array" ref="M39">IFERROR(PERCENTILE(IF($B$3:$B$28=$B39,IF($D$3:$D$28=M$31,IF($F$3:$F$28&lt;&gt;"",$F$3:$F$28))),0.95),"")</f>
        <v/>
      </c>
      <c r="N39" s="144" t="str">
        <f t="array" ref="N39">IFERROR(PERCENTILE(IF($B$3:$B$28=$B39,IF($D$3:$D$28=N$31,IF($F$3:$F$28&lt;&gt;"",$F$3:$F$28))),0.95),"")</f>
        <v/>
      </c>
      <c r="O39" s="144" t="str">
        <f t="array" ref="O39">IFERROR(PERCENTILE(IF($B$3:$B$28=$B39,IF($D$3:$D$28=O$31,IF($F$3:$F$28&lt;&gt;"",$F$3:$F$28))),0.95),"")</f>
        <v/>
      </c>
      <c r="P39" s="144">
        <f t="array" ref="P39">IFERROR(PERCENTILE(IF($B$3:$B$28=$B39,IF($D$3:$D$28=P$31,IF($F$3:$F$28&lt;&gt;"",$F$3:$F$28))),0.95),"")</f>
        <v>0.19</v>
      </c>
      <c r="Q39" s="144" t="str">
        <f t="array" ref="Q39">IFERROR(PERCENTILE(IF($B$3:$B$28=$B39,IF($D$3:$D$28=Q$31,IF($F$3:$F$28&lt;&gt;"",$F$3:$F$28))),0.95),"")</f>
        <v/>
      </c>
      <c r="R39" s="144" t="str">
        <f t="array" ref="R39">IFERROR(PERCENTILE(IF($B$3:$B$28=$B39,IF($D$3:$D$28=R$31,IF($F$3:$F$28&lt;&gt;"",$F$3:$F$28))),0.95),"")</f>
        <v/>
      </c>
      <c r="S39" s="144" t="str">
        <f t="array" ref="S39">IFERROR(PERCENTILE(IF($B$3:$B$28=$B39,IF($D$3:$D$28=S$31,IF($F$3:$F$28&lt;&gt;"",$F$3:$F$28))),0.95),"")</f>
        <v/>
      </c>
      <c r="T39" s="144" t="str">
        <f t="array" ref="T39">IFERROR(PERCENTILE(IF($B$3:$B$28=$B39,IF($D$3:$D$28=T$31,IF($F$3:$F$28&lt;&gt;"",$F$3:$F$28))),0.95),"")</f>
        <v/>
      </c>
      <c r="U39" s="144" t="str">
        <f t="array" ref="U39">IFERROR(PERCENTILE(IF($B$3:$B$28=$B39,IF($D$3:$D$28=U$31,IF($F$3:$F$28&lt;&gt;"",$F$3:$F$28))),0.95),"")</f>
        <v/>
      </c>
      <c r="V39" s="144" t="str">
        <f t="array" ref="V39">IFERROR(PERCENTILE(IF($B$3:$B$28=$B39,IF($D$3:$D$28=V$31,IF($F$3:$F$28&lt;&gt;"",$F$3:$F$28))),0.95),"")</f>
        <v/>
      </c>
      <c r="W39" s="144" t="str">
        <f t="array" ref="W39">IFERROR(PERCENTILE(IF($B$3:$B$28=$B39,IF($D$3:$D$28=W$31,IF($F$3:$F$28&lt;&gt;"",$F$3:$F$28))),0.95),"")</f>
        <v/>
      </c>
      <c r="X39" s="144" t="str">
        <f t="array" ref="X39">IFERROR(PERCENTILE(IF($B$3:$B$28=$B39,IF($D$3:$D$28=X$31,IF($F$3:$F$28&lt;&gt;"",$F$3:$F$28))),0.95),"")</f>
        <v/>
      </c>
      <c r="Y39" s="144" t="str">
        <f t="array" ref="Y39">IFERROR(PERCENTILE(IF($B$3:$B$28=$B39,IF($D$3:$D$28=Y$31,IF($F$3:$F$28&lt;&gt;"",$F$3:$F$28))),0.95),"")</f>
        <v/>
      </c>
      <c r="Z39" s="144" t="str">
        <f t="array" ref="Z39">IFERROR(PERCENTILE(IF($B$3:$B$28=$B39,IF($D$3:$D$28=Z$31,IF($F$3:$F$28&lt;&gt;"",$F$3:$F$28))),0.95),"")</f>
        <v/>
      </c>
      <c r="AA39" s="144" t="str">
        <f t="array" ref="AA39">IFERROR(PERCENTILE(IF($B$3:$B$28=$B39,IF($D$3:$D$28=AA$31,IF($F$3:$F$28&lt;&gt;"",$F$3:$F$28))),0.95),"")</f>
        <v/>
      </c>
      <c r="AB39" s="144" t="str">
        <f t="array" ref="AB39">IFERROR(PERCENTILE(IF($B$3:$B$28=$B39,IF($D$3:$D$28=AB$31,IF($F$3:$F$28&lt;&gt;"",$F$3:$F$28))),0.95),"")</f>
        <v/>
      </c>
      <c r="AC39" s="144">
        <f t="array" ref="AC39">IFERROR(PERCENTILE(IF($B$3:$B$28=$B39,IF($D$3:$D$28=AC$31,IF($F$3:$F$28&lt;&gt;"",$F$3:$F$28))),0.95),"")</f>
        <v>0.5</v>
      </c>
      <c r="AD39" s="144" t="str">
        <f t="array" ref="AD39">IFERROR(PERCENTILE(IF($B$3:$B$28=$B39,IF($D$3:$D$28=AD$31,IF($F$3:$F$28&lt;&gt;"",$F$3:$F$28))),0.95),"")</f>
        <v/>
      </c>
      <c r="AE39" s="144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5">
        <f t="shared" si="4"/>
        <v>0</v>
      </c>
      <c r="B40" s="104" t="str">
        <f t="array" ref="B40">IFERROR(INDEX($B$3:$B$28, MATCH(0,IF(ISBLANK($B$3:$B$28),1,COUNTIF($B$32:B39, $B$3:$B$28)), 0)),"")</f>
        <v>Ludhiyana</v>
      </c>
      <c r="C40" s="105"/>
      <c r="D40" s="105"/>
      <c r="E40" s="105"/>
      <c r="F40" s="106"/>
      <c r="G40" s="144" t="str">
        <f t="array" ref="G40">IFERROR(PERCENTILE(IF($B$3:$B$28=$B40,IF($D$3:$D$28=G$31,IF($F$3:$F$28&lt;&gt;"",$F$3:$F$28))),0.95),"")</f>
        <v/>
      </c>
      <c r="H40" s="144" t="str">
        <f t="array" ref="H40">IFERROR(PERCENTILE(IF($B$3:$B$28=$B40,IF($D$3:$D$28=H$31,IF($F$3:$F$28&lt;&gt;"",$F$3:$F$28))),0.95),"")</f>
        <v/>
      </c>
      <c r="I40" s="144" t="str">
        <f t="array" ref="I40">IFERROR(PERCENTILE(IF($B$3:$B$28=$B40,IF($D$3:$D$28=I$31,IF($F$3:$F$28&lt;&gt;"",$F$3:$F$28))),0.95),"")</f>
        <v/>
      </c>
      <c r="J40" s="144" t="str">
        <f t="array" ref="J40">IFERROR(PERCENTILE(IF($B$3:$B$28=$B40,IF($D$3:$D$28=J$31,IF($F$3:$F$28&lt;&gt;"",$F$3:$F$28))),0.95),"")</f>
        <v/>
      </c>
      <c r="K40" s="144" t="str">
        <f t="array" ref="K40">IFERROR(PERCENTILE(IF($B$3:$B$28=$B40,IF($D$3:$D$28=K$31,IF($F$3:$F$28&lt;&gt;"",$F$3:$F$28))),0.95),"")</f>
        <v/>
      </c>
      <c r="L40" s="144" t="str">
        <f t="array" ref="L40">IFERROR(PERCENTILE(IF($B$3:$B$28=$B40,IF($D$3:$D$28=L$31,IF($F$3:$F$28&lt;&gt;"",$F$3:$F$28))),0.95),"")</f>
        <v/>
      </c>
      <c r="M40" s="144" t="str">
        <f t="array" ref="M40">IFERROR(PERCENTILE(IF($B$3:$B$28=$B40,IF($D$3:$D$28=M$31,IF($F$3:$F$28&lt;&gt;"",$F$3:$F$28))),0.95),"")</f>
        <v/>
      </c>
      <c r="N40" s="144" t="str">
        <f t="array" ref="N40">IFERROR(PERCENTILE(IF($B$3:$B$28=$B40,IF($D$3:$D$28=N$31,IF($F$3:$F$28&lt;&gt;"",$F$3:$F$28))),0.95),"")</f>
        <v/>
      </c>
      <c r="O40" s="144" t="str">
        <f t="array" ref="O40">IFERROR(PERCENTILE(IF($B$3:$B$28=$B40,IF($D$3:$D$28=O$31,IF($F$3:$F$28&lt;&gt;"",$F$3:$F$28))),0.95),"")</f>
        <v/>
      </c>
      <c r="P40" s="144" t="str">
        <f t="array" ref="P40">IFERROR(PERCENTILE(IF($B$3:$B$28=$B40,IF($D$3:$D$28=P$31,IF($F$3:$F$28&lt;&gt;"",$F$3:$F$28))),0.95),"")</f>
        <v/>
      </c>
      <c r="Q40" s="144">
        <f t="array" ref="Q40">IFERROR(PERCENTILE(IF($B$3:$B$28=$B40,IF($D$3:$D$28=Q$31,IF($F$3:$F$28&lt;&gt;"",$F$3:$F$28))),0.95),"")</f>
        <v>0.5</v>
      </c>
      <c r="R40" s="144" t="str">
        <f t="array" ref="R40">IFERROR(PERCENTILE(IF($B$3:$B$28=$B40,IF($D$3:$D$28=R$31,IF($F$3:$F$28&lt;&gt;"",$F$3:$F$28))),0.95),"")</f>
        <v/>
      </c>
      <c r="S40" s="144" t="str">
        <f t="array" ref="S40">IFERROR(PERCENTILE(IF($B$3:$B$28=$B40,IF($D$3:$D$28=S$31,IF($F$3:$F$28&lt;&gt;"",$F$3:$F$28))),0.95),"")</f>
        <v/>
      </c>
      <c r="T40" s="144" t="str">
        <f t="array" ref="T40">IFERROR(PERCENTILE(IF($B$3:$B$28=$B40,IF($D$3:$D$28=T$31,IF($F$3:$F$28&lt;&gt;"",$F$3:$F$28))),0.95),"")</f>
        <v/>
      </c>
      <c r="U40" s="144" t="str">
        <f t="array" ref="U40">IFERROR(PERCENTILE(IF($B$3:$B$28=$B40,IF($D$3:$D$28=U$31,IF($F$3:$F$28&lt;&gt;"",$F$3:$F$28))),0.95),"")</f>
        <v/>
      </c>
      <c r="V40" s="144" t="str">
        <f t="array" ref="V40">IFERROR(PERCENTILE(IF($B$3:$B$28=$B40,IF($D$3:$D$28=V$31,IF($F$3:$F$28&lt;&gt;"",$F$3:$F$28))),0.95),"")</f>
        <v/>
      </c>
      <c r="W40" s="144" t="str">
        <f t="array" ref="W40">IFERROR(PERCENTILE(IF($B$3:$B$28=$B40,IF($D$3:$D$28=W$31,IF($F$3:$F$28&lt;&gt;"",$F$3:$F$28))),0.95),"")</f>
        <v/>
      </c>
      <c r="X40" s="144" t="str">
        <f t="array" ref="X40">IFERROR(PERCENTILE(IF($B$3:$B$28=$B40,IF($D$3:$D$28=X$31,IF($F$3:$F$28&lt;&gt;"",$F$3:$F$28))),0.95),"")</f>
        <v/>
      </c>
      <c r="Y40" s="144" t="str">
        <f t="array" ref="Y40">IFERROR(PERCENTILE(IF($B$3:$B$28=$B40,IF($D$3:$D$28=Y$31,IF($F$3:$F$28&lt;&gt;"",$F$3:$F$28))),0.95),"")</f>
        <v/>
      </c>
      <c r="Z40" s="144" t="str">
        <f t="array" ref="Z40">IFERROR(PERCENTILE(IF($B$3:$B$28=$B40,IF($D$3:$D$28=Z$31,IF($F$3:$F$28&lt;&gt;"",$F$3:$F$28))),0.95),"")</f>
        <v/>
      </c>
      <c r="AA40" s="144" t="str">
        <f t="array" ref="AA40">IFERROR(PERCENTILE(IF($B$3:$B$28=$B40,IF($D$3:$D$28=AA$31,IF($F$3:$F$28&lt;&gt;"",$F$3:$F$28))),0.95),"")</f>
        <v/>
      </c>
      <c r="AB40" s="144" t="str">
        <f t="array" ref="AB40">IFERROR(PERCENTILE(IF($B$3:$B$28=$B40,IF($D$3:$D$28=AB$31,IF($F$3:$F$28&lt;&gt;"",$F$3:$F$28))),0.95),"")</f>
        <v/>
      </c>
      <c r="AC40" s="144" t="str">
        <f t="array" ref="AC40">IFERROR(PERCENTILE(IF($B$3:$B$28=$B40,IF($D$3:$D$28=AC$31,IF($F$3:$F$28&lt;&gt;"",$F$3:$F$28))),0.95),"")</f>
        <v/>
      </c>
      <c r="AD40" s="144">
        <f t="array" ref="AD40">IFERROR(PERCENTILE(IF($B$3:$B$28=$B40,IF($D$3:$D$28=AD$31,IF($F$3:$F$28&lt;&gt;"",$F$3:$F$28))),0.95),"")</f>
        <v>0.5</v>
      </c>
      <c r="AE40" s="144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5">
        <f t="shared" si="4"/>
        <v>0</v>
      </c>
      <c r="B41" s="104" t="str">
        <f t="array" ref="B41">IFERROR(INDEX($B$3:$B$28, MATCH(0,IF(ISBLANK($B$3:$B$28),1,COUNTIF($B$32:B40, $B$3:$B$28)), 0)),"")</f>
        <v>Uttar Pradesh</v>
      </c>
      <c r="C41" s="105"/>
      <c r="D41" s="105"/>
      <c r="E41" s="105"/>
      <c r="F41" s="106"/>
      <c r="G41" s="144" t="str">
        <f t="array" ref="G41">IFERROR(PERCENTILE(IF($B$3:$B$28=$B41,IF($D$3:$D$28=G$31,IF($F$3:$F$28&lt;&gt;"",$F$3:$F$28))),0.95),"")</f>
        <v/>
      </c>
      <c r="H41" s="144" t="str">
        <f t="array" ref="H41">IFERROR(PERCENTILE(IF($B$3:$B$28=$B41,IF($D$3:$D$28=H$31,IF($F$3:$F$28&lt;&gt;"",$F$3:$F$28))),0.95),"")</f>
        <v/>
      </c>
      <c r="I41" s="144" t="str">
        <f t="array" ref="I41">IFERROR(PERCENTILE(IF($B$3:$B$28=$B41,IF($D$3:$D$28=I$31,IF($F$3:$F$28&lt;&gt;"",$F$3:$F$28))),0.95),"")</f>
        <v/>
      </c>
      <c r="J41" s="144" t="str">
        <f t="array" ref="J41">IFERROR(PERCENTILE(IF($B$3:$B$28=$B41,IF($D$3:$D$28=J$31,IF($F$3:$F$28&lt;&gt;"",$F$3:$F$28))),0.95),"")</f>
        <v/>
      </c>
      <c r="K41" s="144" t="str">
        <f t="array" ref="K41">IFERROR(PERCENTILE(IF($B$3:$B$28=$B41,IF($D$3:$D$28=K$31,IF($F$3:$F$28&lt;&gt;"",$F$3:$F$28))),0.95),"")</f>
        <v/>
      </c>
      <c r="L41" s="144" t="str">
        <f t="array" ref="L41">IFERROR(PERCENTILE(IF($B$3:$B$28=$B41,IF($D$3:$D$28=L$31,IF($F$3:$F$28&lt;&gt;"",$F$3:$F$28))),0.95),"")</f>
        <v/>
      </c>
      <c r="M41" s="144" t="str">
        <f t="array" ref="M41">IFERROR(PERCENTILE(IF($B$3:$B$28=$B41,IF($D$3:$D$28=M$31,IF($F$3:$F$28&lt;&gt;"",$F$3:$F$28))),0.95),"")</f>
        <v/>
      </c>
      <c r="N41" s="144" t="str">
        <f t="array" ref="N41">IFERROR(PERCENTILE(IF($B$3:$B$28=$B41,IF($D$3:$D$28=N$31,IF($F$3:$F$28&lt;&gt;"",$F$3:$F$28))),0.95),"")</f>
        <v/>
      </c>
      <c r="O41" s="144" t="str">
        <f t="array" ref="O41">IFERROR(PERCENTILE(IF($B$3:$B$28=$B41,IF($D$3:$D$28=O$31,IF($F$3:$F$28&lt;&gt;"",$F$3:$F$28))),0.95),"")</f>
        <v/>
      </c>
      <c r="P41" s="144" t="str">
        <f t="array" ref="P41">IFERROR(PERCENTILE(IF($B$3:$B$28=$B41,IF($D$3:$D$28=P$31,IF($F$3:$F$28&lt;&gt;"",$F$3:$F$28))),0.95),"")</f>
        <v/>
      </c>
      <c r="Q41" s="144" t="str">
        <f t="array" ref="Q41">IFERROR(PERCENTILE(IF($B$3:$B$28=$B41,IF($D$3:$D$28=Q$31,IF($F$3:$F$28&lt;&gt;"",$F$3:$F$28))),0.95),"")</f>
        <v/>
      </c>
      <c r="R41" s="144">
        <f t="array" ref="R41">IFERROR(PERCENTILE(IF($B$3:$B$28=$B41,IF($D$3:$D$28=R$31,IF($F$3:$F$28&lt;&gt;"",$F$3:$F$28))),0.95),"")</f>
        <v>0.5</v>
      </c>
      <c r="S41" s="144" t="str">
        <f t="array" ref="S41">IFERROR(PERCENTILE(IF($B$3:$B$28=$B41,IF($D$3:$D$28=S$31,IF($F$3:$F$28&lt;&gt;"",$F$3:$F$28))),0.95),"")</f>
        <v/>
      </c>
      <c r="T41" s="144" t="str">
        <f t="array" ref="T41">IFERROR(PERCENTILE(IF($B$3:$B$28=$B41,IF($D$3:$D$28=T$31,IF($F$3:$F$28&lt;&gt;"",$F$3:$F$28))),0.95),"")</f>
        <v/>
      </c>
      <c r="U41" s="144" t="str">
        <f t="array" ref="U41">IFERROR(PERCENTILE(IF($B$3:$B$28=$B41,IF($D$3:$D$28=U$31,IF($F$3:$F$28&lt;&gt;"",$F$3:$F$28))),0.95),"")</f>
        <v/>
      </c>
      <c r="V41" s="144" t="str">
        <f t="array" ref="V41">IFERROR(PERCENTILE(IF($B$3:$B$28=$B41,IF($D$3:$D$28=V$31,IF($F$3:$F$28&lt;&gt;"",$F$3:$F$28))),0.95),"")</f>
        <v/>
      </c>
      <c r="W41" s="144" t="str">
        <f t="array" ref="W41">IFERROR(PERCENTILE(IF($B$3:$B$28=$B41,IF($D$3:$D$28=W$31,IF($F$3:$F$28&lt;&gt;"",$F$3:$F$28))),0.95),"")</f>
        <v/>
      </c>
      <c r="X41" s="144" t="str">
        <f t="array" ref="X41">IFERROR(PERCENTILE(IF($B$3:$B$28=$B41,IF($D$3:$D$28=X$31,IF($F$3:$F$28&lt;&gt;"",$F$3:$F$28))),0.95),"")</f>
        <v/>
      </c>
      <c r="Y41" s="144" t="str">
        <f t="array" ref="Y41">IFERROR(PERCENTILE(IF($B$3:$B$28=$B41,IF($D$3:$D$28=Y$31,IF($F$3:$F$28&lt;&gt;"",$F$3:$F$28))),0.95),"")</f>
        <v/>
      </c>
      <c r="Z41" s="144" t="str">
        <f t="array" ref="Z41">IFERROR(PERCENTILE(IF($B$3:$B$28=$B41,IF($D$3:$D$28=Z$31,IF($F$3:$F$28&lt;&gt;"",$F$3:$F$28))),0.95),"")</f>
        <v/>
      </c>
      <c r="AA41" s="144" t="str">
        <f t="array" ref="AA41">IFERROR(PERCENTILE(IF($B$3:$B$28=$B41,IF($D$3:$D$28=AA$31,IF($F$3:$F$28&lt;&gt;"",$F$3:$F$28))),0.95),"")</f>
        <v/>
      </c>
      <c r="AB41" s="144" t="str">
        <f t="array" ref="AB41">IFERROR(PERCENTILE(IF($B$3:$B$28=$B41,IF($D$3:$D$28=AB$31,IF($F$3:$F$28&lt;&gt;"",$F$3:$F$28))),0.95),"")</f>
        <v/>
      </c>
      <c r="AC41" s="144" t="str">
        <f t="array" ref="AC41">IFERROR(PERCENTILE(IF($B$3:$B$28=$B41,IF($D$3:$D$28=AC$31,IF($F$3:$F$28&lt;&gt;"",$F$3:$F$28))),0.95),"")</f>
        <v/>
      </c>
      <c r="AD41" s="144" t="str">
        <f t="array" ref="AD41">IFERROR(PERCENTILE(IF($B$3:$B$28=$B41,IF($D$3:$D$28=AD$31,IF($F$3:$F$28&lt;&gt;"",$F$3:$F$28))),0.95),"")</f>
        <v/>
      </c>
      <c r="AE41" s="144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5">
        <f t="shared" si="4"/>
        <v>0</v>
      </c>
      <c r="B42" s="104" t="str">
        <f t="array" ref="B42">IFERROR(INDEX($B$3:$B$28, MATCH(0,IF(ISBLANK($B$3:$B$28),1,COUNTIF($B$32:B41, $B$3:$B$28)), 0)),"")</f>
        <v>Sikkim</v>
      </c>
      <c r="C42" s="105"/>
      <c r="D42" s="105"/>
      <c r="E42" s="105"/>
      <c r="F42" s="106"/>
      <c r="G42" s="144" t="str">
        <f t="array" ref="G42">IFERROR(PERCENTILE(IF($B$3:$B$28=$B42,IF($D$3:$D$28=G$31,IF($F$3:$F$28&lt;&gt;"",$F$3:$F$28))),0.95),"")</f>
        <v/>
      </c>
      <c r="H42" s="144" t="str">
        <f t="array" ref="H42">IFERROR(PERCENTILE(IF($B$3:$B$28=$B42,IF($D$3:$D$28=H$31,IF($F$3:$F$28&lt;&gt;"",$F$3:$F$28))),0.95),"")</f>
        <v/>
      </c>
      <c r="I42" s="144" t="str">
        <f t="array" ref="I42">IFERROR(PERCENTILE(IF($B$3:$B$28=$B42,IF($D$3:$D$28=I$31,IF($F$3:$F$28&lt;&gt;"",$F$3:$F$28))),0.95),"")</f>
        <v/>
      </c>
      <c r="J42" s="144" t="str">
        <f t="array" ref="J42">IFERROR(PERCENTILE(IF($B$3:$B$28=$B42,IF($D$3:$D$28=J$31,IF($F$3:$F$28&lt;&gt;"",$F$3:$F$28))),0.95),"")</f>
        <v/>
      </c>
      <c r="K42" s="144" t="str">
        <f t="array" ref="K42">IFERROR(PERCENTILE(IF($B$3:$B$28=$B42,IF($D$3:$D$28=K$31,IF($F$3:$F$28&lt;&gt;"",$F$3:$F$28))),0.95),"")</f>
        <v/>
      </c>
      <c r="L42" s="144" t="str">
        <f t="array" ref="L42">IFERROR(PERCENTILE(IF($B$3:$B$28=$B42,IF($D$3:$D$28=L$31,IF($F$3:$F$28&lt;&gt;"",$F$3:$F$28))),0.95),"")</f>
        <v/>
      </c>
      <c r="M42" s="144" t="str">
        <f t="array" ref="M42">IFERROR(PERCENTILE(IF($B$3:$B$28=$B42,IF($D$3:$D$28=M$31,IF($F$3:$F$28&lt;&gt;"",$F$3:$F$28))),0.95),"")</f>
        <v/>
      </c>
      <c r="N42" s="144" t="str">
        <f t="array" ref="N42">IFERROR(PERCENTILE(IF($B$3:$B$28=$B42,IF($D$3:$D$28=N$31,IF($F$3:$F$28&lt;&gt;"",$F$3:$F$28))),0.95),"")</f>
        <v/>
      </c>
      <c r="O42" s="144" t="str">
        <f t="array" ref="O42">IFERROR(PERCENTILE(IF($B$3:$B$28=$B42,IF($D$3:$D$28=O$31,IF($F$3:$F$28&lt;&gt;"",$F$3:$F$28))),0.95),"")</f>
        <v/>
      </c>
      <c r="P42" s="144" t="str">
        <f t="array" ref="P42">IFERROR(PERCENTILE(IF($B$3:$B$28=$B42,IF($D$3:$D$28=P$31,IF($F$3:$F$28&lt;&gt;"",$F$3:$F$28))),0.95),"")</f>
        <v/>
      </c>
      <c r="Q42" s="144" t="str">
        <f t="array" ref="Q42">IFERROR(PERCENTILE(IF($B$3:$B$28=$B42,IF($D$3:$D$28=Q$31,IF($F$3:$F$28&lt;&gt;"",$F$3:$F$28))),0.95),"")</f>
        <v/>
      </c>
      <c r="R42" s="144" t="str">
        <f t="array" ref="R42">IFERROR(PERCENTILE(IF($B$3:$B$28=$B42,IF($D$3:$D$28=R$31,IF($F$3:$F$28&lt;&gt;"",$F$3:$F$28))),0.95),"")</f>
        <v/>
      </c>
      <c r="S42" s="144">
        <f t="array" ref="S42">IFERROR(PERCENTILE(IF($B$3:$B$28=$B42,IF($D$3:$D$28=S$31,IF($F$3:$F$28&lt;&gt;"",$F$3:$F$28))),0.95),"")</f>
        <v>0.5</v>
      </c>
      <c r="T42" s="144" t="str">
        <f t="array" ref="T42">IFERROR(PERCENTILE(IF($B$3:$B$28=$B42,IF($D$3:$D$28=T$31,IF($F$3:$F$28&lt;&gt;"",$F$3:$F$28))),0.95),"")</f>
        <v/>
      </c>
      <c r="U42" s="144" t="str">
        <f t="array" ref="U42">IFERROR(PERCENTILE(IF($B$3:$B$28=$B42,IF($D$3:$D$28=U$31,IF($F$3:$F$28&lt;&gt;"",$F$3:$F$28))),0.95),"")</f>
        <v/>
      </c>
      <c r="V42" s="144" t="str">
        <f t="array" ref="V42">IFERROR(PERCENTILE(IF($B$3:$B$28=$B42,IF($D$3:$D$28=V$31,IF($F$3:$F$28&lt;&gt;"",$F$3:$F$28))),0.95),"")</f>
        <v/>
      </c>
      <c r="W42" s="144" t="str">
        <f t="array" ref="W42">IFERROR(PERCENTILE(IF($B$3:$B$28=$B42,IF($D$3:$D$28=W$31,IF($F$3:$F$28&lt;&gt;"",$F$3:$F$28))),0.95),"")</f>
        <v/>
      </c>
      <c r="X42" s="144" t="str">
        <f t="array" ref="X42">IFERROR(PERCENTILE(IF($B$3:$B$28=$B42,IF($D$3:$D$28=X$31,IF($F$3:$F$28&lt;&gt;"",$F$3:$F$28))),0.95),"")</f>
        <v/>
      </c>
      <c r="Y42" s="144" t="str">
        <f t="array" ref="Y42">IFERROR(PERCENTILE(IF($B$3:$B$28=$B42,IF($D$3:$D$28=Y$31,IF($F$3:$F$28&lt;&gt;"",$F$3:$F$28))),0.95),"")</f>
        <v/>
      </c>
      <c r="Z42" s="144" t="str">
        <f t="array" ref="Z42">IFERROR(PERCENTILE(IF($B$3:$B$28=$B42,IF($D$3:$D$28=Z$31,IF($F$3:$F$28&lt;&gt;"",$F$3:$F$28))),0.95),"")</f>
        <v/>
      </c>
      <c r="AA42" s="144" t="str">
        <f t="array" ref="AA42">IFERROR(PERCENTILE(IF($B$3:$B$28=$B42,IF($D$3:$D$28=AA$31,IF($F$3:$F$28&lt;&gt;"",$F$3:$F$28))),0.95),"")</f>
        <v/>
      </c>
      <c r="AB42" s="144" t="str">
        <f t="array" ref="AB42">IFERROR(PERCENTILE(IF($B$3:$B$28=$B42,IF($D$3:$D$28=AB$31,IF($F$3:$F$28&lt;&gt;"",$F$3:$F$28))),0.95),"")</f>
        <v/>
      </c>
      <c r="AC42" s="144" t="str">
        <f t="array" ref="AC42">IFERROR(PERCENTILE(IF($B$3:$B$28=$B42,IF($D$3:$D$28=AC$31,IF($F$3:$F$28&lt;&gt;"",$F$3:$F$28))),0.95),"")</f>
        <v/>
      </c>
      <c r="AD42" s="144" t="str">
        <f t="array" ref="AD42">IFERROR(PERCENTILE(IF($B$3:$B$28=$B42,IF($D$3:$D$28=AD$31,IF($F$3:$F$28&lt;&gt;"",$F$3:$F$28))),0.95),"")</f>
        <v/>
      </c>
      <c r="AE42" s="144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</row>
    <row r="44" spans="1:31" ht="9" customHeight="1" x14ac:dyDescent="0.25">
      <c r="A44" s="85" t="s">
        <v>551</v>
      </c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</row>
    <row r="45" spans="1:31" ht="15" hidden="1" customHeight="1" x14ac:dyDescent="0.25">
      <c r="G45" s="107">
        <f>G31</f>
        <v>44012</v>
      </c>
      <c r="H45" s="107">
        <f>H31</f>
        <v>43982</v>
      </c>
      <c r="I45" s="107">
        <f>I31</f>
        <v>43951</v>
      </c>
      <c r="J45" s="107">
        <f>J31</f>
        <v>43921</v>
      </c>
      <c r="K45" s="107">
        <f>K31</f>
        <v>43889</v>
      </c>
      <c r="L45" s="107">
        <f>L31</f>
        <v>43861</v>
      </c>
      <c r="M45" s="107">
        <f>M31</f>
        <v>43830</v>
      </c>
      <c r="N45" s="107">
        <f>N31</f>
        <v>43799</v>
      </c>
      <c r="O45" s="107">
        <f>O31</f>
        <v>43769</v>
      </c>
      <c r="P45" s="107">
        <f>P31</f>
        <v>43738</v>
      </c>
      <c r="Q45" s="107">
        <f>Q31</f>
        <v>43708</v>
      </c>
      <c r="R45" s="107">
        <f>R31</f>
        <v>43677</v>
      </c>
      <c r="S45" s="107">
        <f>S31</f>
        <v>43646</v>
      </c>
      <c r="T45" s="107">
        <f>T31</f>
        <v>43616</v>
      </c>
      <c r="U45" s="107">
        <f>U31</f>
        <v>43585</v>
      </c>
      <c r="V45" s="107">
        <f>V31</f>
        <v>43555</v>
      </c>
      <c r="W45" s="107">
        <f>W31</f>
        <v>43524</v>
      </c>
      <c r="X45" s="107">
        <f>X31</f>
        <v>43496</v>
      </c>
      <c r="Y45" s="107">
        <f>Y31</f>
        <v>43465</v>
      </c>
      <c r="Z45" s="107">
        <f>Z31</f>
        <v>43434</v>
      </c>
      <c r="AA45" s="107">
        <f>AA31</f>
        <v>43404</v>
      </c>
      <c r="AB45" s="107">
        <f>AB31</f>
        <v>43373</v>
      </c>
      <c r="AC45" s="107">
        <f>AC31</f>
        <v>43343</v>
      </c>
      <c r="AD45" s="107">
        <f>AD31</f>
        <v>43312</v>
      </c>
      <c r="AE45" s="107">
        <f>AE31</f>
        <v>43281</v>
      </c>
    </row>
    <row r="46" spans="1:31" ht="20.25" customHeight="1" x14ac:dyDescent="0.25">
      <c r="B46" s="108" t="s">
        <v>589</v>
      </c>
      <c r="C46" s="109"/>
      <c r="D46" s="109"/>
      <c r="E46" s="109"/>
      <c r="F46" s="110"/>
      <c r="G46" s="146">
        <f>IFERROR(AVERAGE(G33:G44),0)</f>
        <v>0.62</v>
      </c>
      <c r="H46" s="146">
        <f>IFERROR(AVERAGE(H33:H44),0)</f>
        <v>0.19</v>
      </c>
      <c r="I46" s="146">
        <f>IFERROR(AVERAGE(I33:I44),0)</f>
        <v>0.44</v>
      </c>
      <c r="J46" s="146">
        <f>IFERROR(AVERAGE(J33:J44),0)</f>
        <v>0.73</v>
      </c>
      <c r="K46" s="146">
        <f>IFERROR(AVERAGE(K33:K44),0)</f>
        <v>0.99</v>
      </c>
      <c r="L46" s="146">
        <f>IFERROR(AVERAGE(L33:L44),0)</f>
        <v>0.11</v>
      </c>
      <c r="M46" s="146">
        <f>IFERROR(AVERAGE(M33:M44),0)</f>
        <v>0.25</v>
      </c>
      <c r="N46" s="146">
        <f>IFERROR(AVERAGE(N33:N44),0)</f>
        <v>0.25</v>
      </c>
      <c r="O46" s="146">
        <f>IFERROR(AVERAGE(O33:O44),0)</f>
        <v>0.33</v>
      </c>
      <c r="P46" s="146">
        <f>IFERROR(AVERAGE(P33:P44),0)</f>
        <v>0.19</v>
      </c>
      <c r="Q46" s="146">
        <f>IFERROR(AVERAGE(Q33:Q44),0)</f>
        <v>0.5</v>
      </c>
      <c r="R46" s="146">
        <f>IFERROR(AVERAGE(R33:R44),0)</f>
        <v>0.5</v>
      </c>
      <c r="S46" s="146">
        <f>IFERROR(AVERAGE(S33:S44),0)</f>
        <v>0.5</v>
      </c>
      <c r="T46" s="146">
        <f>IFERROR(AVERAGE(T33:T44),0)</f>
        <v>0.19</v>
      </c>
      <c r="U46" s="146">
        <f>IFERROR(AVERAGE(U33:U44),0)</f>
        <v>0.44</v>
      </c>
      <c r="V46" s="146">
        <f>IFERROR(AVERAGE(V33:V44),0)</f>
        <v>0.73</v>
      </c>
      <c r="W46" s="146">
        <f>IFERROR(AVERAGE(W33:W44),0)</f>
        <v>0.99</v>
      </c>
      <c r="X46" s="146">
        <f>IFERROR(AVERAGE(X33:X44),0)</f>
        <v>0.11</v>
      </c>
      <c r="Y46" s="146">
        <f>IFERROR(AVERAGE(Y33:Y44),0)</f>
        <v>0.25</v>
      </c>
      <c r="Z46" s="146">
        <f>IFERROR(AVERAGE(Z33:Z44),0)</f>
        <v>0.25</v>
      </c>
      <c r="AA46" s="146">
        <f>IFERROR(AVERAGE(AA33:AA44),0)</f>
        <v>0.33</v>
      </c>
      <c r="AB46" s="146">
        <f>IFERROR(AVERAGE(AB33:AB44),0)</f>
        <v>0.19</v>
      </c>
      <c r="AC46" s="146">
        <f>IFERROR(AVERAGE(AC33:AC44),0)</f>
        <v>0.5</v>
      </c>
      <c r="AD46" s="146">
        <f>IFERROR(AVERAGE(AD33:AD44),0)</f>
        <v>0.5</v>
      </c>
      <c r="AE46" s="146">
        <f>IFERROR(AVERAGE(AE33:AE44),0)</f>
        <v>0.5</v>
      </c>
    </row>
    <row r="47" spans="1:31" ht="24.75" customHeight="1" x14ac:dyDescent="0.25"/>
    <row r="48" spans="1:31" ht="28.5" hidden="1" customHeight="1" x14ac:dyDescent="0.25">
      <c r="A48" s="85">
        <v>10</v>
      </c>
      <c r="B48" s="111" t="s">
        <v>590</v>
      </c>
      <c r="C48" s="111" t="s">
        <v>591</v>
      </c>
      <c r="D48" s="111" t="s">
        <v>592</v>
      </c>
      <c r="E48" s="112"/>
    </row>
    <row r="49" spans="1:5" ht="15" hidden="1" customHeight="1" x14ac:dyDescent="0.25">
      <c r="A49" s="113">
        <f>IFERROR(IF(D49="",1,0),1)</f>
        <v>0</v>
      </c>
      <c r="B49" s="114">
        <f>INDEX(Dates,1,E49)</f>
        <v>44012</v>
      </c>
      <c r="C49" s="114">
        <f t="shared" ref="C49" si="5">B49</f>
        <v>44012</v>
      </c>
      <c r="D49" s="115">
        <f>HLOOKUP(B49,ReadingTable,2,FALSE)</f>
        <v>0.62</v>
      </c>
      <c r="E49" s="116">
        <f>IF(E48="",7,E48+1)</f>
        <v>7</v>
      </c>
    </row>
    <row r="50" spans="1:5" hidden="1" x14ac:dyDescent="0.25"/>
    <row r="51" spans="1:5" ht="24" hidden="1" x14ac:dyDescent="0.25">
      <c r="B51" s="117" t="s">
        <v>587</v>
      </c>
      <c r="C51" s="117" t="s">
        <v>593</v>
      </c>
    </row>
    <row r="52" spans="1:5" hidden="1" x14ac:dyDescent="0.25">
      <c r="B52" s="118">
        <f t="array" ref="B52">SUM(IF($D$3:$D$28&lt;&gt;"",1/COUNTIF($D$3:$D$28, $D$3:$D$28), 0))</f>
        <v>25</v>
      </c>
      <c r="C52" s="118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1" t="s">
        <v>598</v>
      </c>
    </row>
    <row r="55" spans="1:5" ht="15" hidden="1" x14ac:dyDescent="0.25">
      <c r="A55" s="28"/>
      <c r="B55" s="48"/>
      <c r="C55" s="48"/>
      <c r="D55" s="84"/>
      <c r="E55" s="119"/>
    </row>
  </sheetData>
  <sheetProtection algorithmName="SHA-512" hashValue="q2yQHFalKQYeuYqNuoTj1KUoqIv4VaKpa18irm1Whw3vGVN+YAhwSEKHOUd7CfymRx3T+1q5H+rFizd0nKVFvQ==" saltValue="Q2BC39WnN2S1Dm82/nXm9w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604</v>
      </c>
      <c r="B1" s="45"/>
      <c r="C1" s="45"/>
      <c r="D1" s="45"/>
      <c r="E1" s="45"/>
    </row>
    <row r="2" spans="1:5" x14ac:dyDescent="0.25">
      <c r="A2" s="6" t="s">
        <v>604</v>
      </c>
      <c r="B2" s="267" t="s">
        <v>570</v>
      </c>
      <c r="C2" s="268"/>
      <c r="D2" s="41" t="s">
        <v>631</v>
      </c>
      <c r="E2" s="45"/>
    </row>
    <row r="3" spans="1:5" x14ac:dyDescent="0.25">
      <c r="A3" s="6" t="s">
        <v>604</v>
      </c>
      <c r="B3" s="265" t="s">
        <v>702</v>
      </c>
      <c r="C3" s="266"/>
      <c r="D3" s="41" t="s">
        <v>632</v>
      </c>
      <c r="E3" s="45"/>
    </row>
    <row r="4" spans="1:5" x14ac:dyDescent="0.25">
      <c r="A4" s="6" t="s">
        <v>604</v>
      </c>
      <c r="B4" s="44" t="s">
        <v>571</v>
      </c>
      <c r="C4" s="27"/>
      <c r="D4" s="41" t="s">
        <v>605</v>
      </c>
      <c r="E4" s="45"/>
    </row>
    <row r="5" spans="1:5" s="3" customFormat="1" ht="20.45" customHeight="1" x14ac:dyDescent="0.25">
      <c r="A5" s="6"/>
      <c r="B5" s="216" t="s">
        <v>637</v>
      </c>
      <c r="C5" s="153"/>
      <c r="D5" s="215"/>
      <c r="E5" s="1"/>
    </row>
    <row r="6" spans="1:5" ht="33.75" customHeight="1" x14ac:dyDescent="0.25">
      <c r="A6" s="6">
        <v>34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>INDEX(DatesVOC,1,E7)</f>
        <v>44012</v>
      </c>
      <c r="C7" s="66">
        <f t="shared" ref="C7" si="0">B7</f>
        <v>44012</v>
      </c>
      <c r="D7" s="67">
        <f t="array" ref="D7">HLOOKUP(B7,ReadingTableVOC,2,FALSE)</f>
        <v>2654</v>
      </c>
      <c r="E7" s="82">
        <f>IF(E6="",8,E6+1)</f>
        <v>8</v>
      </c>
    </row>
    <row r="8" spans="1:5" ht="15" customHeight="1" x14ac:dyDescent="0.25">
      <c r="A8" s="51">
        <f t="shared" ref="A8:A31" si="1">IFERROR(IF(D8="",1,0),1)</f>
        <v>0</v>
      </c>
      <c r="B8" s="66">
        <f>INDEX(DatesVOC,1,E8)</f>
        <v>43982</v>
      </c>
      <c r="C8" s="66">
        <f t="shared" ref="C8:C31" si="2">B8</f>
        <v>43982</v>
      </c>
      <c r="D8" s="67">
        <f t="array" ref="D8">HLOOKUP(B8,ReadingTableVOC,2,FALSE)</f>
        <v>1173</v>
      </c>
      <c r="E8" s="82">
        <f t="shared" ref="E8:E31" si="3">IF(E7="",8,E7+1)</f>
        <v>9</v>
      </c>
    </row>
    <row r="9" spans="1:5" ht="15" customHeight="1" x14ac:dyDescent="0.25">
      <c r="A9" s="51">
        <f t="shared" si="1"/>
        <v>0</v>
      </c>
      <c r="B9" s="66">
        <f>INDEX(DatesVOC,1,E9)</f>
        <v>43951</v>
      </c>
      <c r="C9" s="66">
        <f t="shared" si="2"/>
        <v>43951</v>
      </c>
      <c r="D9" s="67">
        <f t="array" ref="D9">HLOOKUP(B9,ReadingTableVOC,2,FALSE)</f>
        <v>1098</v>
      </c>
      <c r="E9" s="82">
        <f t="shared" si="3"/>
        <v>10</v>
      </c>
    </row>
    <row r="10" spans="1:5" ht="15" customHeight="1" x14ac:dyDescent="0.25">
      <c r="A10" s="51">
        <f t="shared" si="1"/>
        <v>0</v>
      </c>
      <c r="B10" s="66">
        <f>INDEX(DatesVOC,1,E10)</f>
        <v>43921</v>
      </c>
      <c r="C10" s="66">
        <f t="shared" si="2"/>
        <v>43921</v>
      </c>
      <c r="D10" s="67">
        <f t="array" ref="D10">HLOOKUP(B10,ReadingTableVOC,2,FALSE)</f>
        <v>986</v>
      </c>
      <c r="E10" s="82">
        <f t="shared" si="3"/>
        <v>11</v>
      </c>
    </row>
    <row r="11" spans="1:5" ht="15" customHeight="1" x14ac:dyDescent="0.25">
      <c r="A11" s="51">
        <f t="shared" si="1"/>
        <v>0</v>
      </c>
      <c r="B11" s="66">
        <f>INDEX(DatesVOC,1,E11)</f>
        <v>43889</v>
      </c>
      <c r="C11" s="66">
        <f t="shared" si="2"/>
        <v>43889</v>
      </c>
      <c r="D11" s="67">
        <f t="array" ref="D11">HLOOKUP(B11,ReadingTableVOC,2,FALSE)</f>
        <v>1212</v>
      </c>
      <c r="E11" s="82">
        <f t="shared" si="3"/>
        <v>12</v>
      </c>
    </row>
    <row r="12" spans="1:5" ht="15" customHeight="1" x14ac:dyDescent="0.25">
      <c r="A12" s="51">
        <f t="shared" si="1"/>
        <v>0</v>
      </c>
      <c r="B12" s="66">
        <f>INDEX(DatesVOC,1,E12)</f>
        <v>43861</v>
      </c>
      <c r="C12" s="66">
        <f t="shared" si="2"/>
        <v>43861</v>
      </c>
      <c r="D12" s="67">
        <f t="array" ref="D12">HLOOKUP(B12,ReadingTableVOC,2,FALSE)</f>
        <v>1993</v>
      </c>
      <c r="E12" s="82">
        <f t="shared" si="3"/>
        <v>13</v>
      </c>
    </row>
    <row r="13" spans="1:5" ht="15" customHeight="1" x14ac:dyDescent="0.25">
      <c r="A13" s="51">
        <f t="shared" si="1"/>
        <v>0</v>
      </c>
      <c r="B13" s="66">
        <f>INDEX(DatesVOC,1,E13)</f>
        <v>43830</v>
      </c>
      <c r="C13" s="66">
        <f t="shared" si="2"/>
        <v>43830</v>
      </c>
      <c r="D13" s="67">
        <f t="array" ref="D13">HLOOKUP(B13,ReadingTableVOC,2,FALSE)</f>
        <v>2323</v>
      </c>
      <c r="E13" s="82">
        <f t="shared" si="3"/>
        <v>14</v>
      </c>
    </row>
    <row r="14" spans="1:5" ht="15" customHeight="1" x14ac:dyDescent="0.25">
      <c r="A14" s="51">
        <f t="shared" si="1"/>
        <v>0</v>
      </c>
      <c r="B14" s="66">
        <f>INDEX(DatesVOC,1,E14)</f>
        <v>43799</v>
      </c>
      <c r="C14" s="66">
        <f t="shared" si="2"/>
        <v>43799</v>
      </c>
      <c r="D14" s="67">
        <f t="array" ref="D14">HLOOKUP(B14,ReadingTableVOC,2,FALSE)</f>
        <v>2566</v>
      </c>
      <c r="E14" s="82">
        <f t="shared" si="3"/>
        <v>15</v>
      </c>
    </row>
    <row r="15" spans="1:5" ht="15" customHeight="1" x14ac:dyDescent="0.25">
      <c r="A15" s="51">
        <f t="shared" si="1"/>
        <v>0</v>
      </c>
      <c r="B15" s="66">
        <f>INDEX(DatesVOC,1,E15)</f>
        <v>43769</v>
      </c>
      <c r="C15" s="66">
        <f t="shared" si="2"/>
        <v>43769</v>
      </c>
      <c r="D15" s="67">
        <f t="array" ref="D15">HLOOKUP(B15,ReadingTableVOC,2,FALSE)</f>
        <v>2577</v>
      </c>
      <c r="E15" s="82">
        <f t="shared" si="3"/>
        <v>16</v>
      </c>
    </row>
    <row r="16" spans="1:5" ht="15" customHeight="1" x14ac:dyDescent="0.25">
      <c r="A16" s="51">
        <f t="shared" si="1"/>
        <v>0</v>
      </c>
      <c r="B16" s="66">
        <f>INDEX(DatesVOC,1,E16)</f>
        <v>43738</v>
      </c>
      <c r="C16" s="66">
        <f t="shared" si="2"/>
        <v>43738</v>
      </c>
      <c r="D16" s="67">
        <f t="array" ref="D16">HLOOKUP(B16,ReadingTableVOC,2,FALSE)</f>
        <v>2756</v>
      </c>
      <c r="E16" s="82">
        <f t="shared" si="3"/>
        <v>17</v>
      </c>
    </row>
    <row r="17" spans="1:5" ht="15" customHeight="1" x14ac:dyDescent="0.25">
      <c r="A17" s="51">
        <f t="shared" si="1"/>
        <v>0</v>
      </c>
      <c r="B17" s="66">
        <f>INDEX(DatesVOC,1,E17)</f>
        <v>43708</v>
      </c>
      <c r="C17" s="66">
        <f t="shared" si="2"/>
        <v>43708</v>
      </c>
      <c r="D17" s="67">
        <f t="array" ref="D17">HLOOKUP(B17,ReadingTableVOC,2,FALSE)</f>
        <v>2677</v>
      </c>
      <c r="E17" s="82">
        <f t="shared" si="3"/>
        <v>18</v>
      </c>
    </row>
    <row r="18" spans="1:5" ht="15" customHeight="1" x14ac:dyDescent="0.25">
      <c r="A18" s="51">
        <f t="shared" si="1"/>
        <v>0</v>
      </c>
      <c r="B18" s="66">
        <f>INDEX(DatesVOC,1,E18)</f>
        <v>43677</v>
      </c>
      <c r="C18" s="66">
        <f t="shared" si="2"/>
        <v>43677</v>
      </c>
      <c r="D18" s="67">
        <f t="array" ref="D18">HLOOKUP(B18,ReadingTableVOC,2,FALSE)</f>
        <v>1232</v>
      </c>
      <c r="E18" s="82">
        <f t="shared" si="3"/>
        <v>19</v>
      </c>
    </row>
    <row r="19" spans="1:5" ht="15" customHeight="1" x14ac:dyDescent="0.25">
      <c r="A19" s="51">
        <f t="shared" si="1"/>
        <v>0</v>
      </c>
      <c r="B19" s="66">
        <f>INDEX(DatesVOC,1,E19)</f>
        <v>43646</v>
      </c>
      <c r="C19" s="66">
        <f t="shared" si="2"/>
        <v>43646</v>
      </c>
      <c r="D19" s="67">
        <f t="array" ref="D19">HLOOKUP(B19,ReadingTableVOC,2,FALSE)</f>
        <v>3221</v>
      </c>
      <c r="E19" s="82">
        <f t="shared" si="3"/>
        <v>20</v>
      </c>
    </row>
    <row r="20" spans="1:5" ht="15" customHeight="1" x14ac:dyDescent="0.25">
      <c r="A20" s="51">
        <f t="shared" si="1"/>
        <v>0</v>
      </c>
      <c r="B20" s="66">
        <f>INDEX(DatesVOC,1,E20)</f>
        <v>43616</v>
      </c>
      <c r="C20" s="66">
        <f t="shared" si="2"/>
        <v>43616</v>
      </c>
      <c r="D20" s="67">
        <f t="array" ref="D20">HLOOKUP(B20,ReadingTableVOC,2,FALSE)</f>
        <v>1173</v>
      </c>
      <c r="E20" s="82">
        <f t="shared" si="3"/>
        <v>21</v>
      </c>
    </row>
    <row r="21" spans="1:5" ht="15" customHeight="1" x14ac:dyDescent="0.25">
      <c r="A21" s="51">
        <f t="shared" si="1"/>
        <v>0</v>
      </c>
      <c r="B21" s="66">
        <f>INDEX(DatesVOC,1,E21)</f>
        <v>43585</v>
      </c>
      <c r="C21" s="66">
        <f t="shared" si="2"/>
        <v>43585</v>
      </c>
      <c r="D21" s="67">
        <f t="array" ref="D21">HLOOKUP(B21,ReadingTableVOC,2,FALSE)</f>
        <v>1098</v>
      </c>
      <c r="E21" s="82">
        <f t="shared" si="3"/>
        <v>22</v>
      </c>
    </row>
    <row r="22" spans="1:5" ht="15" customHeight="1" x14ac:dyDescent="0.25">
      <c r="A22" s="51">
        <f t="shared" si="1"/>
        <v>0</v>
      </c>
      <c r="B22" s="66">
        <f>INDEX(DatesVOC,1,E22)</f>
        <v>43555</v>
      </c>
      <c r="C22" s="66">
        <f t="shared" si="2"/>
        <v>43555</v>
      </c>
      <c r="D22" s="67">
        <f t="array" ref="D22">HLOOKUP(B22,ReadingTableVOC,2,FALSE)</f>
        <v>986</v>
      </c>
      <c r="E22" s="82">
        <f t="shared" si="3"/>
        <v>23</v>
      </c>
    </row>
    <row r="23" spans="1:5" ht="15" customHeight="1" x14ac:dyDescent="0.25">
      <c r="A23" s="51">
        <f t="shared" si="1"/>
        <v>0</v>
      </c>
      <c r="B23" s="66">
        <f>INDEX(DatesVOC,1,E23)</f>
        <v>43524</v>
      </c>
      <c r="C23" s="66">
        <f t="shared" si="2"/>
        <v>43524</v>
      </c>
      <c r="D23" s="67">
        <f t="array" ref="D23">HLOOKUP(B23,ReadingTableVOC,2,FALSE)</f>
        <v>1212</v>
      </c>
      <c r="E23" s="82">
        <f t="shared" si="3"/>
        <v>24</v>
      </c>
    </row>
    <row r="24" spans="1:5" ht="15" customHeight="1" x14ac:dyDescent="0.25">
      <c r="A24" s="51">
        <f t="shared" si="1"/>
        <v>0</v>
      </c>
      <c r="B24" s="66">
        <f>INDEX(DatesVOC,1,E24)</f>
        <v>43496</v>
      </c>
      <c r="C24" s="66">
        <f t="shared" si="2"/>
        <v>43496</v>
      </c>
      <c r="D24" s="67">
        <f t="array" ref="D24">HLOOKUP(B24,ReadingTableVOC,2,FALSE)</f>
        <v>1993</v>
      </c>
      <c r="E24" s="82">
        <f t="shared" si="3"/>
        <v>25</v>
      </c>
    </row>
    <row r="25" spans="1:5" ht="15" customHeight="1" x14ac:dyDescent="0.25">
      <c r="A25" s="51">
        <f t="shared" si="1"/>
        <v>0</v>
      </c>
      <c r="B25" s="66">
        <f>INDEX(DatesVOC,1,E25)</f>
        <v>43465</v>
      </c>
      <c r="C25" s="66">
        <f t="shared" si="2"/>
        <v>43465</v>
      </c>
      <c r="D25" s="67">
        <f t="array" ref="D25">HLOOKUP(B25,ReadingTableVOC,2,FALSE)</f>
        <v>2323</v>
      </c>
      <c r="E25" s="82">
        <f t="shared" si="3"/>
        <v>26</v>
      </c>
    </row>
    <row r="26" spans="1:5" ht="15" customHeight="1" x14ac:dyDescent="0.25">
      <c r="A26" s="51">
        <f t="shared" si="1"/>
        <v>0</v>
      </c>
      <c r="B26" s="66">
        <f>INDEX(DatesVOC,1,E26)</f>
        <v>43434</v>
      </c>
      <c r="C26" s="66">
        <f t="shared" si="2"/>
        <v>43434</v>
      </c>
      <c r="D26" s="67">
        <f t="array" ref="D26">HLOOKUP(B26,ReadingTableVOC,2,FALSE)</f>
        <v>2566</v>
      </c>
      <c r="E26" s="82">
        <f t="shared" si="3"/>
        <v>27</v>
      </c>
    </row>
    <row r="27" spans="1:5" ht="15" customHeight="1" x14ac:dyDescent="0.25">
      <c r="A27" s="51">
        <f t="shared" si="1"/>
        <v>0</v>
      </c>
      <c r="B27" s="66">
        <f>INDEX(DatesVOC,1,E27)</f>
        <v>43404</v>
      </c>
      <c r="C27" s="66">
        <f t="shared" si="2"/>
        <v>43404</v>
      </c>
      <c r="D27" s="67">
        <f t="array" ref="D27">HLOOKUP(B27,ReadingTableVOC,2,FALSE)</f>
        <v>2577</v>
      </c>
      <c r="E27" s="82">
        <f t="shared" si="3"/>
        <v>28</v>
      </c>
    </row>
    <row r="28" spans="1:5" ht="15" customHeight="1" x14ac:dyDescent="0.25">
      <c r="A28" s="51">
        <f t="shared" si="1"/>
        <v>0</v>
      </c>
      <c r="B28" s="66">
        <f>INDEX(DatesVOC,1,E28)</f>
        <v>43373</v>
      </c>
      <c r="C28" s="66">
        <f t="shared" si="2"/>
        <v>43373</v>
      </c>
      <c r="D28" s="67">
        <f t="array" ref="D28">HLOOKUP(B28,ReadingTableVOC,2,FALSE)</f>
        <v>2756</v>
      </c>
      <c r="E28" s="82">
        <f t="shared" si="3"/>
        <v>29</v>
      </c>
    </row>
    <row r="29" spans="1:5" ht="15" customHeight="1" x14ac:dyDescent="0.25">
      <c r="A29" s="51">
        <f t="shared" si="1"/>
        <v>0</v>
      </c>
      <c r="B29" s="66">
        <f>INDEX(DatesVOC,1,E29)</f>
        <v>43343</v>
      </c>
      <c r="C29" s="66">
        <f t="shared" si="2"/>
        <v>43343</v>
      </c>
      <c r="D29" s="67">
        <f t="array" ref="D29">HLOOKUP(B29,ReadingTableVOC,2,FALSE)</f>
        <v>2677</v>
      </c>
      <c r="E29" s="82">
        <f t="shared" si="3"/>
        <v>30</v>
      </c>
    </row>
    <row r="30" spans="1:5" ht="15" customHeight="1" x14ac:dyDescent="0.25">
      <c r="A30" s="51">
        <f t="shared" si="1"/>
        <v>0</v>
      </c>
      <c r="B30" s="66">
        <f>INDEX(DatesVOC,1,E30)</f>
        <v>43312</v>
      </c>
      <c r="C30" s="66">
        <f t="shared" si="2"/>
        <v>43312</v>
      </c>
      <c r="D30" s="67">
        <f t="array" ref="D30">HLOOKUP(B30,ReadingTableVOC,2,FALSE)</f>
        <v>1232</v>
      </c>
      <c r="E30" s="82">
        <f t="shared" si="3"/>
        <v>31</v>
      </c>
    </row>
    <row r="31" spans="1:5" ht="15" customHeight="1" x14ac:dyDescent="0.25">
      <c r="A31" s="51">
        <f t="shared" si="1"/>
        <v>0</v>
      </c>
      <c r="B31" s="66">
        <f>INDEX(DatesVOC,1,E31)</f>
        <v>43281</v>
      </c>
      <c r="C31" s="66">
        <f t="shared" si="2"/>
        <v>43281</v>
      </c>
      <c r="D31" s="67">
        <f t="array" ref="D31">HLOOKUP(B31,ReadingTableVOC,2,FALSE)</f>
        <v>3221</v>
      </c>
      <c r="E31" s="82">
        <f t="shared" si="3"/>
        <v>32</v>
      </c>
    </row>
    <row r="32" spans="1:5" ht="15" customHeight="1" x14ac:dyDescent="0.25">
      <c r="A32" s="6" t="s">
        <v>551</v>
      </c>
      <c r="B32" s="47"/>
      <c r="C32" s="47"/>
      <c r="D32" s="47"/>
      <c r="E32" s="45"/>
    </row>
    <row r="33" spans="1:5" ht="15" hidden="1" customHeight="1" x14ac:dyDescent="0.25">
      <c r="A33" s="6"/>
      <c r="B33" s="47"/>
      <c r="C33" s="47"/>
      <c r="D33" s="47"/>
      <c r="E33" s="45"/>
    </row>
    <row r="34" spans="1:5" ht="33.6" customHeight="1" x14ac:dyDescent="0.25">
      <c r="A34" s="6" t="s">
        <v>551</v>
      </c>
      <c r="B34" s="47"/>
      <c r="C34" s="47"/>
      <c r="D34" s="47"/>
      <c r="E34" s="45"/>
    </row>
  </sheetData>
  <sheetProtection algorithmName="SHA-512" hashValue="fWbOrnjTtRbzqI3Lzl5E0MU+ieaMYKNVPuQ89WIyV0PB8+dQtrLtNV773pja+0rCkhrJI6bydpLz6i+b/r/n4w==" saltValue="55ZF4VDgStY/damMwD8g9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topLeftCell="C1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604</v>
      </c>
      <c r="B1" s="54" t="s">
        <v>635</v>
      </c>
    </row>
    <row r="2" spans="1:8" ht="33.75" customHeight="1" x14ac:dyDescent="0.25">
      <c r="A2" s="52" t="s">
        <v>604</v>
      </c>
      <c r="B2" s="55" t="s">
        <v>583</v>
      </c>
      <c r="C2" s="56" t="s">
        <v>584</v>
      </c>
      <c r="D2" s="57" t="s">
        <v>585</v>
      </c>
      <c r="E2" s="58" t="s">
        <v>599</v>
      </c>
      <c r="F2" s="120" t="s">
        <v>600</v>
      </c>
      <c r="G2" s="59" t="s">
        <v>603</v>
      </c>
    </row>
    <row r="3" spans="1:8" x14ac:dyDescent="0.25">
      <c r="B3" s="122" t="s">
        <v>716</v>
      </c>
      <c r="C3" s="248">
        <v>43983</v>
      </c>
      <c r="D3" s="142">
        <v>44012</v>
      </c>
      <c r="E3" s="151">
        <v>0.375</v>
      </c>
      <c r="F3" s="152">
        <v>0.5</v>
      </c>
      <c r="G3" s="143">
        <v>2654</v>
      </c>
    </row>
    <row r="4" spans="1:8" x14ac:dyDescent="0.25">
      <c r="B4" s="122" t="s">
        <v>717</v>
      </c>
      <c r="C4" s="248">
        <v>43952</v>
      </c>
      <c r="D4" s="142">
        <v>43982</v>
      </c>
      <c r="E4" s="151">
        <v>0.41666666666666669</v>
      </c>
      <c r="F4" s="152">
        <v>0.5</v>
      </c>
      <c r="G4" s="143">
        <v>1173</v>
      </c>
      <c r="H4" s="60"/>
    </row>
    <row r="5" spans="1:8" x14ac:dyDescent="0.25">
      <c r="A5" s="52">
        <v>0</v>
      </c>
      <c r="B5" s="122" t="s">
        <v>718</v>
      </c>
      <c r="C5" s="248">
        <v>43922</v>
      </c>
      <c r="D5" s="142">
        <v>43951</v>
      </c>
      <c r="E5" s="151">
        <v>0.45833333333333331</v>
      </c>
      <c r="F5" s="152">
        <v>0.5</v>
      </c>
      <c r="G5" s="143">
        <v>1098</v>
      </c>
      <c r="H5" s="60"/>
    </row>
    <row r="6" spans="1:8" x14ac:dyDescent="0.25">
      <c r="A6" s="52">
        <v>0</v>
      </c>
      <c r="B6" s="122" t="s">
        <v>719</v>
      </c>
      <c r="C6" s="248">
        <v>43891</v>
      </c>
      <c r="D6" s="142">
        <v>43921</v>
      </c>
      <c r="E6" s="151">
        <v>0.10416666666666667</v>
      </c>
      <c r="F6" s="152">
        <v>0.18958333333333333</v>
      </c>
      <c r="G6" s="143">
        <v>986</v>
      </c>
      <c r="H6" s="60"/>
    </row>
    <row r="7" spans="1:8" x14ac:dyDescent="0.25">
      <c r="A7" s="52">
        <v>0</v>
      </c>
      <c r="B7" s="122" t="s">
        <v>720</v>
      </c>
      <c r="C7" s="248">
        <v>43862</v>
      </c>
      <c r="D7" s="142">
        <v>43889</v>
      </c>
      <c r="E7" s="151">
        <v>0.14583333333333334</v>
      </c>
      <c r="F7" s="152">
        <v>0.3298611111111111</v>
      </c>
      <c r="G7" s="143">
        <v>1212</v>
      </c>
      <c r="H7" s="60"/>
    </row>
    <row r="8" spans="1:8" x14ac:dyDescent="0.25">
      <c r="A8" s="52">
        <v>0</v>
      </c>
      <c r="B8" s="122" t="s">
        <v>717</v>
      </c>
      <c r="C8" s="248">
        <v>43831</v>
      </c>
      <c r="D8" s="142">
        <v>43861</v>
      </c>
      <c r="E8" s="151">
        <v>8.3333333333333329E-2</v>
      </c>
      <c r="F8" s="152">
        <v>0.25</v>
      </c>
      <c r="G8" s="143">
        <v>1993</v>
      </c>
      <c r="H8" s="60"/>
    </row>
    <row r="9" spans="1:8" x14ac:dyDescent="0.25">
      <c r="A9" s="52">
        <v>0</v>
      </c>
      <c r="B9" s="122" t="s">
        <v>718</v>
      </c>
      <c r="C9" s="248">
        <v>43800</v>
      </c>
      <c r="D9" s="142">
        <v>43830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A10" s="52">
        <v>0</v>
      </c>
      <c r="B10" s="122" t="s">
        <v>716</v>
      </c>
      <c r="C10" s="248">
        <v>43770</v>
      </c>
      <c r="D10" s="142">
        <v>43799</v>
      </c>
      <c r="E10" s="151">
        <v>0.29166666666666669</v>
      </c>
      <c r="F10" s="152">
        <v>0.5</v>
      </c>
      <c r="G10" s="143">
        <v>2566</v>
      </c>
      <c r="H10" s="60"/>
    </row>
    <row r="11" spans="1:8" x14ac:dyDescent="0.25">
      <c r="A11" s="52">
        <v>0</v>
      </c>
      <c r="B11" s="122" t="s">
        <v>722</v>
      </c>
      <c r="C11" s="248">
        <v>43739</v>
      </c>
      <c r="D11" s="142">
        <v>43769</v>
      </c>
      <c r="E11" s="151">
        <v>0.45833333333333331</v>
      </c>
      <c r="F11" s="152">
        <v>0.5</v>
      </c>
      <c r="G11" s="143">
        <v>2577</v>
      </c>
      <c r="H11" s="60"/>
    </row>
    <row r="12" spans="1:8" x14ac:dyDescent="0.25">
      <c r="A12" s="52">
        <v>0</v>
      </c>
      <c r="B12" s="122" t="s">
        <v>723</v>
      </c>
      <c r="C12" s="248">
        <v>43709</v>
      </c>
      <c r="D12" s="142">
        <v>43738</v>
      </c>
      <c r="E12" s="151">
        <v>0.10416666666666667</v>
      </c>
      <c r="F12" s="152">
        <v>0.18958333333333333</v>
      </c>
      <c r="G12" s="143">
        <v>2756</v>
      </c>
      <c r="H12" s="60"/>
    </row>
    <row r="13" spans="1:8" x14ac:dyDescent="0.25">
      <c r="A13" s="52">
        <v>0</v>
      </c>
      <c r="B13" s="122" t="s">
        <v>724</v>
      </c>
      <c r="C13" s="248">
        <v>43678</v>
      </c>
      <c r="D13" s="142">
        <v>43708</v>
      </c>
      <c r="E13" s="151">
        <v>0.14583333333333334</v>
      </c>
      <c r="F13" s="152">
        <v>0.3298611111111111</v>
      </c>
      <c r="G13" s="143">
        <v>2677</v>
      </c>
      <c r="H13" s="60"/>
    </row>
    <row r="14" spans="1:8" x14ac:dyDescent="0.25">
      <c r="A14" s="52">
        <v>0</v>
      </c>
      <c r="B14" s="122" t="s">
        <v>725</v>
      </c>
      <c r="C14" s="248">
        <v>43647</v>
      </c>
      <c r="D14" s="142">
        <v>43677</v>
      </c>
      <c r="E14" s="151">
        <v>8.3333333333333329E-2</v>
      </c>
      <c r="F14" s="152">
        <v>0.25</v>
      </c>
      <c r="G14" s="143">
        <v>1232</v>
      </c>
      <c r="H14" s="60"/>
    </row>
    <row r="15" spans="1:8" x14ac:dyDescent="0.25">
      <c r="A15" s="52">
        <v>0</v>
      </c>
      <c r="B15" s="122" t="s">
        <v>726</v>
      </c>
      <c r="C15" s="248">
        <v>43617</v>
      </c>
      <c r="D15" s="142">
        <v>43646</v>
      </c>
      <c r="E15" s="151">
        <v>0.125</v>
      </c>
      <c r="F15" s="152">
        <v>0.25</v>
      </c>
      <c r="G15" s="143">
        <v>3221</v>
      </c>
      <c r="H15" s="60"/>
    </row>
    <row r="16" spans="1:8" x14ac:dyDescent="0.25">
      <c r="B16" s="122" t="s">
        <v>716</v>
      </c>
      <c r="C16" s="248">
        <v>43586</v>
      </c>
      <c r="D16" s="142">
        <v>43616</v>
      </c>
      <c r="E16" s="151">
        <v>0.375</v>
      </c>
      <c r="F16" s="152">
        <v>0.5</v>
      </c>
      <c r="G16" s="143">
        <v>1173</v>
      </c>
      <c r="H16" s="60"/>
    </row>
    <row r="17" spans="1:32" x14ac:dyDescent="0.25">
      <c r="B17" s="122" t="s">
        <v>717</v>
      </c>
      <c r="C17" s="248">
        <v>43556</v>
      </c>
      <c r="D17" s="142">
        <v>43585</v>
      </c>
      <c r="E17" s="151">
        <v>0.41666666666666669</v>
      </c>
      <c r="F17" s="152">
        <v>0.5</v>
      </c>
      <c r="G17" s="143">
        <v>1098</v>
      </c>
      <c r="H17" s="60"/>
    </row>
    <row r="18" spans="1:32" x14ac:dyDescent="0.25">
      <c r="B18" s="122" t="s">
        <v>718</v>
      </c>
      <c r="C18" s="248">
        <v>43525</v>
      </c>
      <c r="D18" s="142">
        <v>43555</v>
      </c>
      <c r="E18" s="151">
        <v>0.45833333333333331</v>
      </c>
      <c r="F18" s="152">
        <v>0.5</v>
      </c>
      <c r="G18" s="143">
        <v>986</v>
      </c>
      <c r="H18" s="60"/>
    </row>
    <row r="19" spans="1:32" x14ac:dyDescent="0.25">
      <c r="B19" s="122" t="s">
        <v>719</v>
      </c>
      <c r="C19" s="248">
        <v>43497</v>
      </c>
      <c r="D19" s="142">
        <v>43524</v>
      </c>
      <c r="E19" s="151">
        <v>0.10416666666666667</v>
      </c>
      <c r="F19" s="152">
        <v>0.18958333333333333</v>
      </c>
      <c r="G19" s="143">
        <v>1212</v>
      </c>
      <c r="H19" s="60"/>
    </row>
    <row r="20" spans="1:32" x14ac:dyDescent="0.25">
      <c r="B20" s="122" t="s">
        <v>720</v>
      </c>
      <c r="C20" s="248">
        <v>43466</v>
      </c>
      <c r="D20" s="142">
        <v>43496</v>
      </c>
      <c r="E20" s="151">
        <v>0.14583333333333334</v>
      </c>
      <c r="F20" s="152">
        <v>0.3298611111111111</v>
      </c>
      <c r="G20" s="143">
        <v>1993</v>
      </c>
      <c r="H20" s="60"/>
    </row>
    <row r="21" spans="1:32" x14ac:dyDescent="0.25">
      <c r="B21" s="122" t="s">
        <v>717</v>
      </c>
      <c r="C21" s="248">
        <v>43435</v>
      </c>
      <c r="D21" s="142">
        <v>43465</v>
      </c>
      <c r="E21" s="151">
        <v>8.3333333333333329E-2</v>
      </c>
      <c r="F21" s="152">
        <v>0.25</v>
      </c>
      <c r="G21" s="143">
        <v>2323</v>
      </c>
      <c r="H21" s="60"/>
    </row>
    <row r="22" spans="1:32" x14ac:dyDescent="0.25">
      <c r="B22" s="122" t="s">
        <v>718</v>
      </c>
      <c r="C22" s="248">
        <v>43405</v>
      </c>
      <c r="D22" s="142">
        <v>43434</v>
      </c>
      <c r="E22" s="151">
        <v>0.125</v>
      </c>
      <c r="F22" s="152">
        <v>0.25</v>
      </c>
      <c r="G22" s="143">
        <v>2566</v>
      </c>
      <c r="H22" s="60"/>
    </row>
    <row r="23" spans="1:32" x14ac:dyDescent="0.25">
      <c r="B23" s="122" t="s">
        <v>716</v>
      </c>
      <c r="C23" s="248">
        <v>43374</v>
      </c>
      <c r="D23" s="142">
        <v>43404</v>
      </c>
      <c r="E23" s="151">
        <v>0.29166666666666669</v>
      </c>
      <c r="F23" s="152">
        <v>0.5</v>
      </c>
      <c r="G23" s="143">
        <v>2577</v>
      </c>
      <c r="H23" s="60"/>
    </row>
    <row r="24" spans="1:32" x14ac:dyDescent="0.25">
      <c r="B24" s="122" t="s">
        <v>722</v>
      </c>
      <c r="C24" s="248">
        <v>43344</v>
      </c>
      <c r="D24" s="142">
        <v>43373</v>
      </c>
      <c r="E24" s="151">
        <v>0.45833333333333331</v>
      </c>
      <c r="F24" s="152">
        <v>0.5</v>
      </c>
      <c r="G24" s="143">
        <v>2756</v>
      </c>
      <c r="H24" s="60"/>
    </row>
    <row r="25" spans="1:32" x14ac:dyDescent="0.25">
      <c r="B25" s="122" t="s">
        <v>723</v>
      </c>
      <c r="C25" s="248">
        <v>43313</v>
      </c>
      <c r="D25" s="142">
        <v>43343</v>
      </c>
      <c r="E25" s="151">
        <v>0.10416666666666667</v>
      </c>
      <c r="F25" s="152">
        <v>0.18958333333333333</v>
      </c>
      <c r="G25" s="143">
        <v>2677</v>
      </c>
      <c r="H25" s="60"/>
    </row>
    <row r="26" spans="1:32" x14ac:dyDescent="0.25">
      <c r="B26" s="122" t="s">
        <v>724</v>
      </c>
      <c r="C26" s="248">
        <v>43282</v>
      </c>
      <c r="D26" s="142">
        <v>43312</v>
      </c>
      <c r="E26" s="151">
        <v>0.14583333333333334</v>
      </c>
      <c r="F26" s="152">
        <v>0.3298611111111111</v>
      </c>
      <c r="G26" s="143">
        <v>1232</v>
      </c>
      <c r="H26" s="60"/>
    </row>
    <row r="27" spans="1:32" x14ac:dyDescent="0.25">
      <c r="B27" s="122" t="s">
        <v>720</v>
      </c>
      <c r="C27" s="248">
        <v>43252</v>
      </c>
      <c r="D27" s="142">
        <v>43281</v>
      </c>
      <c r="E27" s="151">
        <v>8.3333333333333329E-2</v>
      </c>
      <c r="F27" s="152">
        <v>0.25</v>
      </c>
      <c r="G27" s="143">
        <v>3221</v>
      </c>
      <c r="H27" s="60"/>
    </row>
    <row r="28" spans="1:32" ht="39" customHeight="1" x14ac:dyDescent="0.25"/>
    <row r="29" spans="1:32" s="73" customFormat="1" ht="51" customHeight="1" x14ac:dyDescent="0.2">
      <c r="A29" s="52" t="s">
        <v>594</v>
      </c>
      <c r="B29" s="54" t="s">
        <v>588</v>
      </c>
      <c r="G29" s="74"/>
      <c r="H29" s="83">
        <f t="shared" ref="H29:I29" si="0">IF(H31="",1,0)</f>
        <v>0</v>
      </c>
      <c r="I29" s="83">
        <f t="shared" si="0"/>
        <v>0</v>
      </c>
      <c r="J29" s="83">
        <f t="shared" ref="J29:AF29" si="1">IF(J31="",1,0)</f>
        <v>0</v>
      </c>
      <c r="K29" s="83">
        <f t="shared" si="1"/>
        <v>0</v>
      </c>
      <c r="L29" s="83">
        <f t="shared" si="1"/>
        <v>0</v>
      </c>
      <c r="M29" s="83">
        <f t="shared" si="1"/>
        <v>0</v>
      </c>
      <c r="N29" s="83">
        <f t="shared" si="1"/>
        <v>0</v>
      </c>
      <c r="O29" s="83">
        <f t="shared" si="1"/>
        <v>0</v>
      </c>
      <c r="P29" s="83">
        <f t="shared" si="1"/>
        <v>0</v>
      </c>
      <c r="Q29" s="83">
        <f t="shared" si="1"/>
        <v>0</v>
      </c>
      <c r="R29" s="83">
        <f t="shared" si="1"/>
        <v>0</v>
      </c>
      <c r="S29" s="83">
        <f t="shared" si="1"/>
        <v>0</v>
      </c>
      <c r="T29" s="83">
        <f t="shared" si="1"/>
        <v>0</v>
      </c>
      <c r="U29" s="83">
        <f t="shared" si="1"/>
        <v>0</v>
      </c>
      <c r="V29" s="83">
        <f t="shared" si="1"/>
        <v>0</v>
      </c>
      <c r="W29" s="83">
        <f t="shared" si="1"/>
        <v>0</v>
      </c>
      <c r="X29" s="83">
        <f t="shared" si="1"/>
        <v>0</v>
      </c>
      <c r="Y29" s="83">
        <f t="shared" si="1"/>
        <v>0</v>
      </c>
      <c r="Z29" s="83">
        <f t="shared" si="1"/>
        <v>0</v>
      </c>
      <c r="AA29" s="83">
        <f t="shared" si="1"/>
        <v>0</v>
      </c>
      <c r="AB29" s="83">
        <f t="shared" si="1"/>
        <v>0</v>
      </c>
      <c r="AC29" s="83">
        <f t="shared" si="1"/>
        <v>0</v>
      </c>
      <c r="AD29" s="83">
        <f t="shared" si="1"/>
        <v>0</v>
      </c>
      <c r="AE29" s="83">
        <f t="shared" si="1"/>
        <v>0</v>
      </c>
      <c r="AF29" s="83">
        <f t="shared" si="1"/>
        <v>0</v>
      </c>
    </row>
    <row r="30" spans="1:32" ht="21" customHeight="1" x14ac:dyDescent="0.25">
      <c r="A30" s="52" t="s">
        <v>604</v>
      </c>
      <c r="B30" s="272" t="s">
        <v>583</v>
      </c>
      <c r="C30" s="75"/>
      <c r="D30" s="75"/>
      <c r="E30" s="75"/>
      <c r="F30" s="75"/>
      <c r="G30" s="76"/>
      <c r="H30" s="61" t="s">
        <v>585</v>
      </c>
      <c r="I30" s="61" t="s">
        <v>585</v>
      </c>
      <c r="J30" s="61" t="s">
        <v>585</v>
      </c>
      <c r="K30" s="61" t="s">
        <v>585</v>
      </c>
      <c r="L30" s="61" t="s">
        <v>585</v>
      </c>
      <c r="M30" s="61" t="s">
        <v>585</v>
      </c>
      <c r="N30" s="61" t="s">
        <v>585</v>
      </c>
      <c r="O30" s="61" t="s">
        <v>585</v>
      </c>
      <c r="P30" s="61" t="s">
        <v>585</v>
      </c>
      <c r="Q30" s="61" t="s">
        <v>585</v>
      </c>
      <c r="R30" s="61" t="s">
        <v>585</v>
      </c>
      <c r="S30" s="61" t="s">
        <v>585</v>
      </c>
      <c r="T30" s="61" t="s">
        <v>585</v>
      </c>
      <c r="U30" s="61" t="s">
        <v>585</v>
      </c>
      <c r="V30" s="61" t="s">
        <v>585</v>
      </c>
      <c r="W30" s="61" t="s">
        <v>585</v>
      </c>
      <c r="X30" s="61" t="s">
        <v>585</v>
      </c>
      <c r="Y30" s="61" t="s">
        <v>585</v>
      </c>
      <c r="Z30" s="61" t="s">
        <v>585</v>
      </c>
      <c r="AA30" s="61" t="s">
        <v>585</v>
      </c>
      <c r="AB30" s="61" t="s">
        <v>585</v>
      </c>
      <c r="AC30" s="61" t="s">
        <v>585</v>
      </c>
      <c r="AD30" s="61" t="s">
        <v>585</v>
      </c>
      <c r="AE30" s="61" t="s">
        <v>585</v>
      </c>
      <c r="AF30" s="61" t="s">
        <v>585</v>
      </c>
    </row>
    <row r="31" spans="1:32" ht="15" customHeight="1" x14ac:dyDescent="0.25">
      <c r="A31" s="52" t="s">
        <v>604</v>
      </c>
      <c r="B31" s="273"/>
      <c r="C31" s="77"/>
      <c r="D31" s="77"/>
      <c r="E31" s="77"/>
      <c r="F31" s="77"/>
      <c r="G31" s="78"/>
      <c r="H31" s="230">
        <f t="array" ref="H31">IFERROR(INDEX($D$3:$D$28, MATCH(0,IF(ISBLANK($D$3:$D$28),1,COUNTIF($G31:G31, $D$3:$D$28)), 0)),"")</f>
        <v>44012</v>
      </c>
      <c r="I31" s="230">
        <f t="array" ref="I31">IFERROR(INDEX($D$3:$D$28, MATCH(0,IF(ISBLANK($D$3:$D$28),1,COUNTIF($G31:H31, $D$3:$D$28)), 0)),"")</f>
        <v>43982</v>
      </c>
      <c r="J31" s="230">
        <f t="array" ref="J31">IFERROR(INDEX($D$3:$D$28, MATCH(0,IF(ISBLANK($D$3:$D$28),1,COUNTIF($G31:I31, $D$3:$D$28)), 0)),"")</f>
        <v>43951</v>
      </c>
      <c r="K31" s="230">
        <f t="array" ref="K31">IFERROR(INDEX($D$3:$D$28, MATCH(0,IF(ISBLANK($D$3:$D$28),1,COUNTIF($G31:J31, $D$3:$D$28)), 0)),"")</f>
        <v>43921</v>
      </c>
      <c r="L31" s="230">
        <f t="array" ref="L31">IFERROR(INDEX($D$3:$D$28, MATCH(0,IF(ISBLANK($D$3:$D$28),1,COUNTIF($G31:K31, $D$3:$D$28)), 0)),"")</f>
        <v>43889</v>
      </c>
      <c r="M31" s="230">
        <f t="array" ref="M31">IFERROR(INDEX($D$3:$D$28, MATCH(0,IF(ISBLANK($D$3:$D$28),1,COUNTIF($G31:L31, $D$3:$D$28)), 0)),"")</f>
        <v>43861</v>
      </c>
      <c r="N31" s="230">
        <f t="array" ref="N31">IFERROR(INDEX($D$3:$D$28, MATCH(0,IF(ISBLANK($D$3:$D$28),1,COUNTIF($G31:M31, $D$3:$D$28)), 0)),"")</f>
        <v>43830</v>
      </c>
      <c r="O31" s="230">
        <f t="array" ref="O31">IFERROR(INDEX($D$3:$D$28, MATCH(0,IF(ISBLANK($D$3:$D$28),1,COUNTIF($G31:N31, $D$3:$D$28)), 0)),"")</f>
        <v>43799</v>
      </c>
      <c r="P31" s="230">
        <f t="array" ref="P31">IFERROR(INDEX($D$3:$D$28, MATCH(0,IF(ISBLANK($D$3:$D$28),1,COUNTIF($G31:O31, $D$3:$D$28)), 0)),"")</f>
        <v>43769</v>
      </c>
      <c r="Q31" s="230">
        <f t="array" ref="Q31">IFERROR(INDEX($D$3:$D$28, MATCH(0,IF(ISBLANK($D$3:$D$28),1,COUNTIF($G31:P31, $D$3:$D$28)), 0)),"")</f>
        <v>43738</v>
      </c>
      <c r="R31" s="230">
        <f t="array" ref="R31">IFERROR(INDEX($D$3:$D$28, MATCH(0,IF(ISBLANK($D$3:$D$28),1,COUNTIF($G31:Q31, $D$3:$D$28)), 0)),"")</f>
        <v>43708</v>
      </c>
      <c r="S31" s="230">
        <f t="array" ref="S31">IFERROR(INDEX($D$3:$D$28, MATCH(0,IF(ISBLANK($D$3:$D$28),1,COUNTIF($G31:R31, $D$3:$D$28)), 0)),"")</f>
        <v>43677</v>
      </c>
      <c r="T31" s="230">
        <f t="array" ref="T31">IFERROR(INDEX($D$3:$D$28, MATCH(0,IF(ISBLANK($D$3:$D$28),1,COUNTIF($G31:S31, $D$3:$D$28)), 0)),"")</f>
        <v>43646</v>
      </c>
      <c r="U31" s="230">
        <f t="array" ref="U31">IFERROR(INDEX($D$3:$D$28, MATCH(0,IF(ISBLANK($D$3:$D$28),1,COUNTIF($G31:T31, $D$3:$D$28)), 0)),"")</f>
        <v>43616</v>
      </c>
      <c r="V31" s="230">
        <f t="array" ref="V31">IFERROR(INDEX($D$3:$D$28, MATCH(0,IF(ISBLANK($D$3:$D$28),1,COUNTIF($G31:U31, $D$3:$D$28)), 0)),"")</f>
        <v>43585</v>
      </c>
      <c r="W31" s="230">
        <f t="array" ref="W31">IFERROR(INDEX($D$3:$D$28, MATCH(0,IF(ISBLANK($D$3:$D$28),1,COUNTIF($G31:V31, $D$3:$D$28)), 0)),"")</f>
        <v>43555</v>
      </c>
      <c r="X31" s="230">
        <f t="array" ref="X31">IFERROR(INDEX($D$3:$D$28, MATCH(0,IF(ISBLANK($D$3:$D$28),1,COUNTIF($G31:W31, $D$3:$D$28)), 0)),"")</f>
        <v>43524</v>
      </c>
      <c r="Y31" s="230">
        <f t="array" ref="Y31">IFERROR(INDEX($D$3:$D$28, MATCH(0,IF(ISBLANK($D$3:$D$28),1,COUNTIF($G31:X31, $D$3:$D$28)), 0)),"")</f>
        <v>43496</v>
      </c>
      <c r="Z31" s="230">
        <f t="array" ref="Z31">IFERROR(INDEX($D$3:$D$28, MATCH(0,IF(ISBLANK($D$3:$D$28),1,COUNTIF($G31:Y31, $D$3:$D$28)), 0)),"")</f>
        <v>43465</v>
      </c>
      <c r="AA31" s="230">
        <f t="array" ref="AA31">IFERROR(INDEX($D$3:$D$28, MATCH(0,IF(ISBLANK($D$3:$D$28),1,COUNTIF($G31:Z31, $D$3:$D$28)), 0)),"")</f>
        <v>43434</v>
      </c>
      <c r="AB31" s="230">
        <f t="array" ref="AB31">IFERROR(INDEX($D$3:$D$28, MATCH(0,IF(ISBLANK($D$3:$D$28),1,COUNTIF($G31:AA31, $D$3:$D$28)), 0)),"")</f>
        <v>43404</v>
      </c>
      <c r="AC31" s="230">
        <f t="array" ref="AC31">IFERROR(INDEX($D$3:$D$28, MATCH(0,IF(ISBLANK($D$3:$D$28),1,COUNTIF($G31:AB31, $D$3:$D$28)), 0)),"")</f>
        <v>43373</v>
      </c>
      <c r="AD31" s="230">
        <f t="array" ref="AD31">IFERROR(INDEX($D$3:$D$28, MATCH(0,IF(ISBLANK($D$3:$D$28),1,COUNTIF($G31:AC31, $D$3:$D$28)), 0)),"")</f>
        <v>43343</v>
      </c>
      <c r="AE31" s="230">
        <f t="array" ref="AE31">IFERROR(INDEX($D$3:$D$28, MATCH(0,IF(ISBLANK($D$3:$D$28),1,COUNTIF($G31:AD31, $D$3:$D$28)), 0)),"")</f>
        <v>43312</v>
      </c>
      <c r="AF31" s="230">
        <f t="array" ref="AF31">IFERROR(INDEX($D$3:$D$28, MATCH(0,IF(ISBLANK($D$3:$D$28),1,COUNTIF($G31:AE31, $D$3:$D$28)), 0)),"")</f>
        <v>43281</v>
      </c>
    </row>
    <row r="32" spans="1:32" ht="27.75" customHeight="1" x14ac:dyDescent="0.25">
      <c r="A32" s="52" t="s">
        <v>604</v>
      </c>
      <c r="B32" s="274"/>
      <c r="C32" s="79"/>
      <c r="D32" s="79"/>
      <c r="E32" s="79"/>
      <c r="F32" s="79"/>
      <c r="G32" s="80"/>
      <c r="H32" s="121" t="s">
        <v>601</v>
      </c>
      <c r="I32" s="121" t="s">
        <v>601</v>
      </c>
      <c r="J32" s="121" t="s">
        <v>601</v>
      </c>
      <c r="K32" s="121" t="s">
        <v>601</v>
      </c>
      <c r="L32" s="121" t="s">
        <v>601</v>
      </c>
      <c r="M32" s="121" t="s">
        <v>601</v>
      </c>
      <c r="N32" s="121" t="s">
        <v>601</v>
      </c>
      <c r="O32" s="121" t="s">
        <v>601</v>
      </c>
      <c r="P32" s="121" t="s">
        <v>601</v>
      </c>
      <c r="Q32" s="121" t="s">
        <v>601</v>
      </c>
      <c r="R32" s="121" t="s">
        <v>601</v>
      </c>
      <c r="S32" s="121" t="s">
        <v>601</v>
      </c>
      <c r="T32" s="121" t="s">
        <v>601</v>
      </c>
      <c r="U32" s="121" t="s">
        <v>601</v>
      </c>
      <c r="V32" s="121" t="s">
        <v>601</v>
      </c>
      <c r="W32" s="121" t="s">
        <v>601</v>
      </c>
      <c r="X32" s="121" t="s">
        <v>601</v>
      </c>
      <c r="Y32" s="121" t="s">
        <v>601</v>
      </c>
      <c r="Z32" s="121" t="s">
        <v>601</v>
      </c>
      <c r="AA32" s="121" t="s">
        <v>601</v>
      </c>
      <c r="AB32" s="121" t="s">
        <v>601</v>
      </c>
      <c r="AC32" s="121" t="s">
        <v>601</v>
      </c>
      <c r="AD32" s="121" t="s">
        <v>601</v>
      </c>
      <c r="AE32" s="121" t="s">
        <v>601</v>
      </c>
      <c r="AF32" s="121" t="s">
        <v>601</v>
      </c>
    </row>
    <row r="33" spans="1:32" ht="15" customHeight="1" x14ac:dyDescent="0.25">
      <c r="A33" s="52">
        <f>IF(B33="",1,0)</f>
        <v>0</v>
      </c>
      <c r="B33" s="62" t="str">
        <f t="array" ref="B33">IFERROR(INDEX($B$3:$B$28, MATCH(0,IF(ISBLANK($B$3:$B$28),1,COUNTIF($B$32:B32, $B$3:$B$28)), 0)),"")</f>
        <v>Goa</v>
      </c>
      <c r="C33" s="63"/>
      <c r="D33" s="63"/>
      <c r="E33" s="63"/>
      <c r="F33" s="63"/>
      <c r="G33" s="72"/>
      <c r="H33" s="147">
        <f t="array" ref="H33">IFERROR(AVERAGE(IF($B$3:$B$28=$B33,IF($D$3:$D$28=H$31,IF($G$3:$G$28&lt;&gt;"",$G$3:$G$28)))),"")</f>
        <v>2654</v>
      </c>
      <c r="I33" s="147" t="str">
        <f t="array" ref="I33">IFERROR(AVERAGE(IF($B$3:$B$28=$B33,IF($D$3:$D$28=I$31,IF($G$3:$G$28&lt;&gt;"",$G$3:$G$28)))),"")</f>
        <v/>
      </c>
      <c r="J33" s="147" t="str">
        <f t="array" ref="J33">IFERROR(AVERAGE(IF($B$3:$B$28=$B33,IF($D$3:$D$28=J$31,IF($G$3:$G$28&lt;&gt;"",$G$3:$G$28)))),"")</f>
        <v/>
      </c>
      <c r="K33" s="147" t="str">
        <f t="array" ref="K33">IFERROR(AVERAGE(IF($B$3:$B$28=$B33,IF($D$3:$D$28=K$31,IF($G$3:$G$28&lt;&gt;"",$G$3:$G$28)))),"")</f>
        <v/>
      </c>
      <c r="L33" s="147" t="str">
        <f t="array" ref="L33">IFERROR(AVERAGE(IF($B$3:$B$28=$B33,IF($D$3:$D$28=L$31,IF($G$3:$G$28&lt;&gt;"",$G$3:$G$28)))),"")</f>
        <v/>
      </c>
      <c r="M33" s="147" t="str">
        <f t="array" ref="M33">IFERROR(AVERAGE(IF($B$3:$B$28=$B33,IF($D$3:$D$28=M$31,IF($G$3:$G$28&lt;&gt;"",$G$3:$G$28)))),"")</f>
        <v/>
      </c>
      <c r="N33" s="147" t="str">
        <f t="array" ref="N33">IFERROR(AVERAGE(IF($B$3:$B$28=$B33,IF($D$3:$D$28=N$31,IF($G$3:$G$28&lt;&gt;"",$G$3:$G$28)))),"")</f>
        <v/>
      </c>
      <c r="O33" s="147">
        <f t="array" ref="O33">IFERROR(AVERAGE(IF($B$3:$B$28=$B33,IF($D$3:$D$28=O$31,IF($G$3:$G$28&lt;&gt;"",$G$3:$G$28)))),"")</f>
        <v>2566</v>
      </c>
      <c r="P33" s="147" t="str">
        <f t="array" ref="P33">IFERROR(AVERAGE(IF($B$3:$B$28=$B33,IF($D$3:$D$28=P$31,IF($G$3:$G$28&lt;&gt;"",$G$3:$G$28)))),"")</f>
        <v/>
      </c>
      <c r="Q33" s="147" t="str">
        <f t="array" ref="Q33">IFERROR(AVERAGE(IF($B$3:$B$28=$B33,IF($D$3:$D$28=Q$31,IF($G$3:$G$28&lt;&gt;"",$G$3:$G$28)))),"")</f>
        <v/>
      </c>
      <c r="R33" s="147" t="str">
        <f t="array" ref="R33">IFERROR(AVERAGE(IF($B$3:$B$28=$B33,IF($D$3:$D$28=R$31,IF($G$3:$G$28&lt;&gt;"",$G$3:$G$28)))),"")</f>
        <v/>
      </c>
      <c r="S33" s="147" t="str">
        <f t="array" ref="S33">IFERROR(AVERAGE(IF($B$3:$B$28=$B33,IF($D$3:$D$28=S$31,IF($G$3:$G$28&lt;&gt;"",$G$3:$G$28)))),"")</f>
        <v/>
      </c>
      <c r="T33" s="147" t="str">
        <f t="array" ref="T33">IFERROR(AVERAGE(IF($B$3:$B$28=$B33,IF($D$3:$D$28=T$31,IF($G$3:$G$28&lt;&gt;"",$G$3:$G$28)))),"")</f>
        <v/>
      </c>
      <c r="U33" s="147">
        <f t="array" ref="U33">IFERROR(AVERAGE(IF($B$3:$B$28=$B33,IF($D$3:$D$28=U$31,IF($G$3:$G$28&lt;&gt;"",$G$3:$G$28)))),"")</f>
        <v>1173</v>
      </c>
      <c r="V33" s="147" t="str">
        <f t="array" ref="V33">IFERROR(AVERAGE(IF($B$3:$B$28=$B33,IF($D$3:$D$28=V$31,IF($G$3:$G$28&lt;&gt;"",$G$3:$G$28)))),"")</f>
        <v/>
      </c>
      <c r="W33" s="147" t="str">
        <f t="array" ref="W33">IFERROR(AVERAGE(IF($B$3:$B$28=$B33,IF($D$3:$D$28=W$31,IF($G$3:$G$28&lt;&gt;"",$G$3:$G$28)))),"")</f>
        <v/>
      </c>
      <c r="X33" s="147" t="str">
        <f t="array" ref="X33">IFERROR(AVERAGE(IF($B$3:$B$28=$B33,IF($D$3:$D$28=X$31,IF($G$3:$G$28&lt;&gt;"",$G$3:$G$28)))),"")</f>
        <v/>
      </c>
      <c r="Y33" s="147" t="str">
        <f t="array" ref="Y33">IFERROR(AVERAGE(IF($B$3:$B$28=$B33,IF($D$3:$D$28=Y$31,IF($G$3:$G$28&lt;&gt;"",$G$3:$G$28)))),"")</f>
        <v/>
      </c>
      <c r="Z33" s="147" t="str">
        <f t="array" ref="Z33">IFERROR(AVERAGE(IF($B$3:$B$28=$B33,IF($D$3:$D$28=Z$31,IF($G$3:$G$28&lt;&gt;"",$G$3:$G$28)))),"")</f>
        <v/>
      </c>
      <c r="AA33" s="147" t="str">
        <f t="array" ref="AA33">IFERROR(AVERAGE(IF($B$3:$B$28=$B33,IF($D$3:$D$28=AA$31,IF($G$3:$G$28&lt;&gt;"",$G$3:$G$28)))),"")</f>
        <v/>
      </c>
      <c r="AB33" s="147">
        <f t="array" ref="AB33">IFERROR(AVERAGE(IF($B$3:$B$28=$B33,IF($D$3:$D$28=AB$31,IF($G$3:$G$28&lt;&gt;"",$G$3:$G$28)))),"")</f>
        <v>2577</v>
      </c>
      <c r="AC33" s="147" t="str">
        <f t="array" ref="AC33">IFERROR(AVERAGE(IF($B$3:$B$28=$B33,IF($D$3:$D$28=AC$31,IF($G$3:$G$28&lt;&gt;"",$G$3:$G$28)))),"")</f>
        <v/>
      </c>
      <c r="AD33" s="147" t="str">
        <f t="array" ref="AD33">IFERROR(AVERAGE(IF($B$3:$B$28=$B33,IF($D$3:$D$28=AD$31,IF($G$3:$G$28&lt;&gt;"",$G$3:$G$28)))),"")</f>
        <v/>
      </c>
      <c r="AE33" s="147" t="str">
        <f t="array" ref="AE33">IFERROR(AVERAGE(IF($B$3:$B$28=$B33,IF($D$3:$D$28=AE$31,IF($G$3:$G$28&lt;&gt;"",$G$3:$G$28)))),"")</f>
        <v/>
      </c>
      <c r="AF33" s="147" t="str">
        <f t="array" ref="AF33">IFERROR(AVERAGE(IF($B$3:$B$28=$B33,IF($D$3:$D$28=AF$31,IF($G$3:$G$28&lt;&gt;"",$G$3:$G$28)))),"")</f>
        <v/>
      </c>
    </row>
    <row r="34" spans="1:32" ht="15" customHeight="1" x14ac:dyDescent="0.25">
      <c r="A34" s="52">
        <f t="shared" ref="A34" si="2">IF(B34="",1,0)</f>
        <v>0</v>
      </c>
      <c r="B34" s="62" t="str">
        <f t="array" ref="B34">IFERROR(INDEX($B$3:$B$28, MATCH(0,IF(ISBLANK($B$3:$B$28),1,COUNTIF($B$32:B33, $B$3:$B$28)), 0)),"")</f>
        <v>Hyd</v>
      </c>
      <c r="C34" s="63"/>
      <c r="D34" s="63"/>
      <c r="E34" s="63"/>
      <c r="F34" s="63"/>
      <c r="G34" s="72"/>
      <c r="H34" s="147" t="str">
        <f t="array" ref="H34">IFERROR(AVERAGE(IF($B$3:$B$28=$B34,IF($D$3:$D$28=H$31,IF($G$3:$G$28&lt;&gt;"",$G$3:$G$28)))),"")</f>
        <v/>
      </c>
      <c r="I34" s="147">
        <f t="array" ref="I34">IFERROR(AVERAGE(IF($B$3:$B$28=$B34,IF($D$3:$D$28=I$31,IF($G$3:$G$28&lt;&gt;"",$G$3:$G$28)))),"")</f>
        <v>1173</v>
      </c>
      <c r="J34" s="147" t="str">
        <f t="array" ref="J34">IFERROR(AVERAGE(IF($B$3:$B$28=$B34,IF($D$3:$D$28=J$31,IF($G$3:$G$28&lt;&gt;"",$G$3:$G$28)))),"")</f>
        <v/>
      </c>
      <c r="K34" s="147" t="str">
        <f t="array" ref="K34">IFERROR(AVERAGE(IF($B$3:$B$28=$B34,IF($D$3:$D$28=K$31,IF($G$3:$G$28&lt;&gt;"",$G$3:$G$28)))),"")</f>
        <v/>
      </c>
      <c r="L34" s="147" t="str">
        <f t="array" ref="L34">IFERROR(AVERAGE(IF($B$3:$B$28=$B34,IF($D$3:$D$28=L$31,IF($G$3:$G$28&lt;&gt;"",$G$3:$G$28)))),"")</f>
        <v/>
      </c>
      <c r="M34" s="147">
        <f t="array" ref="M34">IFERROR(AVERAGE(IF($B$3:$B$28=$B34,IF($D$3:$D$28=M$31,IF($G$3:$G$28&lt;&gt;"",$G$3:$G$28)))),"")</f>
        <v>1993</v>
      </c>
      <c r="N34" s="147" t="str">
        <f t="array" ref="N34">IFERROR(AVERAGE(IF($B$3:$B$28=$B34,IF($D$3:$D$28=N$31,IF($G$3:$G$28&lt;&gt;"",$G$3:$G$28)))),"")</f>
        <v/>
      </c>
      <c r="O34" s="147" t="str">
        <f t="array" ref="O34">IFERROR(AVERAGE(IF($B$3:$B$28=$B34,IF($D$3:$D$28=O$31,IF($G$3:$G$28&lt;&gt;"",$G$3:$G$28)))),"")</f>
        <v/>
      </c>
      <c r="P34" s="147" t="str">
        <f t="array" ref="P34">IFERROR(AVERAGE(IF($B$3:$B$28=$B34,IF($D$3:$D$28=P$31,IF($G$3:$G$28&lt;&gt;"",$G$3:$G$28)))),"")</f>
        <v/>
      </c>
      <c r="Q34" s="147" t="str">
        <f t="array" ref="Q34">IFERROR(AVERAGE(IF($B$3:$B$28=$B34,IF($D$3:$D$28=Q$31,IF($G$3:$G$28&lt;&gt;"",$G$3:$G$28)))),"")</f>
        <v/>
      </c>
      <c r="R34" s="147" t="str">
        <f t="array" ref="R34">IFERROR(AVERAGE(IF($B$3:$B$28=$B34,IF($D$3:$D$28=R$31,IF($G$3:$G$28&lt;&gt;"",$G$3:$G$28)))),"")</f>
        <v/>
      </c>
      <c r="S34" s="147" t="str">
        <f t="array" ref="S34">IFERROR(AVERAGE(IF($B$3:$B$28=$B34,IF($D$3:$D$28=S$31,IF($G$3:$G$28&lt;&gt;"",$G$3:$G$28)))),"")</f>
        <v/>
      </c>
      <c r="T34" s="147" t="str">
        <f t="array" ref="T34">IFERROR(AVERAGE(IF($B$3:$B$28=$B34,IF($D$3:$D$28=T$31,IF($G$3:$G$28&lt;&gt;"",$G$3:$G$28)))),"")</f>
        <v/>
      </c>
      <c r="U34" s="147" t="str">
        <f t="array" ref="U34">IFERROR(AVERAGE(IF($B$3:$B$28=$B34,IF($D$3:$D$28=U$31,IF($G$3:$G$28&lt;&gt;"",$G$3:$G$28)))),"")</f>
        <v/>
      </c>
      <c r="V34" s="147">
        <f t="array" ref="V34">IFERROR(AVERAGE(IF($B$3:$B$28=$B34,IF($D$3:$D$28=V$31,IF($G$3:$G$28&lt;&gt;"",$G$3:$G$28)))),"")</f>
        <v>1098</v>
      </c>
      <c r="W34" s="147" t="str">
        <f t="array" ref="W34">IFERROR(AVERAGE(IF($B$3:$B$28=$B34,IF($D$3:$D$28=W$31,IF($G$3:$G$28&lt;&gt;"",$G$3:$G$28)))),"")</f>
        <v/>
      </c>
      <c r="X34" s="147" t="str">
        <f t="array" ref="X34">IFERROR(AVERAGE(IF($B$3:$B$28=$B34,IF($D$3:$D$28=X$31,IF($G$3:$G$28&lt;&gt;"",$G$3:$G$28)))),"")</f>
        <v/>
      </c>
      <c r="Y34" s="147" t="str">
        <f t="array" ref="Y34">IFERROR(AVERAGE(IF($B$3:$B$28=$B34,IF($D$3:$D$28=Y$31,IF($G$3:$G$28&lt;&gt;"",$G$3:$G$28)))),"")</f>
        <v/>
      </c>
      <c r="Z34" s="147">
        <f t="array" ref="Z34">IFERROR(AVERAGE(IF($B$3:$B$28=$B34,IF($D$3:$D$28=Z$31,IF($G$3:$G$28&lt;&gt;"",$G$3:$G$28)))),"")</f>
        <v>2323</v>
      </c>
      <c r="AA34" s="147" t="str">
        <f t="array" ref="AA34">IFERROR(AVERAGE(IF($B$3:$B$28=$B34,IF($D$3:$D$28=AA$31,IF($G$3:$G$28&lt;&gt;"",$G$3:$G$28)))),"")</f>
        <v/>
      </c>
      <c r="AB34" s="147" t="str">
        <f t="array" ref="AB34">IFERROR(AVERAGE(IF($B$3:$B$28=$B34,IF($D$3:$D$28=AB$31,IF($G$3:$G$28&lt;&gt;"",$G$3:$G$28)))),"")</f>
        <v/>
      </c>
      <c r="AC34" s="147" t="str">
        <f t="array" ref="AC34">IFERROR(AVERAGE(IF($B$3:$B$28=$B34,IF($D$3:$D$28=AC$31,IF($G$3:$G$28&lt;&gt;"",$G$3:$G$28)))),"")</f>
        <v/>
      </c>
      <c r="AD34" s="147" t="str">
        <f t="array" ref="AD34">IFERROR(AVERAGE(IF($B$3:$B$28=$B34,IF($D$3:$D$28=AD$31,IF($G$3:$G$28&lt;&gt;"",$G$3:$G$28)))),"")</f>
        <v/>
      </c>
      <c r="AE34" s="147" t="str">
        <f t="array" ref="AE34">IFERROR(AVERAGE(IF($B$3:$B$28=$B34,IF($D$3:$D$28=AE$31,IF($G$3:$G$28&lt;&gt;"",$G$3:$G$28)))),"")</f>
        <v/>
      </c>
      <c r="AF34" s="147" t="str">
        <f t="array" ref="AF34">IFERROR(AVERAGE(IF($B$3:$B$28=$B34,IF($D$3:$D$28=AF$31,IF($G$3:$G$28&lt;&gt;"",$G$3:$G$28)))),"")</f>
        <v/>
      </c>
    </row>
    <row r="35" spans="1:32" ht="15" customHeight="1" x14ac:dyDescent="0.25">
      <c r="A35" s="52">
        <f t="shared" ref="A35:A37" si="3">IF(B35="",1,0)</f>
        <v>0</v>
      </c>
      <c r="B35" s="62" t="str">
        <f t="array" ref="B35">IFERROR(INDEX($B$3:$B$28, MATCH(0,IF(ISBLANK($B$3:$B$28),1,COUNTIF($B$32:B34, $B$3:$B$28)), 0)),"")</f>
        <v>Delhi</v>
      </c>
      <c r="C35" s="63"/>
      <c r="D35" s="63"/>
      <c r="E35" s="63"/>
      <c r="F35" s="63"/>
      <c r="G35" s="72"/>
      <c r="H35" s="147" t="str">
        <f t="array" ref="H35">IFERROR(AVERAGE(IF($B$3:$B$28=$B35,IF($D$3:$D$28=H$31,IF($G$3:$G$28&lt;&gt;"",$G$3:$G$28)))),"")</f>
        <v/>
      </c>
      <c r="I35" s="147" t="str">
        <f t="array" ref="I35">IFERROR(AVERAGE(IF($B$3:$B$28=$B35,IF($D$3:$D$28=I$31,IF($G$3:$G$28&lt;&gt;"",$G$3:$G$28)))),"")</f>
        <v/>
      </c>
      <c r="J35" s="147">
        <f t="array" ref="J35">IFERROR(AVERAGE(IF($B$3:$B$28=$B35,IF($D$3:$D$28=J$31,IF($G$3:$G$28&lt;&gt;"",$G$3:$G$28)))),"")</f>
        <v>1098</v>
      </c>
      <c r="K35" s="147" t="str">
        <f t="array" ref="K35">IFERROR(AVERAGE(IF($B$3:$B$28=$B35,IF($D$3:$D$28=K$31,IF($G$3:$G$28&lt;&gt;"",$G$3:$G$28)))),"")</f>
        <v/>
      </c>
      <c r="L35" s="147" t="str">
        <f t="array" ref="L35">IFERROR(AVERAGE(IF($B$3:$B$28=$B35,IF($D$3:$D$28=L$31,IF($G$3:$G$28&lt;&gt;"",$G$3:$G$28)))),"")</f>
        <v/>
      </c>
      <c r="M35" s="147" t="str">
        <f t="array" ref="M35">IFERROR(AVERAGE(IF($B$3:$B$28=$B35,IF($D$3:$D$28=M$31,IF($G$3:$G$28&lt;&gt;"",$G$3:$G$28)))),"")</f>
        <v/>
      </c>
      <c r="N35" s="147">
        <f t="array" ref="N35">IFERROR(AVERAGE(IF($B$3:$B$28=$B35,IF($D$3:$D$28=N$31,IF($G$3:$G$28&lt;&gt;"",$G$3:$G$28)))),"")</f>
        <v>2323</v>
      </c>
      <c r="O35" s="147" t="str">
        <f t="array" ref="O35">IFERROR(AVERAGE(IF($B$3:$B$28=$B35,IF($D$3:$D$28=O$31,IF($G$3:$G$28&lt;&gt;"",$G$3:$G$28)))),"")</f>
        <v/>
      </c>
      <c r="P35" s="147" t="str">
        <f t="array" ref="P35">IFERROR(AVERAGE(IF($B$3:$B$28=$B35,IF($D$3:$D$28=P$31,IF($G$3:$G$28&lt;&gt;"",$G$3:$G$28)))),"")</f>
        <v/>
      </c>
      <c r="Q35" s="147" t="str">
        <f t="array" ref="Q35">IFERROR(AVERAGE(IF($B$3:$B$28=$B35,IF($D$3:$D$28=Q$31,IF($G$3:$G$28&lt;&gt;"",$G$3:$G$28)))),"")</f>
        <v/>
      </c>
      <c r="R35" s="147" t="str">
        <f t="array" ref="R35">IFERROR(AVERAGE(IF($B$3:$B$28=$B35,IF($D$3:$D$28=R$31,IF($G$3:$G$28&lt;&gt;"",$G$3:$G$28)))),"")</f>
        <v/>
      </c>
      <c r="S35" s="147" t="str">
        <f t="array" ref="S35">IFERROR(AVERAGE(IF($B$3:$B$28=$B35,IF($D$3:$D$28=S$31,IF($G$3:$G$28&lt;&gt;"",$G$3:$G$28)))),"")</f>
        <v/>
      </c>
      <c r="T35" s="147" t="str">
        <f t="array" ref="T35">IFERROR(AVERAGE(IF($B$3:$B$28=$B35,IF($D$3:$D$28=T$31,IF($G$3:$G$28&lt;&gt;"",$G$3:$G$28)))),"")</f>
        <v/>
      </c>
      <c r="U35" s="147" t="str">
        <f t="array" ref="U35">IFERROR(AVERAGE(IF($B$3:$B$28=$B35,IF($D$3:$D$28=U$31,IF($G$3:$G$28&lt;&gt;"",$G$3:$G$28)))),"")</f>
        <v/>
      </c>
      <c r="V35" s="147" t="str">
        <f t="array" ref="V35">IFERROR(AVERAGE(IF($B$3:$B$28=$B35,IF($D$3:$D$28=V$31,IF($G$3:$G$28&lt;&gt;"",$G$3:$G$28)))),"")</f>
        <v/>
      </c>
      <c r="W35" s="147">
        <f t="array" ref="W35">IFERROR(AVERAGE(IF($B$3:$B$28=$B35,IF($D$3:$D$28=W$31,IF($G$3:$G$28&lt;&gt;"",$G$3:$G$28)))),"")</f>
        <v>986</v>
      </c>
      <c r="X35" s="147" t="str">
        <f t="array" ref="X35">IFERROR(AVERAGE(IF($B$3:$B$28=$B35,IF($D$3:$D$28=X$31,IF($G$3:$G$28&lt;&gt;"",$G$3:$G$28)))),"")</f>
        <v/>
      </c>
      <c r="Y35" s="147" t="str">
        <f t="array" ref="Y35">IFERROR(AVERAGE(IF($B$3:$B$28=$B35,IF($D$3:$D$28=Y$31,IF($G$3:$G$28&lt;&gt;"",$G$3:$G$28)))),"")</f>
        <v/>
      </c>
      <c r="Z35" s="147" t="str">
        <f t="array" ref="Z35">IFERROR(AVERAGE(IF($B$3:$B$28=$B35,IF($D$3:$D$28=Z$31,IF($G$3:$G$28&lt;&gt;"",$G$3:$G$28)))),"")</f>
        <v/>
      </c>
      <c r="AA35" s="147">
        <f t="array" ref="AA35">IFERROR(AVERAGE(IF($B$3:$B$28=$B35,IF($D$3:$D$28=AA$31,IF($G$3:$G$28&lt;&gt;"",$G$3:$G$28)))),"")</f>
        <v>2566</v>
      </c>
      <c r="AB35" s="147" t="str">
        <f t="array" ref="AB35">IFERROR(AVERAGE(IF($B$3:$B$28=$B35,IF($D$3:$D$28=AB$31,IF($G$3:$G$28&lt;&gt;"",$G$3:$G$28)))),"")</f>
        <v/>
      </c>
      <c r="AC35" s="147" t="str">
        <f t="array" ref="AC35">IFERROR(AVERAGE(IF($B$3:$B$28=$B35,IF($D$3:$D$28=AC$31,IF($G$3:$G$28&lt;&gt;"",$G$3:$G$28)))),"")</f>
        <v/>
      </c>
      <c r="AD35" s="147" t="str">
        <f t="array" ref="AD35">IFERROR(AVERAGE(IF($B$3:$B$28=$B35,IF($D$3:$D$28=AD$31,IF($G$3:$G$28&lt;&gt;"",$G$3:$G$28)))),"")</f>
        <v/>
      </c>
      <c r="AE35" s="147" t="str">
        <f t="array" ref="AE35">IFERROR(AVERAGE(IF($B$3:$B$28=$B35,IF($D$3:$D$28=AE$31,IF($G$3:$G$28&lt;&gt;"",$G$3:$G$28)))),"")</f>
        <v/>
      </c>
      <c r="AF35" s="147" t="str">
        <f t="array" ref="AF35">IFERROR(AVERAGE(IF($B$3:$B$28=$B35,IF($D$3:$D$28=AF$31,IF($G$3:$G$28&lt;&gt;"",$G$3:$G$28)))),"")</f>
        <v/>
      </c>
    </row>
    <row r="36" spans="1:32" ht="15" customHeight="1" x14ac:dyDescent="0.25">
      <c r="A36" s="52">
        <f t="shared" si="3"/>
        <v>0</v>
      </c>
      <c r="B36" s="62" t="str">
        <f t="array" ref="B36">IFERROR(INDEX($B$3:$B$28, MATCH(0,IF(ISBLANK($B$3:$B$28),1,COUNTIF($B$32:B35, $B$3:$B$28)), 0)),"")</f>
        <v>Banglore</v>
      </c>
      <c r="C36" s="63"/>
      <c r="D36" s="63"/>
      <c r="E36" s="63"/>
      <c r="F36" s="63"/>
      <c r="G36" s="72"/>
      <c r="H36" s="147" t="str">
        <f t="array" ref="H36">IFERROR(AVERAGE(IF($B$3:$B$28=$B36,IF($D$3:$D$28=H$31,IF($G$3:$G$28&lt;&gt;"",$G$3:$G$28)))),"")</f>
        <v/>
      </c>
      <c r="I36" s="147" t="str">
        <f t="array" ref="I36">IFERROR(AVERAGE(IF($B$3:$B$28=$B36,IF($D$3:$D$28=I$31,IF($G$3:$G$28&lt;&gt;"",$G$3:$G$28)))),"")</f>
        <v/>
      </c>
      <c r="J36" s="147" t="str">
        <f t="array" ref="J36">IFERROR(AVERAGE(IF($B$3:$B$28=$B36,IF($D$3:$D$28=J$31,IF($G$3:$G$28&lt;&gt;"",$G$3:$G$28)))),"")</f>
        <v/>
      </c>
      <c r="K36" s="147">
        <f t="array" ref="K36">IFERROR(AVERAGE(IF($B$3:$B$28=$B36,IF($D$3:$D$28=K$31,IF($G$3:$G$28&lt;&gt;"",$G$3:$G$28)))),"")</f>
        <v>986</v>
      </c>
      <c r="L36" s="147" t="str">
        <f t="array" ref="L36">IFERROR(AVERAGE(IF($B$3:$B$28=$B36,IF($D$3:$D$28=L$31,IF($G$3:$G$28&lt;&gt;"",$G$3:$G$28)))),"")</f>
        <v/>
      </c>
      <c r="M36" s="147" t="str">
        <f t="array" ref="M36">IFERROR(AVERAGE(IF($B$3:$B$28=$B36,IF($D$3:$D$28=M$31,IF($G$3:$G$28&lt;&gt;"",$G$3:$G$28)))),"")</f>
        <v/>
      </c>
      <c r="N36" s="147" t="str">
        <f t="array" ref="N36">IFERROR(AVERAGE(IF($B$3:$B$28=$B36,IF($D$3:$D$28=N$31,IF($G$3:$G$28&lt;&gt;"",$G$3:$G$28)))),"")</f>
        <v/>
      </c>
      <c r="O36" s="147" t="str">
        <f t="array" ref="O36">IFERROR(AVERAGE(IF($B$3:$B$28=$B36,IF($D$3:$D$28=O$31,IF($G$3:$G$28&lt;&gt;"",$G$3:$G$28)))),"")</f>
        <v/>
      </c>
      <c r="P36" s="147" t="str">
        <f t="array" ref="P36">IFERROR(AVERAGE(IF($B$3:$B$28=$B36,IF($D$3:$D$28=P$31,IF($G$3:$G$28&lt;&gt;"",$G$3:$G$28)))),"")</f>
        <v/>
      </c>
      <c r="Q36" s="147" t="str">
        <f t="array" ref="Q36">IFERROR(AVERAGE(IF($B$3:$B$28=$B36,IF($D$3:$D$28=Q$31,IF($G$3:$G$28&lt;&gt;"",$G$3:$G$28)))),"")</f>
        <v/>
      </c>
      <c r="R36" s="147" t="str">
        <f t="array" ref="R36">IFERROR(AVERAGE(IF($B$3:$B$28=$B36,IF($D$3:$D$28=R$31,IF($G$3:$G$28&lt;&gt;"",$G$3:$G$28)))),"")</f>
        <v/>
      </c>
      <c r="S36" s="147" t="str">
        <f t="array" ref="S36">IFERROR(AVERAGE(IF($B$3:$B$28=$B36,IF($D$3:$D$28=S$31,IF($G$3:$G$28&lt;&gt;"",$G$3:$G$28)))),"")</f>
        <v/>
      </c>
      <c r="T36" s="147" t="str">
        <f t="array" ref="T36">IFERROR(AVERAGE(IF($B$3:$B$28=$B36,IF($D$3:$D$28=T$31,IF($G$3:$G$28&lt;&gt;"",$G$3:$G$28)))),"")</f>
        <v/>
      </c>
      <c r="U36" s="147" t="str">
        <f t="array" ref="U36">IFERROR(AVERAGE(IF($B$3:$B$28=$B36,IF($D$3:$D$28=U$31,IF($G$3:$G$28&lt;&gt;"",$G$3:$G$28)))),"")</f>
        <v/>
      </c>
      <c r="V36" s="147" t="str">
        <f t="array" ref="V36">IFERROR(AVERAGE(IF($B$3:$B$28=$B36,IF($D$3:$D$28=V$31,IF($G$3:$G$28&lt;&gt;"",$G$3:$G$28)))),"")</f>
        <v/>
      </c>
      <c r="W36" s="147" t="str">
        <f t="array" ref="W36">IFERROR(AVERAGE(IF($B$3:$B$28=$B36,IF($D$3:$D$28=W$31,IF($G$3:$G$28&lt;&gt;"",$G$3:$G$28)))),"")</f>
        <v/>
      </c>
      <c r="X36" s="147">
        <f t="array" ref="X36">IFERROR(AVERAGE(IF($B$3:$B$28=$B36,IF($D$3:$D$28=X$31,IF($G$3:$G$28&lt;&gt;"",$G$3:$G$28)))),"")</f>
        <v>1212</v>
      </c>
      <c r="Y36" s="147" t="str">
        <f t="array" ref="Y36">IFERROR(AVERAGE(IF($B$3:$B$28=$B36,IF($D$3:$D$28=Y$31,IF($G$3:$G$28&lt;&gt;"",$G$3:$G$28)))),"")</f>
        <v/>
      </c>
      <c r="Z36" s="147" t="str">
        <f t="array" ref="Z36">IFERROR(AVERAGE(IF($B$3:$B$28=$B36,IF($D$3:$D$28=Z$31,IF($G$3:$G$28&lt;&gt;"",$G$3:$G$28)))),"")</f>
        <v/>
      </c>
      <c r="AA36" s="147" t="str">
        <f t="array" ref="AA36">IFERROR(AVERAGE(IF($B$3:$B$28=$B36,IF($D$3:$D$28=AA$31,IF($G$3:$G$28&lt;&gt;"",$G$3:$G$28)))),"")</f>
        <v/>
      </c>
      <c r="AB36" s="147" t="str">
        <f t="array" ref="AB36">IFERROR(AVERAGE(IF($B$3:$B$28=$B36,IF($D$3:$D$28=AB$31,IF($G$3:$G$28&lt;&gt;"",$G$3:$G$28)))),"")</f>
        <v/>
      </c>
      <c r="AC36" s="147" t="str">
        <f t="array" ref="AC36">IFERROR(AVERAGE(IF($B$3:$B$28=$B36,IF($D$3:$D$28=AC$31,IF($G$3:$G$28&lt;&gt;"",$G$3:$G$28)))),"")</f>
        <v/>
      </c>
      <c r="AD36" s="147" t="str">
        <f t="array" ref="AD36">IFERROR(AVERAGE(IF($B$3:$B$28=$B36,IF($D$3:$D$28=AD$31,IF($G$3:$G$28&lt;&gt;"",$G$3:$G$28)))),"")</f>
        <v/>
      </c>
      <c r="AE36" s="147" t="str">
        <f t="array" ref="AE36">IFERROR(AVERAGE(IF($B$3:$B$28=$B36,IF($D$3:$D$28=AE$31,IF($G$3:$G$28&lt;&gt;"",$G$3:$G$28)))),"")</f>
        <v/>
      </c>
      <c r="AF36" s="147" t="str">
        <f t="array" ref="AF36">IFERROR(AVERAGE(IF($B$3:$B$28=$B36,IF($D$3:$D$28=AF$31,IF($G$3:$G$28&lt;&gt;"",$G$3:$G$28)))),"")</f>
        <v/>
      </c>
    </row>
    <row r="37" spans="1:32" ht="15" customHeight="1" x14ac:dyDescent="0.25">
      <c r="A37" s="52">
        <f t="shared" si="3"/>
        <v>0</v>
      </c>
      <c r="B37" s="62" t="str">
        <f t="array" ref="B37">IFERROR(INDEX($B$3:$B$28, MATCH(0,IF(ISBLANK($B$3:$B$28),1,COUNTIF($B$32:B36, $B$3:$B$28)), 0)),"")</f>
        <v>Chennai</v>
      </c>
      <c r="C37" s="63"/>
      <c r="D37" s="63"/>
      <c r="E37" s="63"/>
      <c r="F37" s="63"/>
      <c r="G37" s="72"/>
      <c r="H37" s="147" t="str">
        <f t="array" ref="H37">IFERROR(AVERAGE(IF($B$3:$B$28=$B37,IF($D$3:$D$28=H$31,IF($G$3:$G$28&lt;&gt;"",$G$3:$G$28)))),"")</f>
        <v/>
      </c>
      <c r="I37" s="147" t="str">
        <f t="array" ref="I37">IFERROR(AVERAGE(IF($B$3:$B$28=$B37,IF($D$3:$D$28=I$31,IF($G$3:$G$28&lt;&gt;"",$G$3:$G$28)))),"")</f>
        <v/>
      </c>
      <c r="J37" s="147" t="str">
        <f t="array" ref="J37">IFERROR(AVERAGE(IF($B$3:$B$28=$B37,IF($D$3:$D$28=J$31,IF($G$3:$G$28&lt;&gt;"",$G$3:$G$28)))),"")</f>
        <v/>
      </c>
      <c r="K37" s="147" t="str">
        <f t="array" ref="K37">IFERROR(AVERAGE(IF($B$3:$B$28=$B37,IF($D$3:$D$28=K$31,IF($G$3:$G$28&lt;&gt;"",$G$3:$G$28)))),"")</f>
        <v/>
      </c>
      <c r="L37" s="147">
        <f t="array" ref="L37">IFERROR(AVERAGE(IF($B$3:$B$28=$B37,IF($D$3:$D$28=L$31,IF($G$3:$G$28&lt;&gt;"",$G$3:$G$28)))),"")</f>
        <v>1212</v>
      </c>
      <c r="M37" s="147" t="str">
        <f t="array" ref="M37">IFERROR(AVERAGE(IF($B$3:$B$28=$B37,IF($D$3:$D$28=M$31,IF($G$3:$G$28&lt;&gt;"",$G$3:$G$28)))),"")</f>
        <v/>
      </c>
      <c r="N37" s="147" t="str">
        <f t="array" ref="N37">IFERROR(AVERAGE(IF($B$3:$B$28=$B37,IF($D$3:$D$28=N$31,IF($G$3:$G$28&lt;&gt;"",$G$3:$G$28)))),"")</f>
        <v/>
      </c>
      <c r="O37" s="147" t="str">
        <f t="array" ref="O37">IFERROR(AVERAGE(IF($B$3:$B$28=$B37,IF($D$3:$D$28=O$31,IF($G$3:$G$28&lt;&gt;"",$G$3:$G$28)))),"")</f>
        <v/>
      </c>
      <c r="P37" s="147" t="str">
        <f t="array" ref="P37">IFERROR(AVERAGE(IF($B$3:$B$28=$B37,IF($D$3:$D$28=P$31,IF($G$3:$G$28&lt;&gt;"",$G$3:$G$28)))),"")</f>
        <v/>
      </c>
      <c r="Q37" s="147" t="str">
        <f t="array" ref="Q37">IFERROR(AVERAGE(IF($B$3:$B$28=$B37,IF($D$3:$D$28=Q$31,IF($G$3:$G$28&lt;&gt;"",$G$3:$G$28)))),"")</f>
        <v/>
      </c>
      <c r="R37" s="147" t="str">
        <f t="array" ref="R37">IFERROR(AVERAGE(IF($B$3:$B$28=$B37,IF($D$3:$D$28=R$31,IF($G$3:$G$28&lt;&gt;"",$G$3:$G$28)))),"")</f>
        <v/>
      </c>
      <c r="S37" s="147" t="str">
        <f t="array" ref="S37">IFERROR(AVERAGE(IF($B$3:$B$28=$B37,IF($D$3:$D$28=S$31,IF($G$3:$G$28&lt;&gt;"",$G$3:$G$28)))),"")</f>
        <v/>
      </c>
      <c r="T37" s="147" t="str">
        <f t="array" ref="T37">IFERROR(AVERAGE(IF($B$3:$B$28=$B37,IF($D$3:$D$28=T$31,IF($G$3:$G$28&lt;&gt;"",$G$3:$G$28)))),"")</f>
        <v/>
      </c>
      <c r="U37" s="147" t="str">
        <f t="array" ref="U37">IFERROR(AVERAGE(IF($B$3:$B$28=$B37,IF($D$3:$D$28=U$31,IF($G$3:$G$28&lt;&gt;"",$G$3:$G$28)))),"")</f>
        <v/>
      </c>
      <c r="V37" s="147" t="str">
        <f t="array" ref="V37">IFERROR(AVERAGE(IF($B$3:$B$28=$B37,IF($D$3:$D$28=V$31,IF($G$3:$G$28&lt;&gt;"",$G$3:$G$28)))),"")</f>
        <v/>
      </c>
      <c r="W37" s="147" t="str">
        <f t="array" ref="W37">IFERROR(AVERAGE(IF($B$3:$B$28=$B37,IF($D$3:$D$28=W$31,IF($G$3:$G$28&lt;&gt;"",$G$3:$G$28)))),"")</f>
        <v/>
      </c>
      <c r="X37" s="147" t="str">
        <f t="array" ref="X37">IFERROR(AVERAGE(IF($B$3:$B$28=$B37,IF($D$3:$D$28=X$31,IF($G$3:$G$28&lt;&gt;"",$G$3:$G$28)))),"")</f>
        <v/>
      </c>
      <c r="Y37" s="147">
        <f t="array" ref="Y37">IFERROR(AVERAGE(IF($B$3:$B$28=$B37,IF($D$3:$D$28=Y$31,IF($G$3:$G$28&lt;&gt;"",$G$3:$G$28)))),"")</f>
        <v>1993</v>
      </c>
      <c r="Z37" s="147" t="str">
        <f t="array" ref="Z37">IFERROR(AVERAGE(IF($B$3:$B$28=$B37,IF($D$3:$D$28=Z$31,IF($G$3:$G$28&lt;&gt;"",$G$3:$G$28)))),"")</f>
        <v/>
      </c>
      <c r="AA37" s="147" t="str">
        <f t="array" ref="AA37">IFERROR(AVERAGE(IF($B$3:$B$28=$B37,IF($D$3:$D$28=AA$31,IF($G$3:$G$28&lt;&gt;"",$G$3:$G$28)))),"")</f>
        <v/>
      </c>
      <c r="AB37" s="147" t="str">
        <f t="array" ref="AB37">IFERROR(AVERAGE(IF($B$3:$B$28=$B37,IF($D$3:$D$28=AB$31,IF($G$3:$G$28&lt;&gt;"",$G$3:$G$28)))),"")</f>
        <v/>
      </c>
      <c r="AC37" s="147" t="str">
        <f t="array" ref="AC37">IFERROR(AVERAGE(IF($B$3:$B$28=$B37,IF($D$3:$D$28=AC$31,IF($G$3:$G$28&lt;&gt;"",$G$3:$G$28)))),"")</f>
        <v/>
      </c>
      <c r="AD37" s="147" t="str">
        <f t="array" ref="AD37">IFERROR(AVERAGE(IF($B$3:$B$28=$B37,IF($D$3:$D$28=AD$31,IF($G$3:$G$28&lt;&gt;"",$G$3:$G$28)))),"")</f>
        <v/>
      </c>
      <c r="AE37" s="147" t="str">
        <f t="array" ref="AE37">IFERROR(AVERAGE(IF($B$3:$B$28=$B37,IF($D$3:$D$28=AE$31,IF($G$3:$G$28&lt;&gt;"",$G$3:$G$28)))),"")</f>
        <v/>
      </c>
      <c r="AF37" s="147">
        <f t="array" ref="AF37">IFERROR(AVERAGE(IF($B$3:$B$28=$B37,IF($D$3:$D$28=AF$31,IF($G$3:$G$28&lt;&gt;"",$G$3:$G$28)))),"")</f>
        <v>3221</v>
      </c>
    </row>
    <row r="38" spans="1:32" ht="15" customHeight="1" x14ac:dyDescent="0.25">
      <c r="A38" s="52">
        <f t="shared" ref="A38:A42" si="4">IF(B38="",1,0)</f>
        <v>0</v>
      </c>
      <c r="B38" s="62" t="str">
        <f t="array" ref="B38">IFERROR(INDEX($B$3:$B$28, MATCH(0,IF(ISBLANK($B$3:$B$28),1,COUNTIF($B$32:B37, $B$3:$B$28)), 0)),"")</f>
        <v>Madhya Pradesh</v>
      </c>
      <c r="C38" s="63"/>
      <c r="D38" s="63"/>
      <c r="E38" s="63"/>
      <c r="F38" s="63"/>
      <c r="G38" s="72"/>
      <c r="H38" s="147" t="str">
        <f t="array" ref="H38">IFERROR(AVERAGE(IF($B$3:$B$28=$B38,IF($D$3:$D$28=H$31,IF($G$3:$G$28&lt;&gt;"",$G$3:$G$28)))),"")</f>
        <v/>
      </c>
      <c r="I38" s="147" t="str">
        <f t="array" ref="I38">IFERROR(AVERAGE(IF($B$3:$B$28=$B38,IF($D$3:$D$28=I$31,IF($G$3:$G$28&lt;&gt;"",$G$3:$G$28)))),"")</f>
        <v/>
      </c>
      <c r="J38" s="147" t="str">
        <f t="array" ref="J38">IFERROR(AVERAGE(IF($B$3:$B$28=$B38,IF($D$3:$D$28=J$31,IF($G$3:$G$28&lt;&gt;"",$G$3:$G$28)))),"")</f>
        <v/>
      </c>
      <c r="K38" s="147" t="str">
        <f t="array" ref="K38">IFERROR(AVERAGE(IF($B$3:$B$28=$B38,IF($D$3:$D$28=K$31,IF($G$3:$G$28&lt;&gt;"",$G$3:$G$28)))),"")</f>
        <v/>
      </c>
      <c r="L38" s="147" t="str">
        <f t="array" ref="L38">IFERROR(AVERAGE(IF($B$3:$B$28=$B38,IF($D$3:$D$28=L$31,IF($G$3:$G$28&lt;&gt;"",$G$3:$G$28)))),"")</f>
        <v/>
      </c>
      <c r="M38" s="147" t="str">
        <f t="array" ref="M38">IFERROR(AVERAGE(IF($B$3:$B$28=$B38,IF($D$3:$D$28=M$31,IF($G$3:$G$28&lt;&gt;"",$G$3:$G$28)))),"")</f>
        <v/>
      </c>
      <c r="N38" s="147" t="str">
        <f t="array" ref="N38">IFERROR(AVERAGE(IF($B$3:$B$28=$B38,IF($D$3:$D$28=N$31,IF($G$3:$G$28&lt;&gt;"",$G$3:$G$28)))),"")</f>
        <v/>
      </c>
      <c r="O38" s="147" t="str">
        <f t="array" ref="O38">IFERROR(AVERAGE(IF($B$3:$B$28=$B38,IF($D$3:$D$28=O$31,IF($G$3:$G$28&lt;&gt;"",$G$3:$G$28)))),"")</f>
        <v/>
      </c>
      <c r="P38" s="147">
        <f t="array" ref="P38">IFERROR(AVERAGE(IF($B$3:$B$28=$B38,IF($D$3:$D$28=P$31,IF($G$3:$G$28&lt;&gt;"",$G$3:$G$28)))),"")</f>
        <v>2577</v>
      </c>
      <c r="Q38" s="147" t="str">
        <f t="array" ref="Q38">IFERROR(AVERAGE(IF($B$3:$B$28=$B38,IF($D$3:$D$28=Q$31,IF($G$3:$G$28&lt;&gt;"",$G$3:$G$28)))),"")</f>
        <v/>
      </c>
      <c r="R38" s="147" t="str">
        <f t="array" ref="R38">IFERROR(AVERAGE(IF($B$3:$B$28=$B38,IF($D$3:$D$28=R$31,IF($G$3:$G$28&lt;&gt;"",$G$3:$G$28)))),"")</f>
        <v/>
      </c>
      <c r="S38" s="147" t="str">
        <f t="array" ref="S38">IFERROR(AVERAGE(IF($B$3:$B$28=$B38,IF($D$3:$D$28=S$31,IF($G$3:$G$28&lt;&gt;"",$G$3:$G$28)))),"")</f>
        <v/>
      </c>
      <c r="T38" s="147" t="str">
        <f t="array" ref="T38">IFERROR(AVERAGE(IF($B$3:$B$28=$B38,IF($D$3:$D$28=T$31,IF($G$3:$G$28&lt;&gt;"",$G$3:$G$28)))),"")</f>
        <v/>
      </c>
      <c r="U38" s="147" t="str">
        <f t="array" ref="U38">IFERROR(AVERAGE(IF($B$3:$B$28=$B38,IF($D$3:$D$28=U$31,IF($G$3:$G$28&lt;&gt;"",$G$3:$G$28)))),"")</f>
        <v/>
      </c>
      <c r="V38" s="147" t="str">
        <f t="array" ref="V38">IFERROR(AVERAGE(IF($B$3:$B$28=$B38,IF($D$3:$D$28=V$31,IF($G$3:$G$28&lt;&gt;"",$G$3:$G$28)))),"")</f>
        <v/>
      </c>
      <c r="W38" s="147" t="str">
        <f t="array" ref="W38">IFERROR(AVERAGE(IF($B$3:$B$28=$B38,IF($D$3:$D$28=W$31,IF($G$3:$G$28&lt;&gt;"",$G$3:$G$28)))),"")</f>
        <v/>
      </c>
      <c r="X38" s="147" t="str">
        <f t="array" ref="X38">IFERROR(AVERAGE(IF($B$3:$B$28=$B38,IF($D$3:$D$28=X$31,IF($G$3:$G$28&lt;&gt;"",$G$3:$G$28)))),"")</f>
        <v/>
      </c>
      <c r="Y38" s="147" t="str">
        <f t="array" ref="Y38">IFERROR(AVERAGE(IF($B$3:$B$28=$B38,IF($D$3:$D$28=Y$31,IF($G$3:$G$28&lt;&gt;"",$G$3:$G$28)))),"")</f>
        <v/>
      </c>
      <c r="Z38" s="147" t="str">
        <f t="array" ref="Z38">IFERROR(AVERAGE(IF($B$3:$B$28=$B38,IF($D$3:$D$28=Z$31,IF($G$3:$G$28&lt;&gt;"",$G$3:$G$28)))),"")</f>
        <v/>
      </c>
      <c r="AA38" s="147" t="str">
        <f t="array" ref="AA38">IFERROR(AVERAGE(IF($B$3:$B$28=$B38,IF($D$3:$D$28=AA$31,IF($G$3:$G$28&lt;&gt;"",$G$3:$G$28)))),"")</f>
        <v/>
      </c>
      <c r="AB38" s="147" t="str">
        <f t="array" ref="AB38">IFERROR(AVERAGE(IF($B$3:$B$28=$B38,IF($D$3:$D$28=AB$31,IF($G$3:$G$28&lt;&gt;"",$G$3:$G$28)))),"")</f>
        <v/>
      </c>
      <c r="AC38" s="147">
        <f t="array" ref="AC38">IFERROR(AVERAGE(IF($B$3:$B$28=$B38,IF($D$3:$D$28=AC$31,IF($G$3:$G$28&lt;&gt;"",$G$3:$G$28)))),"")</f>
        <v>2756</v>
      </c>
      <c r="AD38" s="147" t="str">
        <f t="array" ref="AD38">IFERROR(AVERAGE(IF($B$3:$B$28=$B38,IF($D$3:$D$28=AD$31,IF($G$3:$G$28&lt;&gt;"",$G$3:$G$28)))),"")</f>
        <v/>
      </c>
      <c r="AE38" s="147" t="str">
        <f t="array" ref="AE38">IFERROR(AVERAGE(IF($B$3:$B$28=$B38,IF($D$3:$D$28=AE$31,IF($G$3:$G$28&lt;&gt;"",$G$3:$G$28)))),"")</f>
        <v/>
      </c>
      <c r="AF38" s="147" t="str">
        <f t="array" ref="AF38">IFERROR(AVERAGE(IF($B$3:$B$28=$B38,IF($D$3:$D$28=AF$31,IF($G$3:$G$28&lt;&gt;"",$G$3:$G$28)))),"")</f>
        <v/>
      </c>
    </row>
    <row r="39" spans="1:32" ht="15" customHeight="1" x14ac:dyDescent="0.25">
      <c r="A39" s="52">
        <f t="shared" si="4"/>
        <v>0</v>
      </c>
      <c r="B39" s="62" t="str">
        <f t="array" ref="B39">IFERROR(INDEX($B$3:$B$28, MATCH(0,IF(ISBLANK($B$3:$B$28),1,COUNTIF($B$32:B38, $B$3:$B$28)), 0)),"")</f>
        <v>Gujrat</v>
      </c>
      <c r="C39" s="63"/>
      <c r="D39" s="63"/>
      <c r="E39" s="63"/>
      <c r="F39" s="63"/>
      <c r="G39" s="72"/>
      <c r="H39" s="147" t="str">
        <f t="array" ref="H39">IFERROR(AVERAGE(IF($B$3:$B$28=$B39,IF($D$3:$D$28=H$31,IF($G$3:$G$28&lt;&gt;"",$G$3:$G$28)))),"")</f>
        <v/>
      </c>
      <c r="I39" s="147" t="str">
        <f t="array" ref="I39">IFERROR(AVERAGE(IF($B$3:$B$28=$B39,IF($D$3:$D$28=I$31,IF($G$3:$G$28&lt;&gt;"",$G$3:$G$28)))),"")</f>
        <v/>
      </c>
      <c r="J39" s="147" t="str">
        <f t="array" ref="J39">IFERROR(AVERAGE(IF($B$3:$B$28=$B39,IF($D$3:$D$28=J$31,IF($G$3:$G$28&lt;&gt;"",$G$3:$G$28)))),"")</f>
        <v/>
      </c>
      <c r="K39" s="147" t="str">
        <f t="array" ref="K39">IFERROR(AVERAGE(IF($B$3:$B$28=$B39,IF($D$3:$D$28=K$31,IF($G$3:$G$28&lt;&gt;"",$G$3:$G$28)))),"")</f>
        <v/>
      </c>
      <c r="L39" s="147" t="str">
        <f t="array" ref="L39">IFERROR(AVERAGE(IF($B$3:$B$28=$B39,IF($D$3:$D$28=L$31,IF($G$3:$G$28&lt;&gt;"",$G$3:$G$28)))),"")</f>
        <v/>
      </c>
      <c r="M39" s="147" t="str">
        <f t="array" ref="M39">IFERROR(AVERAGE(IF($B$3:$B$28=$B39,IF($D$3:$D$28=M$31,IF($G$3:$G$28&lt;&gt;"",$G$3:$G$28)))),"")</f>
        <v/>
      </c>
      <c r="N39" s="147" t="str">
        <f t="array" ref="N39">IFERROR(AVERAGE(IF($B$3:$B$28=$B39,IF($D$3:$D$28=N$31,IF($G$3:$G$28&lt;&gt;"",$G$3:$G$28)))),"")</f>
        <v/>
      </c>
      <c r="O39" s="147" t="str">
        <f t="array" ref="O39">IFERROR(AVERAGE(IF($B$3:$B$28=$B39,IF($D$3:$D$28=O$31,IF($G$3:$G$28&lt;&gt;"",$G$3:$G$28)))),"")</f>
        <v/>
      </c>
      <c r="P39" s="147" t="str">
        <f t="array" ref="P39">IFERROR(AVERAGE(IF($B$3:$B$28=$B39,IF($D$3:$D$28=P$31,IF($G$3:$G$28&lt;&gt;"",$G$3:$G$28)))),"")</f>
        <v/>
      </c>
      <c r="Q39" s="147">
        <f t="array" ref="Q39">IFERROR(AVERAGE(IF($B$3:$B$28=$B39,IF($D$3:$D$28=Q$31,IF($G$3:$G$28&lt;&gt;"",$G$3:$G$28)))),"")</f>
        <v>2756</v>
      </c>
      <c r="R39" s="147" t="str">
        <f t="array" ref="R39">IFERROR(AVERAGE(IF($B$3:$B$28=$B39,IF($D$3:$D$28=R$31,IF($G$3:$G$28&lt;&gt;"",$G$3:$G$28)))),"")</f>
        <v/>
      </c>
      <c r="S39" s="147" t="str">
        <f t="array" ref="S39">IFERROR(AVERAGE(IF($B$3:$B$28=$B39,IF($D$3:$D$28=S$31,IF($G$3:$G$28&lt;&gt;"",$G$3:$G$28)))),"")</f>
        <v/>
      </c>
      <c r="T39" s="147" t="str">
        <f t="array" ref="T39">IFERROR(AVERAGE(IF($B$3:$B$28=$B39,IF($D$3:$D$28=T$31,IF($G$3:$G$28&lt;&gt;"",$G$3:$G$28)))),"")</f>
        <v/>
      </c>
      <c r="U39" s="147" t="str">
        <f t="array" ref="U39">IFERROR(AVERAGE(IF($B$3:$B$28=$B39,IF($D$3:$D$28=U$31,IF($G$3:$G$28&lt;&gt;"",$G$3:$G$28)))),"")</f>
        <v/>
      </c>
      <c r="V39" s="147" t="str">
        <f t="array" ref="V39">IFERROR(AVERAGE(IF($B$3:$B$28=$B39,IF($D$3:$D$28=V$31,IF($G$3:$G$28&lt;&gt;"",$G$3:$G$28)))),"")</f>
        <v/>
      </c>
      <c r="W39" s="147" t="str">
        <f t="array" ref="W39">IFERROR(AVERAGE(IF($B$3:$B$28=$B39,IF($D$3:$D$28=W$31,IF($G$3:$G$28&lt;&gt;"",$G$3:$G$28)))),"")</f>
        <v/>
      </c>
      <c r="X39" s="147" t="str">
        <f t="array" ref="X39">IFERROR(AVERAGE(IF($B$3:$B$28=$B39,IF($D$3:$D$28=X$31,IF($G$3:$G$28&lt;&gt;"",$G$3:$G$28)))),"")</f>
        <v/>
      </c>
      <c r="Y39" s="147" t="str">
        <f t="array" ref="Y39">IFERROR(AVERAGE(IF($B$3:$B$28=$B39,IF($D$3:$D$28=Y$31,IF($G$3:$G$28&lt;&gt;"",$G$3:$G$28)))),"")</f>
        <v/>
      </c>
      <c r="Z39" s="147" t="str">
        <f t="array" ref="Z39">IFERROR(AVERAGE(IF($B$3:$B$28=$B39,IF($D$3:$D$28=Z$31,IF($G$3:$G$28&lt;&gt;"",$G$3:$G$28)))),"")</f>
        <v/>
      </c>
      <c r="AA39" s="147" t="str">
        <f t="array" ref="AA39">IFERROR(AVERAGE(IF($B$3:$B$28=$B39,IF($D$3:$D$28=AA$31,IF($G$3:$G$28&lt;&gt;"",$G$3:$G$28)))),"")</f>
        <v/>
      </c>
      <c r="AB39" s="147" t="str">
        <f t="array" ref="AB39">IFERROR(AVERAGE(IF($B$3:$B$28=$B39,IF($D$3:$D$28=AB$31,IF($G$3:$G$28&lt;&gt;"",$G$3:$G$28)))),"")</f>
        <v/>
      </c>
      <c r="AC39" s="147" t="str">
        <f t="array" ref="AC39">IFERROR(AVERAGE(IF($B$3:$B$28=$B39,IF($D$3:$D$28=AC$31,IF($G$3:$G$28&lt;&gt;"",$G$3:$G$28)))),"")</f>
        <v/>
      </c>
      <c r="AD39" s="147">
        <f t="array" ref="AD39">IFERROR(AVERAGE(IF($B$3:$B$28=$B39,IF($D$3:$D$28=AD$31,IF($G$3:$G$28&lt;&gt;"",$G$3:$G$28)))),"")</f>
        <v>2677</v>
      </c>
      <c r="AE39" s="147" t="str">
        <f t="array" ref="AE39">IFERROR(AVERAGE(IF($B$3:$B$28=$B39,IF($D$3:$D$28=AE$31,IF($G$3:$G$28&lt;&gt;"",$G$3:$G$28)))),"")</f>
        <v/>
      </c>
      <c r="AF39" s="147" t="str">
        <f t="array" ref="AF39">IFERROR(AVERAGE(IF($B$3:$B$28=$B39,IF($D$3:$D$28=AF$31,IF($G$3:$G$28&lt;&gt;"",$G$3:$G$28)))),"")</f>
        <v/>
      </c>
    </row>
    <row r="40" spans="1:32" ht="15" customHeight="1" x14ac:dyDescent="0.25">
      <c r="A40" s="52">
        <f t="shared" si="4"/>
        <v>0</v>
      </c>
      <c r="B40" s="62" t="str">
        <f t="array" ref="B40">IFERROR(INDEX($B$3:$B$28, MATCH(0,IF(ISBLANK($B$3:$B$28),1,COUNTIF($B$32:B39, $B$3:$B$28)), 0)),"")</f>
        <v>Ludhiyana</v>
      </c>
      <c r="C40" s="63"/>
      <c r="D40" s="63"/>
      <c r="E40" s="63"/>
      <c r="F40" s="63"/>
      <c r="G40" s="72"/>
      <c r="H40" s="147" t="str">
        <f t="array" ref="H40">IFERROR(AVERAGE(IF($B$3:$B$28=$B40,IF($D$3:$D$28=H$31,IF($G$3:$G$28&lt;&gt;"",$G$3:$G$28)))),"")</f>
        <v/>
      </c>
      <c r="I40" s="147" t="str">
        <f t="array" ref="I40">IFERROR(AVERAGE(IF($B$3:$B$28=$B40,IF($D$3:$D$28=I$31,IF($G$3:$G$28&lt;&gt;"",$G$3:$G$28)))),"")</f>
        <v/>
      </c>
      <c r="J40" s="147" t="str">
        <f t="array" ref="J40">IFERROR(AVERAGE(IF($B$3:$B$28=$B40,IF($D$3:$D$28=J$31,IF($G$3:$G$28&lt;&gt;"",$G$3:$G$28)))),"")</f>
        <v/>
      </c>
      <c r="K40" s="147" t="str">
        <f t="array" ref="K40">IFERROR(AVERAGE(IF($B$3:$B$28=$B40,IF($D$3:$D$28=K$31,IF($G$3:$G$28&lt;&gt;"",$G$3:$G$28)))),"")</f>
        <v/>
      </c>
      <c r="L40" s="147" t="str">
        <f t="array" ref="L40">IFERROR(AVERAGE(IF($B$3:$B$28=$B40,IF($D$3:$D$28=L$31,IF($G$3:$G$28&lt;&gt;"",$G$3:$G$28)))),"")</f>
        <v/>
      </c>
      <c r="M40" s="147" t="str">
        <f t="array" ref="M40">IFERROR(AVERAGE(IF($B$3:$B$28=$B40,IF($D$3:$D$28=M$31,IF($G$3:$G$28&lt;&gt;"",$G$3:$G$28)))),"")</f>
        <v/>
      </c>
      <c r="N40" s="147" t="str">
        <f t="array" ref="N40">IFERROR(AVERAGE(IF($B$3:$B$28=$B40,IF($D$3:$D$28=N$31,IF($G$3:$G$28&lt;&gt;"",$G$3:$G$28)))),"")</f>
        <v/>
      </c>
      <c r="O40" s="147" t="str">
        <f t="array" ref="O40">IFERROR(AVERAGE(IF($B$3:$B$28=$B40,IF($D$3:$D$28=O$31,IF($G$3:$G$28&lt;&gt;"",$G$3:$G$28)))),"")</f>
        <v/>
      </c>
      <c r="P40" s="147" t="str">
        <f t="array" ref="P40">IFERROR(AVERAGE(IF($B$3:$B$28=$B40,IF($D$3:$D$28=P$31,IF($G$3:$G$28&lt;&gt;"",$G$3:$G$28)))),"")</f>
        <v/>
      </c>
      <c r="Q40" s="147" t="str">
        <f t="array" ref="Q40">IFERROR(AVERAGE(IF($B$3:$B$28=$B40,IF($D$3:$D$28=Q$31,IF($G$3:$G$28&lt;&gt;"",$G$3:$G$28)))),"")</f>
        <v/>
      </c>
      <c r="R40" s="147">
        <f t="array" ref="R40">IFERROR(AVERAGE(IF($B$3:$B$28=$B40,IF($D$3:$D$28=R$31,IF($G$3:$G$28&lt;&gt;"",$G$3:$G$28)))),"")</f>
        <v>2677</v>
      </c>
      <c r="S40" s="147" t="str">
        <f t="array" ref="S40">IFERROR(AVERAGE(IF($B$3:$B$28=$B40,IF($D$3:$D$28=S$31,IF($G$3:$G$28&lt;&gt;"",$G$3:$G$28)))),"")</f>
        <v/>
      </c>
      <c r="T40" s="147" t="str">
        <f t="array" ref="T40">IFERROR(AVERAGE(IF($B$3:$B$28=$B40,IF($D$3:$D$28=T$31,IF($G$3:$G$28&lt;&gt;"",$G$3:$G$28)))),"")</f>
        <v/>
      </c>
      <c r="U40" s="147" t="str">
        <f t="array" ref="U40">IFERROR(AVERAGE(IF($B$3:$B$28=$B40,IF($D$3:$D$28=U$31,IF($G$3:$G$28&lt;&gt;"",$G$3:$G$28)))),"")</f>
        <v/>
      </c>
      <c r="V40" s="147" t="str">
        <f t="array" ref="V40">IFERROR(AVERAGE(IF($B$3:$B$28=$B40,IF($D$3:$D$28=V$31,IF($G$3:$G$28&lt;&gt;"",$G$3:$G$28)))),"")</f>
        <v/>
      </c>
      <c r="W40" s="147" t="str">
        <f t="array" ref="W40">IFERROR(AVERAGE(IF($B$3:$B$28=$B40,IF($D$3:$D$28=W$31,IF($G$3:$G$28&lt;&gt;"",$G$3:$G$28)))),"")</f>
        <v/>
      </c>
      <c r="X40" s="147" t="str">
        <f t="array" ref="X40">IFERROR(AVERAGE(IF($B$3:$B$28=$B40,IF($D$3:$D$28=X$31,IF($G$3:$G$28&lt;&gt;"",$G$3:$G$28)))),"")</f>
        <v/>
      </c>
      <c r="Y40" s="147" t="str">
        <f t="array" ref="Y40">IFERROR(AVERAGE(IF($B$3:$B$28=$B40,IF($D$3:$D$28=Y$31,IF($G$3:$G$28&lt;&gt;"",$G$3:$G$28)))),"")</f>
        <v/>
      </c>
      <c r="Z40" s="147" t="str">
        <f t="array" ref="Z40">IFERROR(AVERAGE(IF($B$3:$B$28=$B40,IF($D$3:$D$28=Z$31,IF($G$3:$G$28&lt;&gt;"",$G$3:$G$28)))),"")</f>
        <v/>
      </c>
      <c r="AA40" s="147" t="str">
        <f t="array" ref="AA40">IFERROR(AVERAGE(IF($B$3:$B$28=$B40,IF($D$3:$D$28=AA$31,IF($G$3:$G$28&lt;&gt;"",$G$3:$G$28)))),"")</f>
        <v/>
      </c>
      <c r="AB40" s="147" t="str">
        <f t="array" ref="AB40">IFERROR(AVERAGE(IF($B$3:$B$28=$B40,IF($D$3:$D$28=AB$31,IF($G$3:$G$28&lt;&gt;"",$G$3:$G$28)))),"")</f>
        <v/>
      </c>
      <c r="AC40" s="147" t="str">
        <f t="array" ref="AC40">IFERROR(AVERAGE(IF($B$3:$B$28=$B40,IF($D$3:$D$28=AC$31,IF($G$3:$G$28&lt;&gt;"",$G$3:$G$28)))),"")</f>
        <v/>
      </c>
      <c r="AD40" s="147" t="str">
        <f t="array" ref="AD40">IFERROR(AVERAGE(IF($B$3:$B$28=$B40,IF($D$3:$D$28=AD$31,IF($G$3:$G$28&lt;&gt;"",$G$3:$G$28)))),"")</f>
        <v/>
      </c>
      <c r="AE40" s="147">
        <f t="array" ref="AE40">IFERROR(AVERAGE(IF($B$3:$B$28=$B40,IF($D$3:$D$28=AE$31,IF($G$3:$G$28&lt;&gt;"",$G$3:$G$28)))),"")</f>
        <v>1232</v>
      </c>
      <c r="AF40" s="147" t="str">
        <f t="array" ref="AF40">IFERROR(AVERAGE(IF($B$3:$B$28=$B40,IF($D$3:$D$28=AF$31,IF($G$3:$G$28&lt;&gt;"",$G$3:$G$28)))),"")</f>
        <v/>
      </c>
    </row>
    <row r="41" spans="1:32" ht="15" customHeight="1" x14ac:dyDescent="0.25">
      <c r="A41" s="52">
        <f t="shared" si="4"/>
        <v>0</v>
      </c>
      <c r="B41" s="62" t="str">
        <f t="array" ref="B41">IFERROR(INDEX($B$3:$B$28, MATCH(0,IF(ISBLANK($B$3:$B$28),1,COUNTIF($B$32:B40, $B$3:$B$28)), 0)),"")</f>
        <v>Uttar Pradesh</v>
      </c>
      <c r="C41" s="63"/>
      <c r="D41" s="63"/>
      <c r="E41" s="63"/>
      <c r="F41" s="63"/>
      <c r="G41" s="72"/>
      <c r="H41" s="147" t="str">
        <f t="array" ref="H41">IFERROR(AVERAGE(IF($B$3:$B$28=$B41,IF($D$3:$D$28=H$31,IF($G$3:$G$28&lt;&gt;"",$G$3:$G$28)))),"")</f>
        <v/>
      </c>
      <c r="I41" s="147" t="str">
        <f t="array" ref="I41">IFERROR(AVERAGE(IF($B$3:$B$28=$B41,IF($D$3:$D$28=I$31,IF($G$3:$G$28&lt;&gt;"",$G$3:$G$28)))),"")</f>
        <v/>
      </c>
      <c r="J41" s="147" t="str">
        <f t="array" ref="J41">IFERROR(AVERAGE(IF($B$3:$B$28=$B41,IF($D$3:$D$28=J$31,IF($G$3:$G$28&lt;&gt;"",$G$3:$G$28)))),"")</f>
        <v/>
      </c>
      <c r="K41" s="147" t="str">
        <f t="array" ref="K41">IFERROR(AVERAGE(IF($B$3:$B$28=$B41,IF($D$3:$D$28=K$31,IF($G$3:$G$28&lt;&gt;"",$G$3:$G$28)))),"")</f>
        <v/>
      </c>
      <c r="L41" s="147" t="str">
        <f t="array" ref="L41">IFERROR(AVERAGE(IF($B$3:$B$28=$B41,IF($D$3:$D$28=L$31,IF($G$3:$G$28&lt;&gt;"",$G$3:$G$28)))),"")</f>
        <v/>
      </c>
      <c r="M41" s="147" t="str">
        <f t="array" ref="M41">IFERROR(AVERAGE(IF($B$3:$B$28=$B41,IF($D$3:$D$28=M$31,IF($G$3:$G$28&lt;&gt;"",$G$3:$G$28)))),"")</f>
        <v/>
      </c>
      <c r="N41" s="147" t="str">
        <f t="array" ref="N41">IFERROR(AVERAGE(IF($B$3:$B$28=$B41,IF($D$3:$D$28=N$31,IF($G$3:$G$28&lt;&gt;"",$G$3:$G$28)))),"")</f>
        <v/>
      </c>
      <c r="O41" s="147" t="str">
        <f t="array" ref="O41">IFERROR(AVERAGE(IF($B$3:$B$28=$B41,IF($D$3:$D$28=O$31,IF($G$3:$G$28&lt;&gt;"",$G$3:$G$28)))),"")</f>
        <v/>
      </c>
      <c r="P41" s="147" t="str">
        <f t="array" ref="P41">IFERROR(AVERAGE(IF($B$3:$B$28=$B41,IF($D$3:$D$28=P$31,IF($G$3:$G$28&lt;&gt;"",$G$3:$G$28)))),"")</f>
        <v/>
      </c>
      <c r="Q41" s="147" t="str">
        <f t="array" ref="Q41">IFERROR(AVERAGE(IF($B$3:$B$28=$B41,IF($D$3:$D$28=Q$31,IF($G$3:$G$28&lt;&gt;"",$G$3:$G$28)))),"")</f>
        <v/>
      </c>
      <c r="R41" s="147" t="str">
        <f t="array" ref="R41">IFERROR(AVERAGE(IF($B$3:$B$28=$B41,IF($D$3:$D$28=R$31,IF($G$3:$G$28&lt;&gt;"",$G$3:$G$28)))),"")</f>
        <v/>
      </c>
      <c r="S41" s="147">
        <f t="array" ref="S41">IFERROR(AVERAGE(IF($B$3:$B$28=$B41,IF($D$3:$D$28=S$31,IF($G$3:$G$28&lt;&gt;"",$G$3:$G$28)))),"")</f>
        <v>1232</v>
      </c>
      <c r="T41" s="147" t="str">
        <f t="array" ref="T41">IFERROR(AVERAGE(IF($B$3:$B$28=$B41,IF($D$3:$D$28=T$31,IF($G$3:$G$28&lt;&gt;"",$G$3:$G$28)))),"")</f>
        <v/>
      </c>
      <c r="U41" s="147" t="str">
        <f t="array" ref="U41">IFERROR(AVERAGE(IF($B$3:$B$28=$B41,IF($D$3:$D$28=U$31,IF($G$3:$G$28&lt;&gt;"",$G$3:$G$28)))),"")</f>
        <v/>
      </c>
      <c r="V41" s="147" t="str">
        <f t="array" ref="V41">IFERROR(AVERAGE(IF($B$3:$B$28=$B41,IF($D$3:$D$28=V$31,IF($G$3:$G$28&lt;&gt;"",$G$3:$G$28)))),"")</f>
        <v/>
      </c>
      <c r="W41" s="147" t="str">
        <f t="array" ref="W41">IFERROR(AVERAGE(IF($B$3:$B$28=$B41,IF($D$3:$D$28=W$31,IF($G$3:$G$28&lt;&gt;"",$G$3:$G$28)))),"")</f>
        <v/>
      </c>
      <c r="X41" s="147" t="str">
        <f t="array" ref="X41">IFERROR(AVERAGE(IF($B$3:$B$28=$B41,IF($D$3:$D$28=X$31,IF($G$3:$G$28&lt;&gt;"",$G$3:$G$28)))),"")</f>
        <v/>
      </c>
      <c r="Y41" s="147" t="str">
        <f t="array" ref="Y41">IFERROR(AVERAGE(IF($B$3:$B$28=$B41,IF($D$3:$D$28=Y$31,IF($G$3:$G$28&lt;&gt;"",$G$3:$G$28)))),"")</f>
        <v/>
      </c>
      <c r="Z41" s="147" t="str">
        <f t="array" ref="Z41">IFERROR(AVERAGE(IF($B$3:$B$28=$B41,IF($D$3:$D$28=Z$31,IF($G$3:$G$28&lt;&gt;"",$G$3:$G$28)))),"")</f>
        <v/>
      </c>
      <c r="AA41" s="147" t="str">
        <f t="array" ref="AA41">IFERROR(AVERAGE(IF($B$3:$B$28=$B41,IF($D$3:$D$28=AA$31,IF($G$3:$G$28&lt;&gt;"",$G$3:$G$28)))),"")</f>
        <v/>
      </c>
      <c r="AB41" s="147" t="str">
        <f t="array" ref="AB41">IFERROR(AVERAGE(IF($B$3:$B$28=$B41,IF($D$3:$D$28=AB$31,IF($G$3:$G$28&lt;&gt;"",$G$3:$G$28)))),"")</f>
        <v/>
      </c>
      <c r="AC41" s="147" t="str">
        <f t="array" ref="AC41">IFERROR(AVERAGE(IF($B$3:$B$28=$B41,IF($D$3:$D$28=AC$31,IF($G$3:$G$28&lt;&gt;"",$G$3:$G$28)))),"")</f>
        <v/>
      </c>
      <c r="AD41" s="147" t="str">
        <f t="array" ref="AD41">IFERROR(AVERAGE(IF($B$3:$B$28=$B41,IF($D$3:$D$28=AD$31,IF($G$3:$G$28&lt;&gt;"",$G$3:$G$28)))),"")</f>
        <v/>
      </c>
      <c r="AE41" s="147" t="str">
        <f t="array" ref="AE41">IFERROR(AVERAGE(IF($B$3:$B$28=$B41,IF($D$3:$D$28=AE$31,IF($G$3:$G$28&lt;&gt;"",$G$3:$G$28)))),"")</f>
        <v/>
      </c>
      <c r="AF41" s="147" t="str">
        <f t="array" ref="AF41">IFERROR(AVERAGE(IF($B$3:$B$28=$B41,IF($D$3:$D$28=AF$31,IF($G$3:$G$28&lt;&gt;"",$G$3:$G$28)))),"")</f>
        <v/>
      </c>
    </row>
    <row r="42" spans="1:32" ht="15" customHeight="1" x14ac:dyDescent="0.25">
      <c r="A42" s="52">
        <f t="shared" si="4"/>
        <v>0</v>
      </c>
      <c r="B42" s="62" t="str">
        <f t="array" ref="B42">IFERROR(INDEX($B$3:$B$28, MATCH(0,IF(ISBLANK($B$3:$B$28),1,COUNTIF($B$32:B41, $B$3:$B$28)), 0)),"")</f>
        <v>Sikkim</v>
      </c>
      <c r="C42" s="63"/>
      <c r="D42" s="63"/>
      <c r="E42" s="63"/>
      <c r="F42" s="63"/>
      <c r="G42" s="72"/>
      <c r="H42" s="147" t="str">
        <f t="array" ref="H42">IFERROR(AVERAGE(IF($B$3:$B$28=$B42,IF($D$3:$D$28=H$31,IF($G$3:$G$28&lt;&gt;"",$G$3:$G$28)))),"")</f>
        <v/>
      </c>
      <c r="I42" s="147" t="str">
        <f t="array" ref="I42">IFERROR(AVERAGE(IF($B$3:$B$28=$B42,IF($D$3:$D$28=I$31,IF($G$3:$G$28&lt;&gt;"",$G$3:$G$28)))),"")</f>
        <v/>
      </c>
      <c r="J42" s="147" t="str">
        <f t="array" ref="J42">IFERROR(AVERAGE(IF($B$3:$B$28=$B42,IF($D$3:$D$28=J$31,IF($G$3:$G$28&lt;&gt;"",$G$3:$G$28)))),"")</f>
        <v/>
      </c>
      <c r="K42" s="147" t="str">
        <f t="array" ref="K42">IFERROR(AVERAGE(IF($B$3:$B$28=$B42,IF($D$3:$D$28=K$31,IF($G$3:$G$28&lt;&gt;"",$G$3:$G$28)))),"")</f>
        <v/>
      </c>
      <c r="L42" s="147" t="str">
        <f t="array" ref="L42">IFERROR(AVERAGE(IF($B$3:$B$28=$B42,IF($D$3:$D$28=L$31,IF($G$3:$G$28&lt;&gt;"",$G$3:$G$28)))),"")</f>
        <v/>
      </c>
      <c r="M42" s="147" t="str">
        <f t="array" ref="M42">IFERROR(AVERAGE(IF($B$3:$B$28=$B42,IF($D$3:$D$28=M$31,IF($G$3:$G$28&lt;&gt;"",$G$3:$G$28)))),"")</f>
        <v/>
      </c>
      <c r="N42" s="147" t="str">
        <f t="array" ref="N42">IFERROR(AVERAGE(IF($B$3:$B$28=$B42,IF($D$3:$D$28=N$31,IF($G$3:$G$28&lt;&gt;"",$G$3:$G$28)))),"")</f>
        <v/>
      </c>
      <c r="O42" s="147" t="str">
        <f t="array" ref="O42">IFERROR(AVERAGE(IF($B$3:$B$28=$B42,IF($D$3:$D$28=O$31,IF($G$3:$G$28&lt;&gt;"",$G$3:$G$28)))),"")</f>
        <v/>
      </c>
      <c r="P42" s="147" t="str">
        <f t="array" ref="P42">IFERROR(AVERAGE(IF($B$3:$B$28=$B42,IF($D$3:$D$28=P$31,IF($G$3:$G$28&lt;&gt;"",$G$3:$G$28)))),"")</f>
        <v/>
      </c>
      <c r="Q42" s="147" t="str">
        <f t="array" ref="Q42">IFERROR(AVERAGE(IF($B$3:$B$28=$B42,IF($D$3:$D$28=Q$31,IF($G$3:$G$28&lt;&gt;"",$G$3:$G$28)))),"")</f>
        <v/>
      </c>
      <c r="R42" s="147" t="str">
        <f t="array" ref="R42">IFERROR(AVERAGE(IF($B$3:$B$28=$B42,IF($D$3:$D$28=R$31,IF($G$3:$G$28&lt;&gt;"",$G$3:$G$28)))),"")</f>
        <v/>
      </c>
      <c r="S42" s="147" t="str">
        <f t="array" ref="S42">IFERROR(AVERAGE(IF($B$3:$B$28=$B42,IF($D$3:$D$28=S$31,IF($G$3:$G$28&lt;&gt;"",$G$3:$G$28)))),"")</f>
        <v/>
      </c>
      <c r="T42" s="147">
        <f t="array" ref="T42">IFERROR(AVERAGE(IF($B$3:$B$28=$B42,IF($D$3:$D$28=T$31,IF($G$3:$G$28&lt;&gt;"",$G$3:$G$28)))),"")</f>
        <v>3221</v>
      </c>
      <c r="U42" s="147" t="str">
        <f t="array" ref="U42">IFERROR(AVERAGE(IF($B$3:$B$28=$B42,IF($D$3:$D$28=U$31,IF($G$3:$G$28&lt;&gt;"",$G$3:$G$28)))),"")</f>
        <v/>
      </c>
      <c r="V42" s="147" t="str">
        <f t="array" ref="V42">IFERROR(AVERAGE(IF($B$3:$B$28=$B42,IF($D$3:$D$28=V$31,IF($G$3:$G$28&lt;&gt;"",$G$3:$G$28)))),"")</f>
        <v/>
      </c>
      <c r="W42" s="147" t="str">
        <f t="array" ref="W42">IFERROR(AVERAGE(IF($B$3:$B$28=$B42,IF($D$3:$D$28=W$31,IF($G$3:$G$28&lt;&gt;"",$G$3:$G$28)))),"")</f>
        <v/>
      </c>
      <c r="X42" s="147" t="str">
        <f t="array" ref="X42">IFERROR(AVERAGE(IF($B$3:$B$28=$B42,IF($D$3:$D$28=X$31,IF($G$3:$G$28&lt;&gt;"",$G$3:$G$28)))),"")</f>
        <v/>
      </c>
      <c r="Y42" s="147" t="str">
        <f t="array" ref="Y42">IFERROR(AVERAGE(IF($B$3:$B$28=$B42,IF($D$3:$D$28=Y$31,IF($G$3:$G$28&lt;&gt;"",$G$3:$G$28)))),"")</f>
        <v/>
      </c>
      <c r="Z42" s="147" t="str">
        <f t="array" ref="Z42">IFERROR(AVERAGE(IF($B$3:$B$28=$B42,IF($D$3:$D$28=Z$31,IF($G$3:$G$28&lt;&gt;"",$G$3:$G$28)))),"")</f>
        <v/>
      </c>
      <c r="AA42" s="147" t="str">
        <f t="array" ref="AA42">IFERROR(AVERAGE(IF($B$3:$B$28=$B42,IF($D$3:$D$28=AA$31,IF($G$3:$G$28&lt;&gt;"",$G$3:$G$28)))),"")</f>
        <v/>
      </c>
      <c r="AB42" s="147" t="str">
        <f t="array" ref="AB42">IFERROR(AVERAGE(IF($B$3:$B$28=$B42,IF($D$3:$D$28=AB$31,IF($G$3:$G$28&lt;&gt;"",$G$3:$G$28)))),"")</f>
        <v/>
      </c>
      <c r="AC42" s="147" t="str">
        <f t="array" ref="AC42">IFERROR(AVERAGE(IF($B$3:$B$28=$B42,IF($D$3:$D$28=AC$31,IF($G$3:$G$28&lt;&gt;"",$G$3:$G$28)))),"")</f>
        <v/>
      </c>
      <c r="AD42" s="147" t="str">
        <f t="array" ref="AD42">IFERROR(AVERAGE(IF($B$3:$B$28=$B42,IF($D$3:$D$28=AD$31,IF($G$3:$G$28&lt;&gt;"",$G$3:$G$28)))),"")</f>
        <v/>
      </c>
      <c r="AE42" s="147" t="str">
        <f t="array" ref="AE42">IFERROR(AVERAGE(IF($B$3:$B$28=$B42,IF($D$3:$D$28=AE$31,IF($G$3:$G$28&lt;&gt;"",$G$3:$G$28)))),"")</f>
        <v/>
      </c>
      <c r="AF42" s="147" t="str">
        <f t="array" ref="AF42">IFERROR(AVERAGE(IF($B$3:$B$28=$B42,IF($D$3:$D$28=AF$31,IF($G$3:$G$28&lt;&gt;"",$G$3:$G$28)))),"")</f>
        <v/>
      </c>
    </row>
    <row r="43" spans="1:32" ht="9" customHeight="1" x14ac:dyDescent="0.25"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</row>
    <row r="44" spans="1:32" ht="9" customHeight="1" x14ac:dyDescent="0.25">
      <c r="A44" s="52" t="s">
        <v>551</v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</row>
    <row r="45" spans="1:32" ht="15" hidden="1" customHeight="1" x14ac:dyDescent="0.25">
      <c r="H45" s="149">
        <f>H31</f>
        <v>44012</v>
      </c>
      <c r="I45" s="149">
        <f>I31</f>
        <v>43982</v>
      </c>
      <c r="J45" s="149">
        <f>J31</f>
        <v>43951</v>
      </c>
      <c r="K45" s="149">
        <f>K31</f>
        <v>43921</v>
      </c>
      <c r="L45" s="149">
        <f>L31</f>
        <v>43889</v>
      </c>
      <c r="M45" s="149">
        <f>M31</f>
        <v>43861</v>
      </c>
      <c r="N45" s="149">
        <f>N31</f>
        <v>43830</v>
      </c>
      <c r="O45" s="149">
        <f>O31</f>
        <v>43799</v>
      </c>
      <c r="P45" s="149">
        <f>P31</f>
        <v>43769</v>
      </c>
      <c r="Q45" s="149">
        <f>Q31</f>
        <v>43738</v>
      </c>
      <c r="R45" s="149">
        <f>R31</f>
        <v>43708</v>
      </c>
      <c r="S45" s="149">
        <f>S31</f>
        <v>43677</v>
      </c>
      <c r="T45" s="149">
        <f>T31</f>
        <v>43646</v>
      </c>
      <c r="U45" s="149">
        <f>U31</f>
        <v>43616</v>
      </c>
      <c r="V45" s="149">
        <f>V31</f>
        <v>43585</v>
      </c>
      <c r="W45" s="149">
        <f>W31</f>
        <v>43555</v>
      </c>
      <c r="X45" s="149">
        <f>X31</f>
        <v>43524</v>
      </c>
      <c r="Y45" s="149">
        <f>Y31</f>
        <v>43496</v>
      </c>
      <c r="Z45" s="149">
        <f>Z31</f>
        <v>43465</v>
      </c>
      <c r="AA45" s="149">
        <f>AA31</f>
        <v>43434</v>
      </c>
      <c r="AB45" s="149">
        <f>AB31</f>
        <v>43404</v>
      </c>
      <c r="AC45" s="149">
        <f>AC31</f>
        <v>43373</v>
      </c>
      <c r="AD45" s="149">
        <f>AD31</f>
        <v>43343</v>
      </c>
      <c r="AE45" s="149">
        <f>AE31</f>
        <v>43312</v>
      </c>
      <c r="AF45" s="149">
        <f>AF31</f>
        <v>43281</v>
      </c>
    </row>
    <row r="46" spans="1:32" ht="20.25" customHeight="1" x14ac:dyDescent="0.25">
      <c r="B46" s="69" t="s">
        <v>602</v>
      </c>
      <c r="C46" s="70"/>
      <c r="D46" s="70"/>
      <c r="E46" s="70"/>
      <c r="F46" s="70"/>
      <c r="G46" s="71"/>
      <c r="H46" s="150">
        <f>IFERROR(MAX(H33:H44),0)</f>
        <v>2654</v>
      </c>
      <c r="I46" s="150">
        <f>IFERROR(MAX(I33:I44),0)</f>
        <v>1173</v>
      </c>
      <c r="J46" s="150">
        <f>IFERROR(MAX(J33:J44),0)</f>
        <v>1098</v>
      </c>
      <c r="K46" s="150">
        <f>IFERROR(MAX(K33:K44),0)</f>
        <v>986</v>
      </c>
      <c r="L46" s="150">
        <f>IFERROR(MAX(L33:L44),0)</f>
        <v>1212</v>
      </c>
      <c r="M46" s="150">
        <f>IFERROR(MAX(M33:M44),0)</f>
        <v>1993</v>
      </c>
      <c r="N46" s="150">
        <f>IFERROR(MAX(N33:N44),0)</f>
        <v>2323</v>
      </c>
      <c r="O46" s="150">
        <f>IFERROR(MAX(O33:O44),0)</f>
        <v>2566</v>
      </c>
      <c r="P46" s="150">
        <f>IFERROR(MAX(P33:P44),0)</f>
        <v>2577</v>
      </c>
      <c r="Q46" s="150">
        <f>IFERROR(MAX(Q33:Q44),0)</f>
        <v>2756</v>
      </c>
      <c r="R46" s="150">
        <f>IFERROR(MAX(R33:R44),0)</f>
        <v>2677</v>
      </c>
      <c r="S46" s="150">
        <f>IFERROR(MAX(S33:S44),0)</f>
        <v>1232</v>
      </c>
      <c r="T46" s="150">
        <f>IFERROR(MAX(T33:T44),0)</f>
        <v>3221</v>
      </c>
      <c r="U46" s="150">
        <f>IFERROR(MAX(U33:U44),0)</f>
        <v>1173</v>
      </c>
      <c r="V46" s="150">
        <f>IFERROR(MAX(V33:V44),0)</f>
        <v>1098</v>
      </c>
      <c r="W46" s="150">
        <f>IFERROR(MAX(W33:W44),0)</f>
        <v>986</v>
      </c>
      <c r="X46" s="150">
        <f>IFERROR(MAX(X33:X44),0)</f>
        <v>1212</v>
      </c>
      <c r="Y46" s="150">
        <f>IFERROR(MAX(Y33:Y44),0)</f>
        <v>1993</v>
      </c>
      <c r="Z46" s="150">
        <f>IFERROR(MAX(Z33:Z44),0)</f>
        <v>2323</v>
      </c>
      <c r="AA46" s="150">
        <f>IFERROR(MAX(AA33:AA44),0)</f>
        <v>2566</v>
      </c>
      <c r="AB46" s="150">
        <f>IFERROR(MAX(AB33:AB44),0)</f>
        <v>2577</v>
      </c>
      <c r="AC46" s="150">
        <f>IFERROR(MAX(AC33:AC44),0)</f>
        <v>2756</v>
      </c>
      <c r="AD46" s="150">
        <f>IFERROR(MAX(AD33:AD44),0)</f>
        <v>2677</v>
      </c>
      <c r="AE46" s="150">
        <f>IFERROR(MAX(AE33:AE44),0)</f>
        <v>1232</v>
      </c>
      <c r="AF46" s="150">
        <f>IFERROR(MAX(AF33:AF44),0)</f>
        <v>3221</v>
      </c>
    </row>
    <row r="47" spans="1:32" ht="24.75" customHeight="1" x14ac:dyDescent="0.25"/>
    <row r="48" spans="1:32" ht="28.5" hidden="1" customHeight="1" x14ac:dyDescent="0.25">
      <c r="A48" s="52">
        <v>10</v>
      </c>
      <c r="B48" s="64" t="s">
        <v>590</v>
      </c>
      <c r="C48" s="64" t="s">
        <v>591</v>
      </c>
      <c r="D48" s="64" t="s">
        <v>597</v>
      </c>
      <c r="E48" s="81"/>
      <c r="F48" s="81"/>
    </row>
    <row r="49" spans="1:6" ht="15" hidden="1" customHeight="1" x14ac:dyDescent="0.25">
      <c r="A49" s="51">
        <f>IFERROR(IF(D49="",1,0),1)</f>
        <v>0</v>
      </c>
      <c r="B49" s="66">
        <f>INDEX(DatesVOC,1,E49)</f>
        <v>44012</v>
      </c>
      <c r="C49" s="66">
        <f t="shared" ref="C49" si="5">B49</f>
        <v>44012</v>
      </c>
      <c r="D49" s="67">
        <f t="array" ref="D49">HLOOKUP(B49,ReadingTableVOC,2,FALSE)</f>
        <v>2654</v>
      </c>
      <c r="E49" s="82">
        <f>IF(E48="",8,E48+1)</f>
        <v>8</v>
      </c>
      <c r="F49" s="82"/>
    </row>
    <row r="50" spans="1:6" hidden="1" x14ac:dyDescent="0.25"/>
    <row r="51" spans="1:6" ht="24" hidden="1" x14ac:dyDescent="0.25">
      <c r="B51" s="65" t="s">
        <v>587</v>
      </c>
      <c r="C51" s="65" t="s">
        <v>593</v>
      </c>
    </row>
    <row r="52" spans="1:6" hidden="1" x14ac:dyDescent="0.25">
      <c r="B52" s="68">
        <f t="array" ref="B52">SUM(IF($D$3:$D$28&lt;&gt;"",1/COUNTIF($D$3:$D$28, $D$3:$D$28), 0))</f>
        <v>25</v>
      </c>
      <c r="C52" s="68">
        <f t="array" ref="C52">SUM(IF($B$3:$B$28&lt;&gt;"",1/COUNTIF($B$3:$B$28, $B$3:$B$28), 0))</f>
        <v>10</v>
      </c>
    </row>
    <row r="53" spans="1:6" hidden="1" x14ac:dyDescent="0.25"/>
  </sheetData>
  <sheetProtection algorithmName="SHA-512" hashValue="X3v/x9piwE2RZcMMRdBCFwkSKixj9LsjMKr6eeaES37ao5yffPPDwlj5iRTpsa31mic5Hx70q9OpWPeMDf1vpQ==" saltValue="XQVY8nKfALL3dKrw+dINGA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B7" sqref="B7:E31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604</v>
      </c>
      <c r="B1" s="1"/>
      <c r="C1" s="1"/>
      <c r="D1" s="1"/>
      <c r="E1" s="1"/>
      <c r="F1" s="1"/>
    </row>
    <row r="2" spans="1:6" x14ac:dyDescent="0.25">
      <c r="A2" s="6" t="s">
        <v>604</v>
      </c>
      <c r="B2" s="267" t="s">
        <v>570</v>
      </c>
      <c r="C2" s="275"/>
      <c r="D2" s="268"/>
      <c r="E2" s="43" t="s">
        <v>577</v>
      </c>
      <c r="F2" s="1"/>
    </row>
    <row r="3" spans="1:6" ht="15" customHeight="1" x14ac:dyDescent="0.25">
      <c r="A3" s="6" t="s">
        <v>604</v>
      </c>
      <c r="B3" s="265" t="s">
        <v>702</v>
      </c>
      <c r="C3" s="276"/>
      <c r="D3" s="266"/>
      <c r="E3" s="43" t="s">
        <v>561</v>
      </c>
      <c r="F3" s="1"/>
    </row>
    <row r="4" spans="1:6" ht="14.25" customHeight="1" x14ac:dyDescent="0.25">
      <c r="A4" s="6" t="s">
        <v>604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604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551</v>
      </c>
      <c r="B34" s="34"/>
      <c r="C34" s="34"/>
      <c r="D34" s="34"/>
      <c r="E34" s="40"/>
      <c r="F34" s="1"/>
    </row>
    <row r="36" spans="1:9" x14ac:dyDescent="0.25">
      <c r="I36" s="3" t="s">
        <v>565</v>
      </c>
    </row>
    <row r="37" spans="1:9" x14ac:dyDescent="0.25">
      <c r="I37" s="3" t="s">
        <v>560</v>
      </c>
    </row>
    <row r="38" spans="1:9" x14ac:dyDescent="0.25">
      <c r="I38" s="3" t="s">
        <v>545</v>
      </c>
    </row>
  </sheetData>
  <sheetProtection algorithmName="SHA-512" hashValue="H4WwXgGs6BSEqvrIV6lpDumnqZEA4WmeqO7STsAXGra0ZJeyYQws6SPK2AbHTVU6mGfNu0/rVLUwW+1mOQmw6g==" saltValue="D6vVUPRwGX5IZZAkhm6OU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E177-E107-45E8-97F8-2ABA9129BCAE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604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710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696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531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" customHeight="1" x14ac:dyDescent="0.25">
      <c r="A6" s="6">
        <v>34</v>
      </c>
      <c r="B6" s="236" t="s">
        <v>549</v>
      </c>
      <c r="C6" s="236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0">
        <v>770</v>
      </c>
      <c r="E7" s="1"/>
    </row>
    <row r="8" spans="1:5" x14ac:dyDescent="0.25">
      <c r="A8" s="7"/>
      <c r="B8" s="48">
        <v>43952</v>
      </c>
      <c r="C8" s="48">
        <v>43982</v>
      </c>
      <c r="D8" s="30">
        <v>500</v>
      </c>
      <c r="E8" s="1"/>
    </row>
    <row r="9" spans="1:5" x14ac:dyDescent="0.25">
      <c r="A9" s="7"/>
      <c r="B9" s="48">
        <v>43922</v>
      </c>
      <c r="C9" s="48">
        <v>43951</v>
      </c>
      <c r="D9" s="30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0">
        <v>1050</v>
      </c>
      <c r="E16" s="1"/>
    </row>
    <row r="17" spans="1:10" x14ac:dyDescent="0.25">
      <c r="A17" s="7"/>
      <c r="B17" s="48">
        <v>43678</v>
      </c>
      <c r="C17" s="48">
        <v>43708</v>
      </c>
      <c r="D17" s="30">
        <v>900</v>
      </c>
      <c r="E17" s="1"/>
    </row>
    <row r="18" spans="1:10" x14ac:dyDescent="0.25">
      <c r="A18" s="7"/>
      <c r="B18" s="48">
        <v>43647</v>
      </c>
      <c r="C18" s="48">
        <v>43677</v>
      </c>
      <c r="D18" s="30">
        <v>2323</v>
      </c>
      <c r="E18" s="1"/>
    </row>
    <row r="19" spans="1:10" x14ac:dyDescent="0.25">
      <c r="A19" s="7"/>
      <c r="B19" s="48">
        <v>43617</v>
      </c>
      <c r="C19" s="48">
        <v>43646</v>
      </c>
      <c r="D19" s="30">
        <v>2222</v>
      </c>
      <c r="E19" s="1"/>
    </row>
    <row r="20" spans="1:10" x14ac:dyDescent="0.25">
      <c r="A20" s="7"/>
      <c r="B20" s="48">
        <v>43586</v>
      </c>
      <c r="C20" s="48">
        <v>43616</v>
      </c>
      <c r="D20" s="30">
        <v>500</v>
      </c>
      <c r="E20" s="1"/>
    </row>
    <row r="21" spans="1:10" x14ac:dyDescent="0.25">
      <c r="A21" s="7"/>
      <c r="B21" s="48">
        <v>43556</v>
      </c>
      <c r="C21" s="48">
        <v>43585</v>
      </c>
      <c r="D21" s="30">
        <v>400</v>
      </c>
      <c r="E21" s="1"/>
    </row>
    <row r="22" spans="1:10" x14ac:dyDescent="0.25">
      <c r="A22" s="7"/>
      <c r="B22" s="48">
        <v>43525</v>
      </c>
      <c r="C22" s="48">
        <v>43555</v>
      </c>
      <c r="D22" s="30">
        <v>6782</v>
      </c>
      <c r="E22" s="1"/>
    </row>
    <row r="23" spans="1:10" x14ac:dyDescent="0.25">
      <c r="A23" s="7"/>
      <c r="B23" s="48">
        <v>43497</v>
      </c>
      <c r="C23" s="48">
        <v>43524</v>
      </c>
      <c r="D23" s="30">
        <v>7655</v>
      </c>
      <c r="E23" s="1"/>
    </row>
    <row r="24" spans="1:10" x14ac:dyDescent="0.25">
      <c r="A24" s="7"/>
      <c r="B24" s="48">
        <v>43466</v>
      </c>
      <c r="C24" s="48">
        <v>43496</v>
      </c>
      <c r="D24" s="30">
        <v>987</v>
      </c>
      <c r="E24" s="1"/>
    </row>
    <row r="25" spans="1:10" x14ac:dyDescent="0.25">
      <c r="A25" s="7"/>
      <c r="B25" s="48">
        <v>43435</v>
      </c>
      <c r="C25" s="48">
        <v>43465</v>
      </c>
      <c r="D25" s="30">
        <v>1800</v>
      </c>
      <c r="E25" s="1"/>
    </row>
    <row r="26" spans="1:10" x14ac:dyDescent="0.25">
      <c r="A26" s="7"/>
      <c r="B26" s="48">
        <v>43405</v>
      </c>
      <c r="C26" s="48">
        <v>43434</v>
      </c>
      <c r="D26" s="30">
        <v>1545</v>
      </c>
      <c r="E26" s="1"/>
    </row>
    <row r="27" spans="1:10" x14ac:dyDescent="0.25">
      <c r="A27" s="7"/>
      <c r="B27" s="48">
        <v>43374</v>
      </c>
      <c r="C27" s="48">
        <v>43404</v>
      </c>
      <c r="D27" s="30">
        <v>1777</v>
      </c>
      <c r="E27" s="1"/>
    </row>
    <row r="28" spans="1:10" x14ac:dyDescent="0.25">
      <c r="A28" s="7"/>
      <c r="B28" s="48">
        <v>43344</v>
      </c>
      <c r="C28" s="48">
        <v>43373</v>
      </c>
      <c r="D28" s="30">
        <v>1050</v>
      </c>
      <c r="E28" s="1"/>
    </row>
    <row r="29" spans="1:10" x14ac:dyDescent="0.25">
      <c r="A29" s="7"/>
      <c r="B29" s="48">
        <v>43313</v>
      </c>
      <c r="C29" s="48">
        <v>43343</v>
      </c>
      <c r="D29" s="30">
        <v>900</v>
      </c>
      <c r="E29" s="1"/>
    </row>
    <row r="30" spans="1:10" x14ac:dyDescent="0.25">
      <c r="A30" s="7"/>
      <c r="B30" s="48">
        <v>43282</v>
      </c>
      <c r="C30" s="48">
        <v>43312</v>
      </c>
      <c r="D30" s="30">
        <v>2323</v>
      </c>
      <c r="E30" s="1"/>
    </row>
    <row r="31" spans="1:10" x14ac:dyDescent="0.25">
      <c r="A31" s="7"/>
      <c r="B31" s="48">
        <v>43252</v>
      </c>
      <c r="C31" s="48">
        <v>43281</v>
      </c>
      <c r="D31" s="30">
        <v>2222</v>
      </c>
      <c r="E31" s="1"/>
    </row>
    <row r="32" spans="1:10" ht="12.75" customHeight="1" x14ac:dyDescent="0.25">
      <c r="A32" s="28"/>
      <c r="B32" s="33"/>
      <c r="C32" s="33"/>
      <c r="D32" s="36"/>
      <c r="E32" s="1"/>
      <c r="J32" s="3" t="s">
        <v>554</v>
      </c>
    </row>
    <row r="33" spans="1:10" ht="13.5" hidden="1" customHeight="1" x14ac:dyDescent="0.25">
      <c r="A33" s="6"/>
      <c r="B33" s="34"/>
      <c r="C33" s="34"/>
      <c r="D33" s="34"/>
      <c r="E33" s="1"/>
      <c r="J33" s="5" t="s">
        <v>696</v>
      </c>
    </row>
    <row r="34" spans="1:10" ht="25.5" customHeight="1" x14ac:dyDescent="0.25">
      <c r="A34" s="6" t="s">
        <v>551</v>
      </c>
      <c r="B34" s="34"/>
      <c r="C34" s="34"/>
      <c r="D34" s="34"/>
      <c r="E34" s="1"/>
      <c r="J34" s="3" t="s">
        <v>704</v>
      </c>
    </row>
    <row r="39" spans="1:10" x14ac:dyDescent="0.25">
      <c r="G39" s="3" t="s">
        <v>535</v>
      </c>
    </row>
    <row r="40" spans="1:10" x14ac:dyDescent="0.25">
      <c r="G40" s="3" t="s">
        <v>542</v>
      </c>
    </row>
    <row r="41" spans="1:10" x14ac:dyDescent="0.25">
      <c r="G41" s="3" t="s">
        <v>557</v>
      </c>
    </row>
    <row r="42" spans="1:10" x14ac:dyDescent="0.25">
      <c r="G42" s="3" t="s">
        <v>531</v>
      </c>
    </row>
    <row r="43" spans="1:10" x14ac:dyDescent="0.25">
      <c r="G43" s="3" t="s">
        <v>555</v>
      </c>
    </row>
    <row r="45" spans="1:10" x14ac:dyDescent="0.25">
      <c r="G45" s="3" t="s">
        <v>554</v>
      </c>
    </row>
  </sheetData>
  <sheetProtection algorithmName="SHA-512" hashValue="gaCNNtsif0kGp3377pYZy9erpTG+xutUV9JeTS1YhaG7IEa8EM9qkhXTTVeP3NxY9lqRW+dv3h4//nLYv8RwCA==" saltValue="07m7klSE4aCanJ55BdHO+A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3D4C96FC-B479-41C0-AF31-555A0013A0BD}">
      <formula1>0</formula1>
      <formula2>40</formula2>
    </dataValidation>
    <dataValidation allowBlank="1" showInputMessage="1" showErrorMessage="1" error="Please enter a valid date in mm/dd/yyyy format." sqref="B32:D34" xr:uid="{4734B3F9-9471-4EF1-892F-CF19FBA98B3C}"/>
    <dataValidation type="list" allowBlank="1" showInputMessage="1" showErrorMessage="1" sqref="D3" xr:uid="{B59A8258-348E-460B-9CCC-CBA3A049D266}">
      <formula1>ElectricityDrp</formula1>
    </dataValidation>
    <dataValidation type="list" allowBlank="1" showInputMessage="1" showErrorMessage="1" error="Units cannot edit." sqref="D4" xr:uid="{F7354235-38B9-4061-807C-57F37D2DB92A}">
      <formula1>elecName</formula1>
    </dataValidation>
    <dataValidation type="decimal" allowBlank="1" showInputMessage="1" showErrorMessage="1" error="Please enter a valid reading." sqref="D7:D31" xr:uid="{70210564-84F5-4D68-9943-2807C420A012}">
      <formula1>0</formula1>
      <formula2>99999999</formula2>
    </dataValidation>
    <dataValidation type="date" allowBlank="1" showInputMessage="1" showErrorMessage="1" error="Please enter a valid date in mm/dd/yyyy format." sqref="B7:C31" xr:uid="{0B6D9CE8-367F-4F9B-BE54-697604A8432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D0DB3-5C92-4B3B-AE4C-850A818BAA2C}">
  <sheetPr codeName="Sheet13"/>
  <dimension ref="A1:I63"/>
  <sheetViews>
    <sheetView tabSelected="1"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604</v>
      </c>
      <c r="B1" s="6" t="str">
        <f ca="1">MID(CELL("filename",A1),FIND("]",CELL("filename",A1))+1,256)</f>
        <v>Water meter via upload</v>
      </c>
      <c r="C1" s="1"/>
      <c r="D1" s="242" t="str">
        <f ca="1">B1</f>
        <v>Water meter via upload</v>
      </c>
      <c r="E1" s="1"/>
    </row>
    <row r="2" spans="1:5" x14ac:dyDescent="0.25">
      <c r="A2" s="6" t="s">
        <v>604</v>
      </c>
      <c r="B2" s="247" t="s">
        <v>570</v>
      </c>
      <c r="C2" s="240"/>
      <c r="D2" s="233" t="s">
        <v>721</v>
      </c>
      <c r="E2" s="1"/>
    </row>
    <row r="3" spans="1:5" x14ac:dyDescent="0.25">
      <c r="A3" s="6" t="s">
        <v>604</v>
      </c>
      <c r="B3" s="246" t="s">
        <v>702</v>
      </c>
      <c r="C3" s="241"/>
      <c r="D3" s="233" t="s">
        <v>697</v>
      </c>
      <c r="E3" s="1"/>
    </row>
    <row r="4" spans="1:5" x14ac:dyDescent="0.25">
      <c r="A4" s="6" t="s">
        <v>604</v>
      </c>
      <c r="B4" s="246" t="s">
        <v>571</v>
      </c>
      <c r="C4" s="241"/>
      <c r="D4" s="233" t="s">
        <v>530</v>
      </c>
      <c r="E4" s="1"/>
    </row>
    <row r="5" spans="1:5" ht="15" customHeight="1" x14ac:dyDescent="0.25">
      <c r="A5" s="6" t="s">
        <v>604</v>
      </c>
      <c r="B5" s="49" t="s">
        <v>703</v>
      </c>
      <c r="C5" s="239"/>
      <c r="D5" s="233"/>
      <c r="E5" s="1"/>
    </row>
    <row r="6" spans="1:5" ht="24.75" customHeight="1" x14ac:dyDescent="0.25">
      <c r="A6" s="6">
        <v>34</v>
      </c>
      <c r="B6" s="236" t="s">
        <v>549</v>
      </c>
      <c r="C6" s="236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>
        <v>0</v>
      </c>
      <c r="B8" s="48">
        <v>43952</v>
      </c>
      <c r="C8" s="48">
        <v>43982</v>
      </c>
      <c r="D8" s="30">
        <v>447</v>
      </c>
      <c r="E8" s="1"/>
    </row>
    <row r="9" spans="1:5" x14ac:dyDescent="0.25">
      <c r="A9" s="6">
        <v>0</v>
      </c>
      <c r="B9" s="48">
        <v>43922</v>
      </c>
      <c r="C9" s="48">
        <v>43951</v>
      </c>
      <c r="D9" s="30">
        <v>430</v>
      </c>
      <c r="E9" s="1"/>
    </row>
    <row r="10" spans="1:5" x14ac:dyDescent="0.25">
      <c r="A10" s="6">
        <v>0</v>
      </c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>
        <v>0</v>
      </c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>
        <v>0</v>
      </c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>
        <v>0</v>
      </c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>
        <v>0</v>
      </c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>
        <v>0</v>
      </c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>
        <v>0</v>
      </c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>
        <v>0</v>
      </c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697</v>
      </c>
    </row>
    <row r="34" spans="1:9" ht="25.5" customHeight="1" x14ac:dyDescent="0.25">
      <c r="A34" s="6" t="s">
        <v>551</v>
      </c>
      <c r="B34" s="34"/>
      <c r="C34" s="34"/>
      <c r="D34" s="34"/>
      <c r="E34" s="1"/>
      <c r="I34" s="5" t="s">
        <v>698</v>
      </c>
    </row>
    <row r="35" spans="1:9" x14ac:dyDescent="0.25">
      <c r="I35" s="5" t="s">
        <v>699</v>
      </c>
    </row>
    <row r="39" spans="1:9" x14ac:dyDescent="0.25">
      <c r="H39" s="5" t="s">
        <v>530</v>
      </c>
    </row>
    <row r="40" spans="1:9" x14ac:dyDescent="0.25">
      <c r="H40" s="5" t="s">
        <v>533</v>
      </c>
    </row>
    <row r="41" spans="1:9" x14ac:dyDescent="0.25">
      <c r="H41" s="5" t="s">
        <v>552</v>
      </c>
    </row>
    <row r="42" spans="1:9" x14ac:dyDescent="0.25">
      <c r="H42" s="5" t="s">
        <v>553</v>
      </c>
    </row>
    <row r="43" spans="1:9" x14ac:dyDescent="0.25">
      <c r="H43" s="5" t="s">
        <v>527</v>
      </c>
    </row>
    <row r="44" spans="1:9" x14ac:dyDescent="0.25">
      <c r="H44" s="5" t="s">
        <v>532</v>
      </c>
    </row>
    <row r="45" spans="1:9" x14ac:dyDescent="0.25">
      <c r="H45" s="5" t="s">
        <v>547</v>
      </c>
    </row>
    <row r="46" spans="1:9" x14ac:dyDescent="0.25">
      <c r="H46" s="5" t="s">
        <v>566</v>
      </c>
    </row>
    <row r="47" spans="1:9" x14ac:dyDescent="0.25">
      <c r="H47" s="5" t="s">
        <v>529</v>
      </c>
    </row>
    <row r="48" spans="1:9" x14ac:dyDescent="0.25">
      <c r="H48" s="3" t="s">
        <v>548</v>
      </c>
    </row>
    <row r="49" spans="8:8" x14ac:dyDescent="0.25">
      <c r="H49" s="3" t="s">
        <v>567</v>
      </c>
    </row>
    <row r="50" spans="8:8" x14ac:dyDescent="0.25">
      <c r="H50" s="3" t="s">
        <v>568</v>
      </c>
    </row>
    <row r="51" spans="8:8" x14ac:dyDescent="0.25">
      <c r="H51" s="5" t="s">
        <v>700</v>
      </c>
    </row>
    <row r="52" spans="8:8" x14ac:dyDescent="0.25">
      <c r="H52" s="5" t="s">
        <v>701</v>
      </c>
    </row>
    <row r="53" spans="8:8" x14ac:dyDescent="0.25">
      <c r="H53" s="5" t="s">
        <v>695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b3BWhBfHt3t/Zsor65OxUVneGnPjoNUkAIGNWSVQMnfJNFIQn1xNveDm9YxpbmMGGWOQGU5qad8+objf6sclpg==" saltValue="CSJAC7byjHv09XzEiJgYhw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CBABD29E-88E1-411E-B89F-9080F2E25649}">
      <formula1>0</formula1>
      <formula2>40</formula2>
    </dataValidation>
    <dataValidation allowBlank="1" showInputMessage="1" showErrorMessage="1" error="Please enter a valid date in mm/dd/yyyy format." sqref="B32:D34" xr:uid="{E412DFC9-6074-4C7A-B2D8-6E6F8BD781D5}"/>
    <dataValidation type="list" allowBlank="1" showInputMessage="1" showErrorMessage="1" sqref="D3" xr:uid="{F8835C8A-DDEA-4971-93BA-E3C5123EC53F}">
      <formula1>WaterDrp</formula1>
    </dataValidation>
    <dataValidation type="list" allowBlank="1" showInputMessage="1" showErrorMessage="1" error="Units cannot edit." sqref="D4" xr:uid="{ECF8642B-4A46-4001-88A2-FF70A0ACCAED}">
      <formula1>watUni</formula1>
    </dataValidation>
    <dataValidation type="date" allowBlank="1" showInputMessage="1" showErrorMessage="1" error="Please enter a valid date in mm/dd/yyyy format." sqref="B7:C31" xr:uid="{41DB54A5-F27B-4C28-834C-615D11CCF1F4}">
      <formula1>1</formula1>
      <formula2>54789</formula2>
    </dataValidation>
    <dataValidation type="decimal" allowBlank="1" showInputMessage="1" showErrorMessage="1" error="Please enter a valid reading." sqref="D7:D31" xr:uid="{F7F94682-9E80-4514-B3F4-0EBF036AED28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Button 3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73</vt:i4>
      </vt:variant>
    </vt:vector>
  </HeadingPairs>
  <TitlesOfParts>
    <vt:vector size="86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Dates</vt:lpstr>
      <vt:lpstr>DatesVOC</vt:lpstr>
      <vt:lpstr>DelRwNmEnd</vt:lpstr>
      <vt:lpstr>DelRwNmEndVOC</vt:lpstr>
      <vt:lpstr>DelRwNmStart</vt:lpstr>
      <vt:lpstr>DelRwNmStartVOC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RangeCount</vt:lpstr>
      <vt:lpstr>RangeCountVOC</vt:lpstr>
      <vt:lpstr>ReadingTable</vt:lpstr>
      <vt:lpstr>ReadingTableVOC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2019-06-10T13:23:42Z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