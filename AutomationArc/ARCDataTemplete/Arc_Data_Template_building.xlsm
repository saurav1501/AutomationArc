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5EE2B6D7-F2A0-4A47-9478-B9B3E23C81DA}" xr6:coauthVersionLast="36" xr6:coauthVersionMax="40" xr10:uidLastSave="{00000000-0000-0000-0000-000000000000}"/>
  <workbookProtection workbookAlgorithmName="SHA-512" workbookHashValue="K6VAfKkyuFg3SmrsqqqwXGHNczVHkx+v3+nnkZxL4a+n9DE0VhrSEuNhWEXSMLaB1ugndhYzpP2Fx68+ARuLRg==" workbookSaltValue="zDUSjMLLktR72ZdhjlsC8Q==" workbookSpinCount="100000" lockStructure="1"/>
  <bookViews>
    <workbookView xWindow="0" yWindow="0" windowWidth="20490" windowHeight="9090" firstSheet="7" activeTab="1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base_summary" sheetId="3" state="hidden" r:id="rId12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>'CO2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upload'!$G$38:$G$42</definedName>
    <definedName name="elecName">base_e!$G$15:$G$19</definedName>
    <definedName name="ElectricityDrp" localSheetId="10">'Energy Meter via upload'!$J$32:$J$33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Stream'!$I$35:$I$37</definedName>
    <definedName name="Other_Fuels_Drp">base_f!$V$10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Readings'!$45:$46</definedName>
    <definedName name="Sheets">TRANSPOSE(GET.WORKBOOK(1))&amp;T(NOW())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>base_w!$H$27:$I$39</definedName>
    <definedName name="water_type">base_w!$H$27:$I$39</definedName>
    <definedName name="water_units">base_w!$H$15:$H$23</definedName>
    <definedName name="WaterDrp">base_w!$I$9:$I$11</definedName>
    <definedName name="waterType">base_w!$H$27:$H$39</definedName>
    <definedName name="waterUnits">base_w!$J$10:$J$14</definedName>
    <definedName name="watUn">base_w!$H$15:$H$23</definedName>
    <definedName name="watUni">base_w!$H$15:$H$29</definedName>
    <definedName name="waUn">'Waste Stream'!$I$35:$I$41</definedName>
    <definedName name="waunit">'Waste Stream'!$J$32:$J$34</definedName>
    <definedName name="Wood">base_f!$H$16:$H$27</definedName>
    <definedName name="woods">base_f!$H$16:$H$22</definedName>
    <definedName name="woodunit">base_f!$H$16:$H$22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B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E8" i="12" s="1"/>
  <c r="B8" i="12" s="1"/>
  <c r="B7" i="12"/>
  <c r="D7" i="12" s="1"/>
  <c r="A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E8" i="13" l="1"/>
  <c r="B8" i="13" s="1"/>
  <c r="C8" i="13" s="1"/>
  <c r="D7" i="13" a="1"/>
  <c r="D7" i="13" s="1"/>
  <c r="A7" i="13" s="1"/>
  <c r="C7" i="13"/>
  <c r="AF37" i="15" a="1"/>
  <c r="AF37" i="15" s="1"/>
  <c r="AF45" i="15"/>
  <c r="AF41" i="15" a="1"/>
  <c r="AF41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F29" i="15"/>
  <c r="AF39" i="15" a="1"/>
  <c r="AF39" i="15" s="1"/>
  <c r="AF35" i="15" a="1"/>
  <c r="AF35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7" i="15" a="1"/>
  <c r="AD37" i="15" s="1"/>
  <c r="AD45" i="15"/>
  <c r="AD41" i="15" a="1"/>
  <c r="AD41" i="15" s="1"/>
  <c r="AD33" i="15" a="1"/>
  <c r="AD33" i="15" s="1"/>
  <c r="AD38" i="15" a="1"/>
  <c r="AD38" i="15" s="1"/>
  <c r="AD34" i="15" a="1"/>
  <c r="AD34" i="15" s="1"/>
  <c r="AD39" i="15" a="1"/>
  <c r="AD39" i="15" s="1"/>
  <c r="AD35" i="15" a="1"/>
  <c r="AD35" i="15" s="1"/>
  <c r="AD42" i="15" a="1"/>
  <c r="AD42" i="15" s="1"/>
  <c r="AD40" i="15" a="1"/>
  <c r="AD40" i="15" s="1"/>
  <c r="AD36" i="15" a="1"/>
  <c r="AD36" i="15" s="1"/>
  <c r="AC37" i="15" a="1"/>
  <c r="AC37" i="15" s="1"/>
  <c r="AC45" i="15"/>
  <c r="AC41" i="15" a="1"/>
  <c r="AC41" i="15" s="1"/>
  <c r="AC33" i="15" a="1"/>
  <c r="AC33" i="15" s="1"/>
  <c r="AC38" i="15" a="1"/>
  <c r="AC38" i="15" s="1"/>
  <c r="AC34" i="15" a="1"/>
  <c r="AC34" i="15" s="1"/>
  <c r="AC29" i="15"/>
  <c r="AC39" i="15" a="1"/>
  <c r="AC39" i="15" s="1"/>
  <c r="AC35" i="15" a="1"/>
  <c r="AC35" i="15" s="1"/>
  <c r="AC42" i="15" a="1"/>
  <c r="AC42" i="15" s="1"/>
  <c r="AC40" i="15" a="1"/>
  <c r="AC40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37" i="15" a="1"/>
  <c r="Z37" i="15" s="1"/>
  <c r="Z39" i="15" a="1"/>
  <c r="Z39" i="15" s="1"/>
  <c r="Z38" i="15" a="1"/>
  <c r="Z38" i="15" s="1"/>
  <c r="Z34" i="15" a="1"/>
  <c r="Z34" i="15" s="1"/>
  <c r="Z29" i="15"/>
  <c r="Z45" i="15"/>
  <c r="Z41" i="15" a="1"/>
  <c r="Z41" i="15" s="1"/>
  <c r="Z35" i="15" a="1"/>
  <c r="Z35" i="15" s="1"/>
  <c r="Z33" i="15" a="1"/>
  <c r="Z33" i="15" s="1"/>
  <c r="Z42" i="15" a="1"/>
  <c r="Z42" i="15" s="1"/>
  <c r="Z40" i="15" a="1"/>
  <c r="Z40" i="15" s="1"/>
  <c r="Z36" i="15" a="1"/>
  <c r="Z36" i="15" s="1"/>
  <c r="Y33" i="15" a="1"/>
  <c r="Y33" i="15" s="1"/>
  <c r="Y35" i="15" a="1"/>
  <c r="Y35" i="15" s="1"/>
  <c r="Y40" i="15" a="1"/>
  <c r="Y40" i="15" s="1"/>
  <c r="Y34" i="15" a="1"/>
  <c r="Y34" i="15" s="1"/>
  <c r="Y29" i="15"/>
  <c r="Y45" i="15"/>
  <c r="Y41" i="15" a="1"/>
  <c r="Y41" i="15" s="1"/>
  <c r="Y39" i="15" a="1"/>
  <c r="Y39" i="15" s="1"/>
  <c r="Y37" i="15" a="1"/>
  <c r="Y37" i="15" s="1"/>
  <c r="Y42" i="15" a="1"/>
  <c r="Y42" i="15" s="1"/>
  <c r="Y38" i="15" a="1"/>
  <c r="Y38" i="15" s="1"/>
  <c r="Y36" i="15" a="1"/>
  <c r="Y36" i="15" s="1"/>
  <c r="X37" i="15" a="1"/>
  <c r="X37" i="15" s="1"/>
  <c r="X33" i="15" a="1"/>
  <c r="X33" i="15" s="1"/>
  <c r="X45" i="15"/>
  <c r="X41" i="15" a="1"/>
  <c r="X41" i="15" s="1"/>
  <c r="X38" i="15" a="1"/>
  <c r="X38" i="15" s="1"/>
  <c r="X42" i="15" a="1"/>
  <c r="X42" i="15" s="1"/>
  <c r="X40" i="15" a="1"/>
  <c r="X40" i="15" s="1"/>
  <c r="X36" i="15" a="1"/>
  <c r="X36" i="15" s="1"/>
  <c r="X34" i="15" a="1"/>
  <c r="X34" i="15" s="1"/>
  <c r="X29" i="15"/>
  <c r="X39" i="15" a="1"/>
  <c r="X39" i="15" s="1"/>
  <c r="X35" i="15" a="1"/>
  <c r="X35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3" i="15" a="1"/>
  <c r="V33" i="15" s="1"/>
  <c r="V45" i="15"/>
  <c r="V41" i="15" a="1"/>
  <c r="V41" i="15" s="1"/>
  <c r="V37" i="15" a="1"/>
  <c r="V37" i="15" s="1"/>
  <c r="V35" i="15" a="1"/>
  <c r="V35" i="15" s="1"/>
  <c r="V38" i="15" a="1"/>
  <c r="V38" i="15" s="1"/>
  <c r="V34" i="15" a="1"/>
  <c r="V34" i="15" s="1"/>
  <c r="V42" i="15" a="1"/>
  <c r="V42" i="15" s="1"/>
  <c r="V40" i="15" a="1"/>
  <c r="V40" i="15" s="1"/>
  <c r="V36" i="15" a="1"/>
  <c r="V36" i="15" s="1"/>
  <c r="U29" i="15"/>
  <c r="U39" i="15" a="1"/>
  <c r="U39" i="15" s="1"/>
  <c r="U35" i="15" a="1"/>
  <c r="U35" i="15" s="1"/>
  <c r="U45" i="15"/>
  <c r="U41" i="15" a="1"/>
  <c r="U41" i="15" s="1"/>
  <c r="U37" i="15" a="1"/>
  <c r="U37" i="15" s="1"/>
  <c r="U33" i="15" a="1"/>
  <c r="U33" i="15" s="1"/>
  <c r="U40" i="15" a="1"/>
  <c r="U40" i="15" s="1"/>
  <c r="U34" i="15" a="1"/>
  <c r="U34" i="15" s="1"/>
  <c r="U42" i="15" a="1"/>
  <c r="U42" i="15" s="1"/>
  <c r="U38" i="15" a="1"/>
  <c r="U38" i="15" s="1"/>
  <c r="U36" i="15" a="1"/>
  <c r="U36" i="15" s="1"/>
  <c r="T29" i="15"/>
  <c r="T37" i="15" a="1"/>
  <c r="T37" i="15" s="1"/>
  <c r="T33" i="15" a="1"/>
  <c r="T33" i="15" s="1"/>
  <c r="T45" i="15"/>
  <c r="T41" i="15" a="1"/>
  <c r="T41" i="15" s="1"/>
  <c r="T39" i="15" a="1"/>
  <c r="T39" i="15" s="1"/>
  <c r="T35" i="15" a="1"/>
  <c r="T35" i="15" s="1"/>
  <c r="T38" i="15" a="1"/>
  <c r="T38" i="15" s="1"/>
  <c r="T34" i="15" a="1"/>
  <c r="T34" i="15" s="1"/>
  <c r="T42" i="15" a="1"/>
  <c r="T42" i="15" s="1"/>
  <c r="T40" i="15" a="1"/>
  <c r="T40" i="15" s="1"/>
  <c r="T36" i="15" a="1"/>
  <c r="T36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37" i="15" a="1"/>
  <c r="R37" i="15" s="1"/>
  <c r="R45" i="15"/>
  <c r="R41" i="15" a="1"/>
  <c r="R41" i="15" s="1"/>
  <c r="R35" i="15" a="1"/>
  <c r="R35" i="15" s="1"/>
  <c r="R38" i="15" a="1"/>
  <c r="R38" i="15" s="1"/>
  <c r="R34" i="15" a="1"/>
  <c r="R34" i="15" s="1"/>
  <c r="R29" i="15"/>
  <c r="R39" i="15" a="1"/>
  <c r="R39" i="15" s="1"/>
  <c r="R33" i="15" a="1"/>
  <c r="R33" i="15" s="1"/>
  <c r="R46" i="15" s="1"/>
  <c r="R42" i="15" a="1"/>
  <c r="R42" i="15" s="1"/>
  <c r="R40" i="15" a="1"/>
  <c r="R40" i="15" s="1"/>
  <c r="R36" i="15" a="1"/>
  <c r="R36" i="15" s="1"/>
  <c r="Q45" i="15"/>
  <c r="Q41" i="15" a="1"/>
  <c r="Q41" i="15" s="1"/>
  <c r="Q39" i="15" a="1"/>
  <c r="Q39" i="15" s="1"/>
  <c r="Q37" i="15" a="1"/>
  <c r="Q37" i="15" s="1"/>
  <c r="Q35" i="15" a="1"/>
  <c r="Q35" i="15" s="1"/>
  <c r="Q33" i="15" a="1"/>
  <c r="Q33" i="15" s="1"/>
  <c r="Q29" i="15"/>
  <c r="Q38" i="15" a="1"/>
  <c r="Q38" i="15" s="1"/>
  <c r="Q42" i="15" a="1"/>
  <c r="Q42" i="15" s="1"/>
  <c r="Q40" i="15" a="1"/>
  <c r="Q40" i="15" s="1"/>
  <c r="Q36" i="15" a="1"/>
  <c r="Q36" i="15" s="1"/>
  <c r="Q34" i="15" a="1"/>
  <c r="Q34" i="15" s="1"/>
  <c r="P37" i="15" a="1"/>
  <c r="P37" i="15" s="1"/>
  <c r="P45" i="15"/>
  <c r="P41" i="15" a="1"/>
  <c r="P41" i="15" s="1"/>
  <c r="P35" i="15" a="1"/>
  <c r="P35" i="15" s="1"/>
  <c r="P38" i="15" a="1"/>
  <c r="P38" i="15" s="1"/>
  <c r="P34" i="15" a="1"/>
  <c r="P34" i="15" s="1"/>
  <c r="P29" i="15"/>
  <c r="P39" i="15" a="1"/>
  <c r="P39" i="15" s="1"/>
  <c r="P33" i="15" a="1"/>
  <c r="P33" i="15" s="1"/>
  <c r="P46" i="15" s="1"/>
  <c r="P42" i="15" a="1"/>
  <c r="P42" i="15" s="1"/>
  <c r="P40" i="15" a="1"/>
  <c r="P40" i="15" s="1"/>
  <c r="P36" i="15" a="1"/>
  <c r="P36" i="15" s="1"/>
  <c r="O35" i="15" a="1"/>
  <c r="O35" i="15" s="1"/>
  <c r="O45" i="15"/>
  <c r="O41" i="15" a="1"/>
  <c r="O41" i="15" s="1"/>
  <c r="O36" i="15" a="1"/>
  <c r="O36" i="15" s="1"/>
  <c r="O29" i="15"/>
  <c r="O39" i="15" a="1"/>
  <c r="O39" i="15" s="1"/>
  <c r="O37" i="15" a="1"/>
  <c r="O37" i="15" s="1"/>
  <c r="O33" i="15" a="1"/>
  <c r="O33" i="15" s="1"/>
  <c r="O42" i="15" a="1"/>
  <c r="O42" i="15" s="1"/>
  <c r="O40" i="15" a="1"/>
  <c r="O40" i="15" s="1"/>
  <c r="O38" i="15" a="1"/>
  <c r="O38" i="15" s="1"/>
  <c r="O34" i="15" a="1"/>
  <c r="O34" i="15" s="1"/>
  <c r="N37" i="15" a="1"/>
  <c r="N37" i="15" s="1"/>
  <c r="N45" i="15"/>
  <c r="N41" i="15" a="1"/>
  <c r="N41" i="15" s="1"/>
  <c r="N33" i="15" a="1"/>
  <c r="N33" i="15" s="1"/>
  <c r="N38" i="15" a="1"/>
  <c r="N38" i="15" s="1"/>
  <c r="N34" i="15" a="1"/>
  <c r="N34" i="15" s="1"/>
  <c r="N29" i="15"/>
  <c r="N39" i="15" a="1"/>
  <c r="N39" i="15" s="1"/>
  <c r="N35" i="15" a="1"/>
  <c r="N35" i="15" s="1"/>
  <c r="N42" i="15" a="1"/>
  <c r="N42" i="15" s="1"/>
  <c r="N40" i="15" a="1"/>
  <c r="N40" i="15" s="1"/>
  <c r="N36" i="15" a="1"/>
  <c r="N36" i="15" s="1"/>
  <c r="M37" i="15" a="1"/>
  <c r="M37" i="15" s="1"/>
  <c r="M45" i="15"/>
  <c r="M41" i="15" a="1"/>
  <c r="M41" i="15" s="1"/>
  <c r="M33" i="15" a="1"/>
  <c r="M33" i="15" s="1"/>
  <c r="M38" i="15" a="1"/>
  <c r="M38" i="15" s="1"/>
  <c r="M34" i="15" a="1"/>
  <c r="M34" i="15" s="1"/>
  <c r="M29" i="15"/>
  <c r="M39" i="15" a="1"/>
  <c r="M39" i="15" s="1"/>
  <c r="M35" i="15" a="1"/>
  <c r="M35" i="15" s="1"/>
  <c r="M42" i="15" a="1"/>
  <c r="M42" i="15" s="1"/>
  <c r="M40" i="15" a="1"/>
  <c r="M40" i="15" s="1"/>
  <c r="M36" i="15" a="1"/>
  <c r="M36" i="15" s="1"/>
  <c r="L29" i="15"/>
  <c r="L39" i="15" a="1"/>
  <c r="L39" i="15" s="1"/>
  <c r="L33" i="15" a="1"/>
  <c r="L33" i="15" s="1"/>
  <c r="L45" i="15"/>
  <c r="L41" i="15" a="1"/>
  <c r="L41" i="15" s="1"/>
  <c r="L37" i="15" a="1"/>
  <c r="L37" i="15" s="1"/>
  <c r="L35" i="15" a="1"/>
  <c r="L35" i="15" s="1"/>
  <c r="L40" i="15" a="1"/>
  <c r="L40" i="15" s="1"/>
  <c r="L34" i="15" a="1"/>
  <c r="L34" i="15" s="1"/>
  <c r="L42" i="15" a="1"/>
  <c r="L42" i="15" s="1"/>
  <c r="L38" i="15" a="1"/>
  <c r="L38" i="15" s="1"/>
  <c r="L36" i="15" a="1"/>
  <c r="L36" i="15" s="1"/>
  <c r="K35" i="15" a="1"/>
  <c r="K35" i="15" s="1"/>
  <c r="K45" i="15"/>
  <c r="K39" i="15" a="1"/>
  <c r="K39" i="15" s="1"/>
  <c r="K40" i="15" a="1"/>
  <c r="K40" i="15" s="1"/>
  <c r="K34" i="15" a="1"/>
  <c r="K34" i="15" s="1"/>
  <c r="K29" i="15"/>
  <c r="K41" i="15" a="1"/>
  <c r="K41" i="15" s="1"/>
  <c r="K37" i="15" a="1"/>
  <c r="K37" i="15" s="1"/>
  <c r="K33" i="15" a="1"/>
  <c r="K33" i="15" s="1"/>
  <c r="K46" i="15" s="1"/>
  <c r="K42" i="15" a="1"/>
  <c r="K42" i="15" s="1"/>
  <c r="K38" i="15" a="1"/>
  <c r="K38" i="15" s="1"/>
  <c r="K36" i="15" a="1"/>
  <c r="K36" i="15" s="1"/>
  <c r="J29" i="15"/>
  <c r="J39" i="15" a="1"/>
  <c r="J39" i="15" s="1"/>
  <c r="J33" i="15" a="1"/>
  <c r="J33" i="15" s="1"/>
  <c r="J40" i="15" a="1"/>
  <c r="J40" i="15" s="1"/>
  <c r="J36" i="15" a="1"/>
  <c r="J36" i="15" s="1"/>
  <c r="J45" i="15"/>
  <c r="J41" i="15" a="1"/>
  <c r="J41" i="15" s="1"/>
  <c r="J37" i="15" a="1"/>
  <c r="J37" i="15" s="1"/>
  <c r="J35" i="15" a="1"/>
  <c r="J35" i="15" s="1"/>
  <c r="J42" i="15" a="1"/>
  <c r="J42" i="15" s="1"/>
  <c r="J38" i="15" a="1"/>
  <c r="J38" i="15" s="1"/>
  <c r="J34" i="15" a="1"/>
  <c r="J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C8" i="12"/>
  <c r="D8" i="12"/>
  <c r="A8" i="12" s="1"/>
  <c r="E9" i="12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34" i="14" a="1"/>
  <c r="AA34" i="14" s="1"/>
  <c r="AA42" i="14" a="1"/>
  <c r="AA42" i="14" s="1"/>
  <c r="AA38" i="14" a="1"/>
  <c r="AA38" i="14" s="1"/>
  <c r="Z29" i="14"/>
  <c r="Z39" i="14" a="1"/>
  <c r="Z39" i="14" s="1"/>
  <c r="Z37" i="14" a="1"/>
  <c r="Z37" i="14" s="1"/>
  <c r="Z33" i="14" a="1"/>
  <c r="Z33" i="14" s="1"/>
  <c r="Z45" i="14"/>
  <c r="Z41" i="14" a="1"/>
  <c r="Z41" i="14" s="1"/>
  <c r="Z35" i="14" a="1"/>
  <c r="Z35" i="14" s="1"/>
  <c r="Z40" i="14" a="1"/>
  <c r="Z40" i="14" s="1"/>
  <c r="Z38" i="14" a="1"/>
  <c r="Z38" i="14" s="1"/>
  <c r="Z42" i="14" a="1"/>
  <c r="Z42" i="14" s="1"/>
  <c r="Z36" i="14" a="1"/>
  <c r="Z36" i="14" s="1"/>
  <c r="Z34" i="14" a="1"/>
  <c r="Z34" i="14" s="1"/>
  <c r="Y29" i="14"/>
  <c r="Y39" i="14" a="1"/>
  <c r="Y39" i="14" s="1"/>
  <c r="Y37" i="14" a="1"/>
  <c r="Y37" i="14" s="1"/>
  <c r="Y33" i="14" a="1"/>
  <c r="Y33" i="14" s="1"/>
  <c r="Y45" i="14"/>
  <c r="Y41" i="14" a="1"/>
  <c r="Y41" i="14" s="1"/>
  <c r="Y35" i="14" a="1"/>
  <c r="Y35" i="14" s="1"/>
  <c r="Y40" i="14" a="1"/>
  <c r="Y40" i="14" s="1"/>
  <c r="Y38" i="14" a="1"/>
  <c r="Y38" i="14" s="1"/>
  <c r="Y42" i="14" a="1"/>
  <c r="Y42" i="14" s="1"/>
  <c r="Y36" i="14" a="1"/>
  <c r="Y36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7" i="14" a="1"/>
  <c r="W37" i="14" s="1"/>
  <c r="W33" i="14" a="1"/>
  <c r="W33" i="14" s="1"/>
  <c r="W45" i="14"/>
  <c r="W41" i="14" a="1"/>
  <c r="W41" i="14" s="1"/>
  <c r="W35" i="14" a="1"/>
  <c r="W35" i="14" s="1"/>
  <c r="W40" i="14" a="1"/>
  <c r="W40" i="14" s="1"/>
  <c r="W36" i="14" a="1"/>
  <c r="W36" i="14" s="1"/>
  <c r="W34" i="14" a="1"/>
  <c r="W34" i="14" s="1"/>
  <c r="W42" i="14" a="1"/>
  <c r="W42" i="14" s="1"/>
  <c r="W38" i="14" a="1"/>
  <c r="W38" i="14" s="1"/>
  <c r="V29" i="14"/>
  <c r="V39" i="14" a="1"/>
  <c r="V39" i="14" s="1"/>
  <c r="V37" i="14" a="1"/>
  <c r="V37" i="14" s="1"/>
  <c r="V33" i="14" a="1"/>
  <c r="V33" i="14" s="1"/>
  <c r="V45" i="14"/>
  <c r="V41" i="14" a="1"/>
  <c r="V41" i="14" s="1"/>
  <c r="V35" i="14" a="1"/>
  <c r="V35" i="14" s="1"/>
  <c r="V40" i="14" a="1"/>
  <c r="V40" i="14" s="1"/>
  <c r="V38" i="14" a="1"/>
  <c r="V38" i="14" s="1"/>
  <c r="V42" i="14" a="1"/>
  <c r="V42" i="14" s="1"/>
  <c r="V36" i="14" a="1"/>
  <c r="V36" i="14" s="1"/>
  <c r="V34" i="14" a="1"/>
  <c r="V34" i="14" s="1"/>
  <c r="U29" i="14"/>
  <c r="U39" i="14" a="1"/>
  <c r="U39" i="14" s="1"/>
  <c r="U37" i="14" a="1"/>
  <c r="U37" i="14" s="1"/>
  <c r="U33" i="14" a="1"/>
  <c r="U33" i="14" s="1"/>
  <c r="U45" i="14"/>
  <c r="U41" i="14" a="1"/>
  <c r="U41" i="14" s="1"/>
  <c r="U35" i="14" a="1"/>
  <c r="U35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39" i="14" a="1"/>
  <c r="S39" i="14" s="1"/>
  <c r="S37" i="14" a="1"/>
  <c r="S37" i="14" s="1"/>
  <c r="S33" i="14" a="1"/>
  <c r="S33" i="14" s="1"/>
  <c r="S45" i="14"/>
  <c r="S41" i="14" a="1"/>
  <c r="S41" i="14" s="1"/>
  <c r="S35" i="14" a="1"/>
  <c r="S35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5" i="14" a="1"/>
  <c r="R35" i="14" s="1"/>
  <c r="R45" i="14"/>
  <c r="R41" i="14" a="1"/>
  <c r="R41" i="14" s="1"/>
  <c r="R37" i="14" a="1"/>
  <c r="R37" i="14" s="1"/>
  <c r="R33" i="14" a="1"/>
  <c r="R33" i="14" s="1"/>
  <c r="R40" i="14" a="1"/>
  <c r="R40" i="14" s="1"/>
  <c r="R36" i="14" a="1"/>
  <c r="R36" i="14" s="1"/>
  <c r="R34" i="14" a="1"/>
  <c r="R34" i="14" s="1"/>
  <c r="R42" i="14" a="1"/>
  <c r="R42" i="14" s="1"/>
  <c r="R38" i="14" a="1"/>
  <c r="R38" i="14" s="1"/>
  <c r="Q29" i="14"/>
  <c r="Q39" i="14" a="1"/>
  <c r="Q39" i="14" s="1"/>
  <c r="Q35" i="14" a="1"/>
  <c r="Q35" i="14" s="1"/>
  <c r="Q36" i="14" a="1"/>
  <c r="Q36" i="14" s="1"/>
  <c r="Q45" i="14"/>
  <c r="Q41" i="14" a="1"/>
  <c r="Q41" i="14" s="1"/>
  <c r="Q37" i="14" a="1"/>
  <c r="Q37" i="14" s="1"/>
  <c r="Q33" i="14" a="1"/>
  <c r="Q33" i="14" s="1"/>
  <c r="Q34" i="14" a="1"/>
  <c r="Q34" i="14" s="1"/>
  <c r="Q42" i="14" a="1"/>
  <c r="Q42" i="14" s="1"/>
  <c r="Q40" i="14" a="1"/>
  <c r="Q40" i="14" s="1"/>
  <c r="Q38" i="14" a="1"/>
  <c r="Q38" i="14" s="1"/>
  <c r="P29" i="14"/>
  <c r="P39" i="14" a="1"/>
  <c r="P39" i="14" s="1"/>
  <c r="P35" i="14" a="1"/>
  <c r="P35" i="14" s="1"/>
  <c r="P45" i="14"/>
  <c r="P41" i="14" a="1"/>
  <c r="P41" i="14" s="1"/>
  <c r="P37" i="14" a="1"/>
  <c r="P37" i="14" s="1"/>
  <c r="P33" i="14" a="1"/>
  <c r="P33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9" i="14" a="1"/>
  <c r="N39" i="14" s="1"/>
  <c r="N37" i="14" a="1"/>
  <c r="N37" i="14" s="1"/>
  <c r="N33" i="14" a="1"/>
  <c r="N33" i="14" s="1"/>
  <c r="N45" i="14"/>
  <c r="N41" i="14" a="1"/>
  <c r="N41" i="14" s="1"/>
  <c r="N35" i="14" a="1"/>
  <c r="N35" i="14" s="1"/>
  <c r="N40" i="14" a="1"/>
  <c r="N40" i="14" s="1"/>
  <c r="N38" i="14" a="1"/>
  <c r="N38" i="14" s="1"/>
  <c r="N34" i="14" a="1"/>
  <c r="N34" i="14" s="1"/>
  <c r="N42" i="14" a="1"/>
  <c r="N42" i="14" s="1"/>
  <c r="N36" i="14" a="1"/>
  <c r="N36" i="14" s="1"/>
  <c r="M29" i="14"/>
  <c r="M39" i="14" a="1"/>
  <c r="M39" i="14" s="1"/>
  <c r="M37" i="14" a="1"/>
  <c r="M37" i="14" s="1"/>
  <c r="M33" i="14" a="1"/>
  <c r="M33" i="14" s="1"/>
  <c r="M45" i="14"/>
  <c r="M41" i="14" a="1"/>
  <c r="M41" i="14" s="1"/>
  <c r="M35" i="14" a="1"/>
  <c r="M35" i="14" s="1"/>
  <c r="M40" i="14" a="1"/>
  <c r="M40" i="14" s="1"/>
  <c r="M38" i="14" a="1"/>
  <c r="M38" i="14" s="1"/>
  <c r="M42" i="14" a="1"/>
  <c r="M42" i="14" s="1"/>
  <c r="M36" i="14" a="1"/>
  <c r="M36" i="14" s="1"/>
  <c r="M34" i="14" a="1"/>
  <c r="M34" i="14" s="1"/>
  <c r="L29" i="14"/>
  <c r="L39" i="14" a="1"/>
  <c r="L39" i="14" s="1"/>
  <c r="L37" i="14" a="1"/>
  <c r="L37" i="14" s="1"/>
  <c r="L33" i="14" a="1"/>
  <c r="L33" i="14" s="1"/>
  <c r="L45" i="14"/>
  <c r="L41" i="14" a="1"/>
  <c r="L41" i="14" s="1"/>
  <c r="L35" i="14" a="1"/>
  <c r="L35" i="14" s="1"/>
  <c r="L40" i="14" a="1"/>
  <c r="L40" i="14" s="1"/>
  <c r="L38" i="14" a="1"/>
  <c r="L38" i="14" s="1"/>
  <c r="L42" i="14" a="1"/>
  <c r="L42" i="14" s="1"/>
  <c r="L36" i="14" a="1"/>
  <c r="L36" i="14" s="1"/>
  <c r="L34" i="14" a="1"/>
  <c r="L34" i="14" s="1"/>
  <c r="K29" i="14"/>
  <c r="K39" i="14" a="1"/>
  <c r="K39" i="14" s="1"/>
  <c r="K37" i="14" a="1"/>
  <c r="K37" i="14" s="1"/>
  <c r="K33" i="14" a="1"/>
  <c r="K33" i="14" s="1"/>
  <c r="K45" i="14"/>
  <c r="K41" i="14" a="1"/>
  <c r="K41" i="14" s="1"/>
  <c r="K35" i="14" a="1"/>
  <c r="K35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6" i="14" a="1"/>
  <c r="J36" i="14" s="1"/>
  <c r="J42" i="14" a="1"/>
  <c r="J42" i="14" s="1"/>
  <c r="J38" i="14" a="1"/>
  <c r="J38" i="14" s="1"/>
  <c r="J34" i="14" a="1"/>
  <c r="J34" i="14" s="1"/>
  <c r="I45" i="14"/>
  <c r="I41" i="14" a="1"/>
  <c r="I41" i="14" s="1"/>
  <c r="I39" i="14" a="1"/>
  <c r="I39" i="14" s="1"/>
  <c r="I37" i="14" a="1"/>
  <c r="I37" i="14" s="1"/>
  <c r="I35" i="14" a="1"/>
  <c r="I35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29" i="14"/>
  <c r="I33" i="14" a="1"/>
  <c r="I33" i="14" s="1"/>
  <c r="H29" i="14"/>
  <c r="H39" i="14" a="1"/>
  <c r="H39" i="14" s="1"/>
  <c r="H37" i="14" a="1"/>
  <c r="H37" i="14" s="1"/>
  <c r="H33" i="14" a="1"/>
  <c r="H33" i="14" s="1"/>
  <c r="H45" i="14"/>
  <c r="H41" i="14" a="1"/>
  <c r="H41" i="14" s="1"/>
  <c r="H35" i="14" a="1"/>
  <c r="H35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9" i="13" l="1"/>
  <c r="B9" i="13" s="1"/>
  <c r="D8" i="13" a="1"/>
  <c r="D8" i="13" s="1"/>
  <c r="A8" i="13" s="1"/>
  <c r="E10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Q46" i="15"/>
  <c r="O46" i="15"/>
  <c r="N46" i="15"/>
  <c r="M46" i="15"/>
  <c r="L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D9" i="12"/>
  <c r="A9" i="12" s="1"/>
  <c r="C9" i="12"/>
  <c r="C10" i="13" l="1"/>
  <c r="D10" i="13" a="1"/>
  <c r="D10" i="13" s="1"/>
  <c r="A10" i="13" s="1"/>
  <c r="E12" i="13"/>
  <c r="B11" i="13"/>
  <c r="B11" i="12"/>
  <c r="E12" i="12"/>
  <c r="C10" i="12"/>
  <c r="D10" i="12"/>
  <c r="A10" i="12" s="1"/>
  <c r="B12" i="13" l="1"/>
  <c r="E13" i="13"/>
  <c r="D11" i="13" a="1"/>
  <c r="D11" i="13" s="1"/>
  <c r="A11" i="13" s="1"/>
  <c r="C11" i="13"/>
  <c r="B12" i="12"/>
  <c r="E13" i="12"/>
  <c r="C11" i="12"/>
  <c r="D11" i="12"/>
  <c r="A11" i="12" s="1"/>
  <c r="C12" i="13" l="1"/>
  <c r="D12" i="13" a="1"/>
  <c r="D12" i="13" s="1"/>
  <c r="A12" i="13" s="1"/>
  <c r="E14" i="13"/>
  <c r="B13" i="13"/>
  <c r="B13" i="12"/>
  <c r="E14" i="12"/>
  <c r="C12" i="12"/>
  <c r="D12" i="12"/>
  <c r="A12" i="12" s="1"/>
  <c r="B14" i="13" l="1"/>
  <c r="E15" i="13"/>
  <c r="D13" i="13" a="1"/>
  <c r="D13" i="13" s="1"/>
  <c r="A13" i="13" s="1"/>
  <c r="C13" i="13"/>
  <c r="B14" i="12"/>
  <c r="E15" i="12"/>
  <c r="D13" i="12"/>
  <c r="A13" i="12" s="1"/>
  <c r="C13" i="12"/>
  <c r="C14" i="13" l="1"/>
  <c r="D14" i="13" a="1"/>
  <c r="D14" i="13" s="1"/>
  <c r="A14" i="13" s="1"/>
  <c r="E16" i="13"/>
  <c r="B15" i="13"/>
  <c r="B15" i="12"/>
  <c r="E16" i="12"/>
  <c r="C14" i="12"/>
  <c r="D14" i="12"/>
  <c r="A14" i="12" s="1"/>
  <c r="B16" i="13" l="1"/>
  <c r="E17" i="13"/>
  <c r="D15" i="13" a="1"/>
  <c r="D15" i="13" s="1"/>
  <c r="A15" i="13" s="1"/>
  <c r="C15" i="13"/>
  <c r="B16" i="12"/>
  <c r="E17" i="12"/>
  <c r="C15" i="12"/>
  <c r="D15" i="12"/>
  <c r="A15" i="12" s="1"/>
  <c r="C16" i="13" l="1"/>
  <c r="D16" i="13" a="1"/>
  <c r="D16" i="13" s="1"/>
  <c r="A16" i="13" s="1"/>
  <c r="E18" i="13"/>
  <c r="B17" i="13"/>
  <c r="B17" i="12"/>
  <c r="E18" i="12"/>
  <c r="C16" i="12"/>
  <c r="D16" i="12"/>
  <c r="A16" i="12" s="1"/>
  <c r="B18" i="13" l="1"/>
  <c r="E19" i="13"/>
  <c r="D17" i="13" a="1"/>
  <c r="D17" i="13" s="1"/>
  <c r="A17" i="13" s="1"/>
  <c r="C17" i="13"/>
  <c r="D17" i="12"/>
  <c r="A17" i="12" s="1"/>
  <c r="C17" i="12"/>
  <c r="B18" i="12"/>
  <c r="E19" i="12"/>
  <c r="C18" i="13" l="1"/>
  <c r="D18" i="13" a="1"/>
  <c r="D18" i="13" s="1"/>
  <c r="A18" i="13" s="1"/>
  <c r="E20" i="13"/>
  <c r="B19" i="13"/>
  <c r="B19" i="12"/>
  <c r="E20" i="12"/>
  <c r="C18" i="12"/>
  <c r="D18" i="12"/>
  <c r="A18" i="12" s="1"/>
  <c r="D19" i="13" l="1" a="1"/>
  <c r="D19" i="13" s="1"/>
  <c r="A19" i="13" s="1"/>
  <c r="C19" i="13"/>
  <c r="B20" i="13"/>
  <c r="E21" i="13"/>
  <c r="B20" i="12"/>
  <c r="E21" i="12"/>
  <c r="C19" i="12"/>
  <c r="D19" i="12"/>
  <c r="A19" i="12" s="1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B22" i="13" l="1"/>
  <c r="E23" i="13"/>
  <c r="D21" i="13" a="1"/>
  <c r="D21" i="13" s="1"/>
  <c r="A21" i="13" s="1"/>
  <c r="C21" i="13"/>
  <c r="B22" i="12"/>
  <c r="E23" i="12"/>
  <c r="D21" i="12"/>
  <c r="A21" i="12" s="1"/>
  <c r="C21" i="12"/>
  <c r="D22" i="13" l="1" a="1"/>
  <c r="D22" i="13" s="1"/>
  <c r="A22" i="13" s="1"/>
  <c r="C22" i="13"/>
  <c r="E24" i="13"/>
  <c r="B23" i="13"/>
  <c r="B23" i="12"/>
  <c r="E24" i="12"/>
  <c r="C22" i="12"/>
  <c r="D22" i="12"/>
  <c r="A22" i="12" s="1"/>
  <c r="D23" i="13" l="1" a="1"/>
  <c r="D23" i="13" s="1"/>
  <c r="A23" i="13" s="1"/>
  <c r="C23" i="13"/>
  <c r="B24" i="13"/>
  <c r="E25" i="13"/>
  <c r="B24" i="12"/>
  <c r="E25" i="12"/>
  <c r="C23" i="12"/>
  <c r="D23" i="12"/>
  <c r="A23" i="12" s="1"/>
  <c r="E26" i="13" l="1"/>
  <c r="B25" i="13"/>
  <c r="C24" i="13"/>
  <c r="D24" i="13" a="1"/>
  <c r="D24" i="13" s="1"/>
  <c r="A24" i="13" s="1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B26" i="12"/>
  <c r="E27" i="12"/>
  <c r="D25" i="12"/>
  <c r="A25" i="12" s="1"/>
  <c r="C25" i="12"/>
  <c r="E28" i="13" l="1"/>
  <c r="B27" i="13"/>
  <c r="D26" i="13" a="1"/>
  <c r="D26" i="13" s="1"/>
  <c r="A26" i="13" s="1"/>
  <c r="C26" i="13"/>
  <c r="B27" i="12"/>
  <c r="E28" i="12"/>
  <c r="C26" i="12"/>
  <c r="D26" i="12"/>
  <c r="A26" i="12" s="1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E30" i="13" l="1"/>
  <c r="B29" i="13"/>
  <c r="D28" i="13" a="1"/>
  <c r="D28" i="13" s="1"/>
  <c r="A28" i="13" s="1"/>
  <c r="C28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B30" i="12"/>
  <c r="E31" i="12"/>
  <c r="D29" i="12"/>
  <c r="A29" i="12" s="1"/>
  <c r="C29" i="12"/>
  <c r="D30" i="13" l="1" a="1"/>
  <c r="D30" i="13" s="1"/>
  <c r="A30" i="13" s="1"/>
  <c r="C30" i="13"/>
  <c r="B31" i="13"/>
  <c r="B31" i="12"/>
  <c r="C30" i="12"/>
  <c r="D30" i="12"/>
  <c r="A30" i="12" s="1"/>
  <c r="D31" i="13" l="1" a="1"/>
  <c r="D31" i="13" s="1"/>
  <c r="A31" i="13" s="1"/>
  <c r="C31" i="13"/>
  <c r="C31" i="12"/>
  <c r="D31" i="12"/>
  <c r="A31" i="12" s="1"/>
  <c r="D6" i="17" l="1"/>
  <c r="B1" i="17"/>
  <c r="D1" i="17" s="1"/>
  <c r="D19" i="16" l="1"/>
  <c r="J8" i="16" l="1"/>
  <c r="K8" i="16"/>
  <c r="I8" i="16" s="1"/>
  <c r="J9" i="16"/>
  <c r="K9" i="16"/>
  <c r="I9" i="16" s="1"/>
  <c r="J10" i="16"/>
  <c r="K10" i="16"/>
  <c r="I10" i="16" s="1"/>
  <c r="I11" i="16"/>
  <c r="J11" i="16"/>
  <c r="K11" i="16"/>
  <c r="I12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I7" i="16" s="1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G35" i="14" s="1" a="1"/>
  <c r="G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5" i="14"/>
  <c r="H37" i="15" l="1" a="1"/>
  <c r="H37" i="15" s="1"/>
  <c r="A37" i="15"/>
  <c r="B38" i="15" a="1"/>
  <c r="B38" i="15" s="1"/>
  <c r="B39" i="15" s="1" a="1"/>
  <c r="B39" i="15" s="1"/>
  <c r="G36" i="14" a="1"/>
  <c r="G36" i="14" s="1"/>
  <c r="B37" i="14" a="1"/>
  <c r="B37" i="14" s="1"/>
  <c r="A36" i="14"/>
  <c r="B40" i="15" l="1" a="1"/>
  <c r="B40" i="15" s="1"/>
  <c r="A39" i="15"/>
  <c r="H39" i="15" a="1"/>
  <c r="H39" i="15" s="1"/>
  <c r="H38" i="15" a="1"/>
  <c r="H38" i="15" s="1"/>
  <c r="A38" i="15"/>
  <c r="A37" i="14"/>
  <c r="B38" i="14" a="1"/>
  <c r="B38" i="14" s="1"/>
  <c r="G37" i="14" a="1"/>
  <c r="G37" i="14" s="1"/>
  <c r="A40" i="15" l="1"/>
  <c r="H40" i="15" a="1"/>
  <c r="H40" i="15" s="1"/>
  <c r="B41" i="15" a="1"/>
  <c r="B41" i="15" s="1"/>
  <c r="B39" i="14" a="1"/>
  <c r="B39" i="14" s="1"/>
  <c r="G38" i="14" a="1"/>
  <c r="G38" i="14" s="1"/>
  <c r="A38" i="14"/>
  <c r="G39" i="14" a="1"/>
  <c r="G39" i="14" s="1"/>
  <c r="B40" i="14" a="1"/>
  <c r="B40" i="14" s="1"/>
  <c r="A41" i="15" l="1"/>
  <c r="H41" i="15" a="1"/>
  <c r="H41" i="15" s="1"/>
  <c r="B42" i="15" a="1"/>
  <c r="B42" i="15" s="1"/>
  <c r="A39" i="14"/>
  <c r="G40" i="14" a="1"/>
  <c r="G40" i="14" s="1"/>
  <c r="A40" i="14"/>
  <c r="B41" i="14" a="1"/>
  <c r="B41" i="14" s="1"/>
  <c r="H42" i="15" l="1" a="1"/>
  <c r="H42" i="15" s="1"/>
  <c r="A42" i="15"/>
  <c r="B42" i="14" a="1"/>
  <c r="B42" i="14" s="1"/>
  <c r="A41" i="14"/>
  <c r="G41" i="14" a="1"/>
  <c r="G41" i="14" s="1"/>
  <c r="H46" i="15" l="1"/>
  <c r="G42" i="14" a="1"/>
  <c r="G42" i="14" s="1"/>
  <c r="A42" i="14"/>
  <c r="D49" i="15" l="1" a="1"/>
  <c r="D49" i="15" s="1"/>
  <c r="A49" i="15" s="1"/>
  <c r="G46" i="14"/>
  <c r="D49" i="14" l="1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<sst xmlns="http://schemas.openxmlformats.org/spreadsheetml/2006/main" count="1213" uniqueCount="721">
  <si>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</si>
  <si>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</si>
  <si>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</si>
  <si>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</si>
  <si>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</si>
  <si>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</si>
  <si>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</si>
  <si>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</si>
  <si>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</si>
  <si>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</si>
  <si>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</si>
  <si>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</si>
  <si>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</si>
  <si>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</si>
  <si>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</si>
  <si>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</si>
  <si>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</si>
  <si>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</si>
  <si>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</si>
  <si>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</si>
  <si>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</si>
  <si>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</si>
  <si>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</si>
  <si>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</si>
  <si>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</si>
  <si>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</si>
  <si>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</si>
  <si>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</si>
  <si>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</si>
  <si>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</si>
  <si>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</si>
  <si>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</si>
  <si>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</si>
  <si>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</si>
  <si>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</si>
  <si>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</si>
  <si>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</si>
  <si>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</si>
  <si>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</si>
  <si>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</si>
  <si>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</si>
  <si>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</si>
  <si>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</si>
  <si>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</si>
  <si>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</si>
  <si>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</si>
  <si>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</si>
  <si>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</si>
  <si>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</si>
  <si>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</si>
  <si>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</si>
  <si>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</si>
  <si>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</si>
  <si>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</si>
  <si>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</si>
  <si>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</si>
  <si>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</si>
  <si>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</si>
  <si>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</si>
  <si>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</si>
  <si>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</si>
  <si>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</si>
  <si>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</si>
  <si>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</si>
  <si>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</si>
  <si>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</si>
  <si>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</si>
  <si>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</si>
  <si>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</si>
  <si>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</si>
  <si>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</si>
  <si>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</si>
  <si>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</si>
  <si>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</si>
  <si>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</si>
  <si>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</si>
  <si>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</si>
  <si>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</si>
  <si>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</si>
  <si>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</si>
  <si>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</si>
  <si>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</si>
  <si>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</si>
  <si>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</si>
  <si>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</si>
  <si>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</si>
  <si>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</si>
  <si>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</si>
  <si>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</si>
  <si>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</si>
  <si>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</si>
  <si>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</si>
  <si>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</si>
  <si>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</si>
  <si>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</si>
  <si>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</si>
  <si>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</si>
  <si>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</si>
  <si>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</si>
  <si>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</si>
  <si>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</si>
  <si>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</si>
  <si>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</si>
  <si>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</si>
  <si>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</si>
  <si>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</si>
  <si>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</si>
  <si>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</si>
  <si>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</si>
  <si>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</si>
  <si>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</si>
  <si>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</si>
  <si>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</si>
  <si>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</si>
  <si>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</si>
  <si>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</si>
  <si>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</si>
  <si>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</si>
  <si>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</si>
  <si>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</si>
  <si>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</si>
  <si>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</si>
  <si>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</si>
  <si>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</si>
  <si>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</si>
  <si>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</si>
  <si>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</si>
  <si>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</si>
  <si>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</si>
  <si>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</si>
  <si>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</si>
  <si>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</si>
  <si>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</si>
  <si>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</si>
  <si>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</si>
  <si>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</si>
  <si>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</si>
  <si>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</si>
  <si>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</si>
  <si>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</si>
  <si>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</si>
  <si>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</si>
  <si>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</si>
  <si>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</si>
  <si>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</si>
  <si>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</si>
  <si>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</si>
  <si>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</si>
  <si>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</si>
  <si>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</si>
  <si>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</si>
  <si>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</si>
  <si>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</si>
  <si>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</si>
  <si>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</si>
  <si>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</si>
  <si>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</si>
  <si>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</si>
  <si>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</si>
  <si>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</si>
  <si>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</si>
  <si>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</si>
  <si>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</si>
  <si>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</si>
  <si>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</si>
  <si>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</si>
  <si>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</si>
  <si>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</si>
  <si>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</si>
  <si>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</si>
  <si>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</si>
  <si>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</si>
  <si>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</si>
  <si>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</si>
  <si>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</si>
  <si>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</si>
  <si>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</si>
  <si>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</si>
  <si>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</si>
  <si>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</si>
  <si>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</si>
  <si>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</si>
  <si>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</si>
  <si>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</si>
  <si>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</si>
  <si>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</si>
  <si>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</si>
  <si>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</si>
  <si>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</si>
  <si>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</si>
  <si>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</si>
  <si>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</si>
  <si>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</si>
  <si>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</si>
  <si>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</si>
  <si>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</si>
  <si>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</si>
  <si>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</si>
  <si>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</si>
  <si>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</si>
  <si>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</si>
  <si>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</si>
  <si>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</si>
  <si>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</si>
  <si>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</si>
  <si>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</si>
  <si>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</si>
  <si>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</si>
  <si>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</si>
  <si>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</si>
  <si>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</si>
  <si>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</si>
  <si>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</si>
  <si>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</si>
  <si>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</si>
  <si>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</si>
  <si>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</si>
  <si>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</si>
  <si>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</si>
  <si>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</si>
  <si>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</si>
  <si>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</si>
  <si>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</si>
  <si>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</si>
  <si>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</si>
  <si>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</si>
  <si>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</si>
  <si>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</si>
  <si>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</si>
  <si>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</si>
  <si>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</si>
  <si>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</si>
  <si>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</si>
  <si>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</si>
  <si>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</si>
  <si>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</si>
  <si>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</si>
  <si>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</si>
  <si>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</si>
  <si>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</si>
  <si>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</si>
  <si>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</si>
  <si>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</si>
  <si>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</si>
  <si>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</si>
  <si>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</si>
  <si>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</si>
  <si>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</si>
  <si>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</si>
  <si>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</si>
  <si>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</si>
  <si>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</si>
  <si>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</si>
  <si>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</si>
  <si>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</si>
  <si>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</si>
  <si>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</si>
  <si>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</si>
  <si>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</si>
  <si>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</si>
  <si>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</si>
  <si>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</si>
  <si>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</si>
  <si>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</si>
  <si>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</si>
  <si>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</si>
  <si>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</si>
  <si>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</si>
  <si>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</si>
  <si>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</si>
  <si>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</si>
  <si>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</si>
  <si>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</si>
  <si>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</si>
  <si>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</si>
  <si>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</si>
  <si>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</si>
  <si>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</si>
  <si>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</si>
  <si>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</si>
  <si>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</si>
  <si>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</si>
  <si>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</si>
  <si>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</si>
  <si>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</si>
  <si>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</si>
  <si>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</si>
  <si>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</si>
  <si>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</si>
  <si>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</si>
  <si>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</si>
  <si>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</si>
  <si>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</si>
  <si>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</si>
  <si>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</si>
  <si>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</si>
  <si>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</si>
  <si>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</si>
  <si>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</si>
  <si>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</si>
  <si>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</si>
  <si>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</si>
  <si>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</si>
  <si>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</si>
  <si>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</si>
  <si>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</si>
  <si>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</si>
  <si>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</si>
  <si>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</si>
  <si>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</si>
  <si>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</si>
  <si>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</si>
  <si>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</si>
  <si>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</si>
  <si>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</si>
  <si>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</si>
  <si>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</si>
  <si>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</si>
  <si>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</si>
  <si>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</si>
  <si>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</si>
  <si>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</si>
  <si>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</si>
  <si>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</si>
  <si>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</si>
  <si>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</si>
  <si>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</si>
  <si>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</si>
  <si>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</si>
  <si>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</si>
  <si>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</si>
  <si>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</si>
  <si>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</si>
  <si>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</si>
  <si>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</si>
  <si>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</si>
  <si>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</si>
  <si>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</si>
  <si>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</si>
  <si>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</si>
  <si>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</si>
  <si>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</si>
  <si>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</si>
  <si>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</si>
  <si>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</si>
  <si>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</si>
  <si>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</si>
  <si>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</si>
  <si>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</si>
  <si>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</si>
  <si>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</si>
  <si>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</si>
  <si>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</si>
  <si>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</si>
  <si>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</si>
  <si>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</si>
  <si>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</si>
  <si>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</si>
  <si>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</si>
  <si>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</si>
  <si>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</si>
  <si>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</si>
  <si>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</si>
  <si>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</si>
  <si>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</si>
  <si>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</si>
  <si>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</si>
  <si>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</si>
  <si>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</si>
  <si>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</si>
  <si>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</si>
  <si>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</si>
  <si>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</si>
  <si>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</si>
  <si>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</si>
  <si>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</si>
  <si>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</si>
  <si>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</si>
  <si>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</si>
  <si>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</si>
  <si>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</si>
  <si>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</si>
  <si>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</si>
  <si>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</si>
  <si>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</si>
  <si>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</si>
  <si>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</si>
  <si>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</si>
  <si>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</si>
  <si>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</si>
  <si>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</si>
  <si>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</si>
  <si>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</si>
  <si>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</si>
  <si>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</si>
  <si>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</si>
  <si>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</si>
  <si>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</si>
  <si>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</si>
  <si>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</si>
  <si>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</si>
  <si>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</si>
  <si>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</si>
  <si>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</si>
  <si>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</si>
  <si>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</si>
  <si>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</si>
  <si>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</si>
  <si>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</si>
  <si>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</si>
  <si>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</si>
  <si>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</si>
  <si>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</si>
  <si>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</si>
  <si>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</si>
  <si>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</si>
  <si>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</si>
  <si>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</si>
  <si>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</si>
  <si>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</si>
  <si>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</si>
  <si>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</si>
  <si>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</si>
  <si>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</si>
  <si>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</si>
  <si>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</si>
  <si>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</si>
  <si>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</si>
  <si>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</si>
  <si>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</si>
  <si>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</si>
  <si>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</si>
  <si>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</si>
  <si>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</si>
  <si>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</si>
  <si>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</si>
  <si>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</si>
  <si>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</si>
  <si>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</si>
  <si>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</si>
  <si>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</si>
  <si>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</si>
  <si>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</si>
  <si>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</si>
  <si>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</si>
  <si>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</si>
  <si>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</si>
  <si>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</si>
  <si>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</si>
  <si>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</si>
  <si>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</si>
  <si>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</si>
  <si>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</si>
  <si>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</si>
  <si>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</si>
  <si>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</si>
  <si>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</si>
  <si>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</si>
  <si>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</si>
  <si>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</si>
  <si>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</si>
  <si>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</si>
  <si>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</si>
  <si>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</si>
  <si>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</si>
  <si>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</si>
  <si>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</si>
  <si>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</si>
  <si>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</si>
  <si>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</si>
  <si>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</si>
  <si>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</si>
  <si>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</si>
  <si>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</si>
  <si>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</si>
  <si>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</si>
  <si>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</si>
  <si>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</si>
  <si>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</si>
  <si>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</si>
  <si>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</si>
  <si>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</si>
  <si>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</si>
  <si>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</si>
  <si>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</si>
  <si>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</si>
  <si>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</si>
  <si>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</si>
  <si>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</si>
  <si>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</si>
  <si>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</si>
  <si>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</si>
  <si>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</si>
  <si>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</si>
  <si>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</si>
  <si>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</si>
  <si>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</si>
  <si>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</si>
  <si>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</si>
  <si>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</si>
  <si>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</si>
  <si>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</si>
  <si>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</si>
  <si>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</si>
  <si>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</si>
  <si>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</si>
  <si>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</si>
  <si>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</si>
  <si>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</si>
  <si>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</si>
  <si>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</si>
  <si>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</si>
  <si>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</si>
  <si>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</si>
  <si>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</si>
  <si>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</si>
  <si>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</si>
  <si>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</si>
  <si>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</si>
  <si>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</si>
  <si>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</si>
  <si>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</si>
  <si>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</si>
  <si>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</si>
  <si>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</si>
  <si>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</si>
  <si>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</si>
  <si>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</si>
  <si>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</si>
  <si>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</si>
  <si>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</si>
  <si>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</si>
  <si>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</si>
  <si>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</si>
  <si>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</si>
  <si>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</si>
  <si>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</si>
  <si>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</si>
  <si>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</si>
  <si>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</si>
  <si>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</si>
  <si>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</si>
  <si>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</si>
  <si>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</si>
  <si>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</si>
  <si>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</si>
  <si>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</si>
  <si>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</si>
  <si>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</si>
  <si>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</si>
  <si>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</si>
  <si>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</si>
  <si>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</si>
  <si>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</si>
  <si>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</si>
  <si>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</si>
  <si>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</si>
  <si>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</si>
  <si>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</si>
  <si>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</si>
  <si>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</si>
  <si>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</si>
  <si>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</si>
  <si>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</si>
  <si>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</si>
  <si>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</si>
  <si>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</si>
  <si>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</si>
  <si>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</si>
  <si>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</si>
  <si>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</si>
  <si>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</si>
  <si>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</si>
  <si>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</si>
  <si>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</si>
  <si>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</si>
  <si>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</si>
  <si>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</si>
  <si>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</si>
  <si>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</si>
  <si>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</si>
  <si>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</si>
  <si>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</si>
  <si>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</si>
  <si>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</si>
  <si>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</si>
  <si>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</si>
  <si>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</si>
  <si>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</si>
  <si>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</si>
  <si>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</si>
  <si>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</si>
  <si>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</si>
  <si>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</si>
  <si>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</si>
  <si>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</si>
  <si>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</si>
  <si>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</si>
  <si>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</si>
  <si>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</si>
  <si>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</si>
  <si>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</si>
  <si>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</si>
  <si>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</si>
  <si>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</si>
  <si>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</si>
  <si>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</si>
  <si>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</si>
  <si>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</si>
  <si>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</si>
  <si>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</si>
  <si>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</si>
  <si>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</si>
  <si>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</si>
  <si>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</si>
  <si>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</si>
  <si>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</si>
  <si>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</si>
  <si>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</si>
  <si>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</si>
  <si>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</si>
  <si>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</si>
  <si>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</si>
  <si>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</si>
  <si>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</si>
  <si>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</si>
  <si>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</si>
  <si>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</si>
  <si>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</si>
  <si>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</si>
  <si>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</si>
  <si>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</si>
  <si>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</si>
  <si>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</si>
  <si>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</si>
  <si>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</si>
  <si>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</si>
  <si>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</si>
  <si>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</si>
  <si>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</si>
  <si>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</si>
  <si>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</si>
  <si>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</si>
  <si>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</si>
  <si>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</si>
  <si>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</si>
  <si>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</si>
  <si>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</si>
  <si>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</si>
  <si>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</si>
  <si>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</si>
  <si>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</si>
  <si>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</si>
  <si>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</si>
  <si>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</si>
  <si>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</si>
  <si>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</si>
  <si>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</si>
  <si>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</si>
  <si>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</si>
  <si>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</si>
  <si>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</si>
  <si>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</si>
  <si>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</si>
  <si>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</si>
  <si>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</si>
  <si>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</si>
  <si>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</si>
  <si>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</si>
  <si>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</si>
  <si>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</si>
  <si>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</si>
  <si>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</si>
  <si>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</si>
  <si>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</si>
  <si>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</si>
  <si>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</si>
  <si>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</si>
  <si>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</si>
  <si>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</si>
  <si>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</si>
  <si>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</si>
  <si>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</si>
  <si>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</si>
  <si>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</si>
  <si>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</si>
  <si>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</si>
  <si>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</si>
  <si>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</si>
  <si>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</si>
  <si>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</si>
  <si>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</si>
  <si>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</si>
  <si>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</si>
  <si>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</si>
  <si>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</si>
  <si>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</si>
  <si>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</si>
  <si>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</si>
  <si>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</si>
  <si>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</si>
  <si>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</si>
  <si>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</si>
  <si>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</si>
  <si>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</si>
  <si>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</si>
  <si>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</si>
  <si>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</si>
  <si>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v04</t>
  </si>
  <si>
    <t>Audit Number</t>
  </si>
  <si>
    <t>Energy Meter via upload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</si>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</sst>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5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0</xdr:rowOff>
        </xdr:from>
        <xdr:to>
          <xdr:col>2</xdr:col>
          <xdr:colOff>9525</xdr:colOff>
          <xdr:row>32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0</xdr:rowOff>
        </xdr:from>
        <xdr:to>
          <xdr:col>3</xdr:col>
          <xdr:colOff>9525</xdr:colOff>
          <xdr:row>32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9525</xdr:rowOff>
        </xdr:from>
        <xdr:to>
          <xdr:col>2</xdr:col>
          <xdr:colOff>0</xdr:colOff>
          <xdr:row>32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32</xdr:row>
          <xdr:rowOff>9525</xdr:rowOff>
        </xdr:from>
        <xdr:to>
          <xdr:col>2</xdr:col>
          <xdr:colOff>1304925</xdr:colOff>
          <xdr:row>32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V11" sqref="V11"/>
    </sheetView>
  </sheetViews>
  <sheetFormatPr defaultColWidth="9.140625" defaultRowHeight="15" x14ac:dyDescent="0.25"/>
  <cols>
    <col min="1" max="1" width="2.7109375" style="127" customWidth="1"/>
    <col min="2" max="2" width="5.7109375" style="127" customWidth="1"/>
    <col min="3" max="3" width="11.140625" style="127" customWidth="1"/>
    <col min="4" max="4" width="30.85546875" style="127" customWidth="1"/>
    <col min="5" max="5" width="29.140625" style="127" customWidth="1"/>
    <col min="6" max="6" width="21" style="127" customWidth="1"/>
    <col min="7" max="7" width="15.7109375" style="127" hidden="1" customWidth="1"/>
    <col min="8" max="8" width="110.28515625" style="127" hidden="1" customWidth="1"/>
    <col min="9" max="9" width="0.85546875" style="127" hidden="1" customWidth="1"/>
    <col min="10" max="10" width="9.140625" style="127" hidden="1" customWidth="1"/>
    <col min="11" max="11" width="4.5703125" style="127" customWidth="1"/>
    <col min="12" max="12" width="15.5703125" style="127" hidden="1" customWidth="1"/>
    <col min="13" max="18" width="9.140625" style="127" hidden="1" customWidth="1"/>
    <col min="19" max="19" width="0" style="127" hidden="1" customWidth="1"/>
    <col min="20" max="16384" width="9.140625" style="127"/>
  </cols>
  <sheetData>
    <row r="2" spans="2:14" x14ac:dyDescent="0.25">
      <c r="B2" s="133"/>
      <c r="C2" s="134" t="s">
        <v>576</v>
      </c>
      <c r="D2" s="135"/>
      <c r="E2" s="135"/>
      <c r="F2" s="135"/>
      <c r="G2" s="135"/>
      <c r="H2" s="135"/>
      <c r="I2" s="136"/>
      <c r="J2" s="135"/>
      <c r="K2" s="137"/>
      <c r="L2" s="126"/>
      <c r="M2" s="126"/>
      <c r="N2" s="126"/>
    </row>
    <row r="3" spans="2:14" ht="49.5" customHeight="1" x14ac:dyDescent="0.25">
      <c r="B3" s="138"/>
      <c r="C3" s="251" t="s">
        <v>706</v>
      </c>
      <c r="D3" s="252"/>
      <c r="E3" s="252"/>
      <c r="F3" s="252"/>
      <c r="G3" s="11"/>
      <c r="H3" s="11"/>
      <c r="I3" s="12"/>
      <c r="J3" s="11"/>
      <c r="K3" s="139"/>
      <c r="L3" s="126"/>
      <c r="M3" s="126"/>
      <c r="N3" s="126"/>
    </row>
    <row r="4" spans="2:14" x14ac:dyDescent="0.25">
      <c r="B4" s="138"/>
      <c r="C4" s="13" t="s">
        <v>0</v>
      </c>
      <c r="D4" s="14"/>
      <c r="E4" s="14"/>
      <c r="F4" s="11"/>
      <c r="G4" s="11"/>
      <c r="H4" s="11"/>
      <c r="I4" s="12"/>
      <c r="J4" s="11"/>
      <c r="K4" s="139"/>
      <c r="L4" s="126"/>
      <c r="M4" s="126"/>
      <c r="N4" s="126"/>
    </row>
    <row r="5" spans="2:14" x14ac:dyDescent="0.25">
      <c r="B5" s="138"/>
      <c r="C5" s="15" t="s">
        <v>1</v>
      </c>
      <c r="D5" s="14"/>
      <c r="E5" s="14"/>
      <c r="F5" s="11"/>
      <c r="G5" s="11"/>
      <c r="H5" s="11"/>
      <c r="I5" s="12"/>
      <c r="J5" s="11"/>
      <c r="K5" s="139"/>
      <c r="L5" s="126"/>
      <c r="M5" s="126" t="s">
        <v>3</v>
      </c>
      <c r="N5" s="126"/>
    </row>
    <row r="6" spans="2:14" x14ac:dyDescent="0.25">
      <c r="B6" s="138"/>
      <c r="C6" s="16" t="s">
        <v>2</v>
      </c>
      <c r="D6" s="16"/>
      <c r="E6" s="17"/>
      <c r="F6" s="11"/>
      <c r="G6" s="11"/>
      <c r="H6" s="11"/>
      <c r="I6" s="12"/>
      <c r="J6" s="11"/>
      <c r="K6" s="139"/>
      <c r="L6" s="126"/>
      <c r="M6" s="126" t="s">
        <v>4</v>
      </c>
      <c r="N6" s="126"/>
    </row>
    <row r="7" spans="2:14" x14ac:dyDescent="0.25">
      <c r="B7" s="138"/>
      <c r="C7" s="16"/>
      <c r="D7" s="16"/>
      <c r="E7" s="17"/>
      <c r="F7" s="11"/>
      <c r="G7" s="11"/>
      <c r="H7" s="11"/>
      <c r="I7" s="12"/>
      <c r="J7" s="11"/>
      <c r="K7" s="139"/>
      <c r="L7" s="126"/>
      <c r="M7" s="126"/>
      <c r="N7" s="126"/>
    </row>
    <row r="8" spans="2:14" x14ac:dyDescent="0.25">
      <c r="B8" s="138"/>
      <c r="C8" s="191" t="s">
        <v>624</v>
      </c>
      <c r="D8" s="192"/>
      <c r="E8" s="193"/>
      <c r="F8" s="194"/>
      <c r="G8" s="11"/>
      <c r="H8" s="11"/>
      <c r="I8" s="12"/>
      <c r="J8" s="11"/>
      <c r="K8" s="139"/>
      <c r="L8" s="126"/>
      <c r="M8" s="126"/>
      <c r="N8" s="126"/>
    </row>
    <row r="9" spans="2:14" ht="15" customHeight="1" x14ac:dyDescent="0.25">
      <c r="B9" s="138"/>
      <c r="C9" s="195" t="s">
        <v>571</v>
      </c>
      <c r="D9" s="192"/>
      <c r="E9" s="193"/>
      <c r="F9" s="196" t="s">
        <v>707</v>
      </c>
      <c r="G9" s="11"/>
      <c r="H9" s="11"/>
      <c r="I9" s="12"/>
      <c r="J9" s="11"/>
      <c r="K9" s="139"/>
      <c r="L9" s="126"/>
      <c r="M9" s="126"/>
      <c r="N9" s="126"/>
    </row>
    <row r="10" spans="2:14" ht="15" customHeight="1" x14ac:dyDescent="0.25">
      <c r="B10" s="138"/>
      <c r="C10" s="197" t="s">
        <v>625</v>
      </c>
      <c r="D10" s="197"/>
      <c r="E10" s="192"/>
      <c r="F10" s="198"/>
      <c r="G10" s="9"/>
      <c r="H10" s="9"/>
      <c r="I10" s="10"/>
      <c r="J10" s="9"/>
      <c r="K10" s="139"/>
      <c r="L10" s="126"/>
      <c r="M10" s="126"/>
      <c r="N10" s="126"/>
    </row>
    <row r="11" spans="2:14" ht="15" customHeight="1" x14ac:dyDescent="0.25">
      <c r="B11" s="138"/>
      <c r="C11" s="11"/>
      <c r="D11" s="11"/>
      <c r="E11" s="24"/>
      <c r="F11" s="11"/>
      <c r="G11" s="9"/>
      <c r="H11" s="9"/>
      <c r="I11" s="10"/>
      <c r="J11" s="9"/>
      <c r="K11" s="139"/>
      <c r="L11" s="126"/>
      <c r="M11" s="126"/>
      <c r="N11" s="126"/>
    </row>
    <row r="12" spans="2:14" ht="15" customHeight="1" x14ac:dyDescent="0.25">
      <c r="B12" s="138"/>
      <c r="C12" s="18" t="s">
        <v>5</v>
      </c>
      <c r="D12" s="11"/>
      <c r="E12" s="11"/>
      <c r="F12" s="11"/>
      <c r="G12" s="9"/>
      <c r="H12" s="9"/>
      <c r="I12" s="10"/>
      <c r="J12" s="9"/>
      <c r="K12" s="139"/>
      <c r="L12" s="126"/>
      <c r="M12" s="126"/>
      <c r="N12" s="126"/>
    </row>
    <row r="13" spans="2:14" ht="15" customHeight="1" x14ac:dyDescent="0.25">
      <c r="B13" s="138"/>
      <c r="C13" s="18" t="s">
        <v>628</v>
      </c>
      <c r="D13" s="11"/>
      <c r="E13" s="11"/>
      <c r="F13" s="11"/>
      <c r="G13" s="9"/>
      <c r="H13" s="9"/>
      <c r="I13" s="10"/>
      <c r="J13" s="9"/>
      <c r="K13" s="139"/>
      <c r="L13" s="126"/>
      <c r="M13" s="126"/>
      <c r="N13" s="126"/>
    </row>
    <row r="14" spans="2:14" ht="21" customHeight="1" x14ac:dyDescent="0.25">
      <c r="B14" s="138"/>
      <c r="C14" s="18" t="s">
        <v>692</v>
      </c>
      <c r="D14" s="11"/>
      <c r="E14" s="11"/>
      <c r="F14" s="11"/>
      <c r="G14" s="9"/>
      <c r="H14" s="9"/>
      <c r="I14" s="10"/>
      <c r="J14" s="9"/>
      <c r="K14" s="139"/>
      <c r="L14" s="126"/>
      <c r="M14" s="126"/>
      <c r="N14" s="126"/>
    </row>
    <row r="15" spans="2:14" x14ac:dyDescent="0.25">
      <c r="B15" s="212"/>
      <c r="C15" s="249" t="s">
        <v>494</v>
      </c>
      <c r="D15" s="249"/>
      <c r="E15" s="249"/>
      <c r="F15" s="209">
        <v>1992</v>
      </c>
      <c r="G15" s="9"/>
      <c r="H15" s="9"/>
      <c r="I15" s="10"/>
      <c r="J15" s="9"/>
      <c r="K15" s="213"/>
      <c r="L15" s="126"/>
      <c r="M15" s="126"/>
      <c r="N15" s="126"/>
    </row>
    <row r="16" spans="2:14" x14ac:dyDescent="0.25">
      <c r="B16" s="212"/>
      <c r="C16" s="249" t="str">
        <f>CONCATENATE("Gross 
Floor Area 
",IF(Setup!$F$9="SI units","(sq m)","(sq ft)"))</f>
        <v>Gross 
Floor Area 
(sq ft)</v>
      </c>
      <c r="D16" s="249"/>
      <c r="E16" s="249"/>
      <c r="F16" s="211">
        <v>12345</v>
      </c>
      <c r="G16" s="11"/>
      <c r="H16" s="11"/>
      <c r="I16" s="12"/>
      <c r="J16" s="11"/>
      <c r="K16" s="139"/>
      <c r="L16" s="126"/>
      <c r="M16" s="126"/>
      <c r="N16" s="126"/>
    </row>
    <row r="17" spans="2:19" x14ac:dyDescent="0.25">
      <c r="B17" s="212"/>
      <c r="C17" s="249" t="s">
        <v>495</v>
      </c>
      <c r="D17" s="249"/>
      <c r="E17" s="249"/>
      <c r="F17" s="210">
        <v>50</v>
      </c>
      <c r="G17" s="11"/>
      <c r="H17" s="11"/>
      <c r="I17" s="12"/>
      <c r="J17" s="11"/>
      <c r="K17" s="213"/>
      <c r="L17" s="126"/>
      <c r="M17" s="126"/>
      <c r="N17" s="126"/>
    </row>
    <row r="18" spans="2:19" x14ac:dyDescent="0.25">
      <c r="B18" s="212"/>
      <c r="C18" s="249" t="s">
        <v>496</v>
      </c>
      <c r="D18" s="249"/>
      <c r="E18" s="249"/>
      <c r="F18" s="210">
        <v>1000</v>
      </c>
      <c r="G18" s="11"/>
      <c r="H18" s="11"/>
      <c r="I18" s="12"/>
      <c r="J18" s="11"/>
      <c r="K18" s="213"/>
      <c r="L18" s="126"/>
      <c r="M18" s="126"/>
      <c r="N18" s="126"/>
    </row>
    <row r="19" spans="2:19" ht="24" customHeight="1" x14ac:dyDescent="0.25">
      <c r="B19" s="138"/>
      <c r="C19" s="11"/>
      <c r="D19" s="11"/>
      <c r="E19" s="11"/>
      <c r="F19" s="214"/>
      <c r="G19" s="11"/>
      <c r="H19" s="11"/>
      <c r="I19" s="12"/>
      <c r="J19" s="11"/>
      <c r="K19" s="139"/>
      <c r="L19" s="126"/>
      <c r="M19" s="126"/>
      <c r="N19" s="126"/>
    </row>
    <row r="20" spans="2:19" ht="30" customHeight="1" x14ac:dyDescent="0.25">
      <c r="B20" s="138"/>
      <c r="C20" s="18" t="s">
        <v>626</v>
      </c>
      <c r="D20" s="11"/>
      <c r="E20" s="11"/>
      <c r="F20" s="11"/>
      <c r="G20" s="11"/>
      <c r="H20" s="11"/>
      <c r="I20" s="12"/>
      <c r="J20" s="11"/>
      <c r="K20" s="139"/>
    </row>
    <row r="21" spans="2:19" x14ac:dyDescent="0.25">
      <c r="B21" s="138"/>
      <c r="C21" s="132" t="s">
        <v>569</v>
      </c>
      <c r="D21" s="123"/>
      <c r="E21" s="124"/>
      <c r="F21" s="122" t="s">
        <v>554</v>
      </c>
      <c r="G21" s="9"/>
      <c r="H21" s="9"/>
      <c r="I21" s="10"/>
      <c r="J21" s="9"/>
      <c r="K21" s="139"/>
    </row>
    <row r="22" spans="2:19" x14ac:dyDescent="0.25">
      <c r="B22" s="138"/>
      <c r="C22" s="125" t="s">
        <v>497</v>
      </c>
      <c r="D22" s="19"/>
      <c r="E22" s="20"/>
      <c r="F22" s="11"/>
      <c r="G22" s="9"/>
      <c r="H22" s="9"/>
      <c r="I22" s="10"/>
      <c r="J22" s="9"/>
      <c r="K22" s="139"/>
    </row>
    <row r="23" spans="2:19" ht="42" customHeight="1" x14ac:dyDescent="0.25">
      <c r="B23" s="138"/>
      <c r="C23" s="11"/>
      <c r="D23" s="9"/>
      <c r="E23" s="11"/>
      <c r="F23" s="11"/>
      <c r="G23" s="9"/>
      <c r="H23" s="9"/>
      <c r="I23" s="10"/>
      <c r="J23" s="9"/>
      <c r="K23" s="139"/>
    </row>
    <row r="24" spans="2:19" x14ac:dyDescent="0.25">
      <c r="B24" s="138"/>
      <c r="C24" s="199"/>
      <c r="D24" s="199"/>
      <c r="E24" s="199"/>
      <c r="F24" s="199"/>
      <c r="G24" s="200"/>
      <c r="H24" s="200"/>
      <c r="I24" s="201"/>
      <c r="J24" s="200"/>
      <c r="K24" s="139"/>
    </row>
    <row r="25" spans="2:19" ht="21" customHeight="1" x14ac:dyDescent="0.25">
      <c r="B25" s="138"/>
      <c r="C25" s="202" t="s">
        <v>627</v>
      </c>
      <c r="D25" s="203"/>
      <c r="E25" s="199"/>
      <c r="F25" s="199"/>
      <c r="G25" s="204"/>
      <c r="H25" s="204"/>
      <c r="I25" s="204"/>
      <c r="J25" s="204"/>
      <c r="K25" s="139"/>
    </row>
    <row r="26" spans="2:19" ht="30.6" customHeight="1" x14ac:dyDescent="0.25">
      <c r="B26" s="138"/>
      <c r="C26" s="250" t="s">
        <v>575</v>
      </c>
      <c r="D26" s="250"/>
      <c r="E26" s="250"/>
      <c r="F26" s="250"/>
      <c r="G26" s="204"/>
      <c r="H26" s="204"/>
      <c r="I26" s="204"/>
      <c r="J26" s="204"/>
      <c r="K26" s="139"/>
      <c r="L26" s="129" t="s">
        <v>6</v>
      </c>
      <c r="M26" s="129" t="s">
        <v>7</v>
      </c>
      <c r="O26" s="127" t="s">
        <v>554</v>
      </c>
      <c r="Q26" s="127" t="s">
        <v>554</v>
      </c>
      <c r="S26" s="217" t="s">
        <v>609</v>
      </c>
    </row>
    <row r="27" spans="2:19" ht="11.25" customHeight="1" x14ac:dyDescent="0.25">
      <c r="B27" s="206"/>
      <c r="C27" s="205"/>
      <c r="D27" s="205"/>
      <c r="E27" s="205"/>
      <c r="F27" s="205"/>
      <c r="G27" s="204"/>
      <c r="H27" s="204"/>
      <c r="I27" s="204"/>
      <c r="J27" s="204"/>
      <c r="K27" s="208"/>
      <c r="L27" s="207" t="s">
        <v>8</v>
      </c>
      <c r="M27" s="129" t="s">
        <v>9</v>
      </c>
      <c r="O27" s="127" t="s">
        <v>546</v>
      </c>
      <c r="Q27" s="127" t="s">
        <v>546</v>
      </c>
      <c r="S27" s="218" t="s">
        <v>636</v>
      </c>
    </row>
    <row r="28" spans="2:19" ht="11.25" customHeight="1" x14ac:dyDescent="0.25">
      <c r="F28" s="128"/>
      <c r="G28" s="128"/>
      <c r="H28" s="128"/>
      <c r="I28" s="128"/>
      <c r="J28" s="128"/>
      <c r="L28" s="129" t="s">
        <v>10</v>
      </c>
      <c r="M28" s="129" t="s">
        <v>11</v>
      </c>
      <c r="O28" s="127" t="s">
        <v>564</v>
      </c>
      <c r="Q28" s="127" t="s">
        <v>564</v>
      </c>
      <c r="S28" s="218" t="s">
        <v>637</v>
      </c>
    </row>
    <row r="29" spans="2:19" ht="11.25" customHeight="1" x14ac:dyDescent="0.25">
      <c r="F29" s="128"/>
      <c r="K29" s="131"/>
      <c r="L29" s="129" t="s">
        <v>12</v>
      </c>
      <c r="M29" s="129" t="s">
        <v>13</v>
      </c>
      <c r="O29" s="127" t="s">
        <v>561</v>
      </c>
      <c r="S29" s="218" t="s">
        <v>638</v>
      </c>
    </row>
    <row r="30" spans="2:19" x14ac:dyDescent="0.25">
      <c r="F30" s="128"/>
      <c r="K30" s="131"/>
      <c r="L30" s="129" t="s">
        <v>14</v>
      </c>
      <c r="M30" s="129" t="s">
        <v>15</v>
      </c>
      <c r="O30" s="127" t="s">
        <v>563</v>
      </c>
      <c r="S30" s="218" t="s">
        <v>639</v>
      </c>
    </row>
    <row r="31" spans="2:19" x14ac:dyDescent="0.25">
      <c r="F31" s="128"/>
      <c r="K31" s="140" t="s">
        <v>708</v>
      </c>
      <c r="L31" s="129" t="s">
        <v>16</v>
      </c>
      <c r="M31" s="129" t="s">
        <v>17</v>
      </c>
      <c r="O31" s="127" t="s">
        <v>562</v>
      </c>
      <c r="S31" s="218" t="s">
        <v>640</v>
      </c>
    </row>
    <row r="32" spans="2:19" x14ac:dyDescent="0.25">
      <c r="K32" s="140" t="s">
        <v>631</v>
      </c>
      <c r="L32" s="129" t="s">
        <v>18</v>
      </c>
      <c r="M32" s="129" t="s">
        <v>19</v>
      </c>
      <c r="S32" s="218" t="s">
        <v>641</v>
      </c>
    </row>
    <row r="33" spans="11:19" x14ac:dyDescent="0.25">
      <c r="K33" s="140" t="s">
        <v>573</v>
      </c>
      <c r="L33" s="129" t="s">
        <v>20</v>
      </c>
      <c r="M33" s="129" t="s">
        <v>21</v>
      </c>
      <c r="S33" s="218" t="s">
        <v>642</v>
      </c>
    </row>
    <row r="34" spans="11:19" x14ac:dyDescent="0.25">
      <c r="K34" s="140" t="s">
        <v>574</v>
      </c>
      <c r="L34" s="129" t="s">
        <v>22</v>
      </c>
      <c r="M34" s="129" t="s">
        <v>23</v>
      </c>
      <c r="S34" s="218" t="s">
        <v>643</v>
      </c>
    </row>
    <row r="35" spans="11:19" x14ac:dyDescent="0.25">
      <c r="L35" s="129" t="s">
        <v>24</v>
      </c>
      <c r="M35" s="129" t="s">
        <v>25</v>
      </c>
      <c r="S35" s="218" t="s">
        <v>644</v>
      </c>
    </row>
    <row r="36" spans="11:19" x14ac:dyDescent="0.25">
      <c r="L36" s="129" t="s">
        <v>26</v>
      </c>
      <c r="M36" s="129" t="s">
        <v>27</v>
      </c>
      <c r="S36" s="218" t="s">
        <v>645</v>
      </c>
    </row>
    <row r="37" spans="11:19" x14ac:dyDescent="0.25">
      <c r="L37" s="129" t="s">
        <v>28</v>
      </c>
      <c r="M37" s="129" t="s">
        <v>29</v>
      </c>
      <c r="S37" s="218" t="s">
        <v>646</v>
      </c>
    </row>
    <row r="38" spans="11:19" x14ac:dyDescent="0.25">
      <c r="L38" s="129" t="s">
        <v>30</v>
      </c>
      <c r="M38" s="129" t="s">
        <v>31</v>
      </c>
      <c r="S38" s="218" t="s">
        <v>647</v>
      </c>
    </row>
    <row r="39" spans="11:19" x14ac:dyDescent="0.25">
      <c r="L39" s="129" t="s">
        <v>32</v>
      </c>
      <c r="M39" s="129" t="s">
        <v>33</v>
      </c>
      <c r="S39" s="218" t="s">
        <v>648</v>
      </c>
    </row>
    <row r="40" spans="11:19" x14ac:dyDescent="0.25">
      <c r="L40" s="129" t="s">
        <v>34</v>
      </c>
      <c r="M40" s="129" t="s">
        <v>35</v>
      </c>
      <c r="S40" s="218" t="s">
        <v>649</v>
      </c>
    </row>
    <row r="41" spans="11:19" x14ac:dyDescent="0.25">
      <c r="L41" s="129" t="s">
        <v>36</v>
      </c>
      <c r="M41" s="129" t="s">
        <v>37</v>
      </c>
      <c r="S41" s="218" t="s">
        <v>650</v>
      </c>
    </row>
    <row r="42" spans="11:19" x14ac:dyDescent="0.25">
      <c r="L42" s="129" t="s">
        <v>38</v>
      </c>
      <c r="M42" s="129" t="s">
        <v>39</v>
      </c>
      <c r="S42" s="218" t="s">
        <v>651</v>
      </c>
    </row>
    <row r="43" spans="11:19" x14ac:dyDescent="0.25">
      <c r="L43" s="129" t="s">
        <v>40</v>
      </c>
      <c r="M43" s="129" t="s">
        <v>41</v>
      </c>
      <c r="S43" s="218" t="s">
        <v>652</v>
      </c>
    </row>
    <row r="44" spans="11:19" x14ac:dyDescent="0.25">
      <c r="L44" s="129" t="s">
        <v>42</v>
      </c>
      <c r="M44" s="129" t="s">
        <v>43</v>
      </c>
      <c r="S44" s="218" t="s">
        <v>653</v>
      </c>
    </row>
    <row r="45" spans="11:19" x14ac:dyDescent="0.25">
      <c r="L45" s="129" t="s">
        <v>44</v>
      </c>
      <c r="M45" s="129" t="s">
        <v>45</v>
      </c>
      <c r="S45" s="218" t="s">
        <v>654</v>
      </c>
    </row>
    <row r="46" spans="11:19" x14ac:dyDescent="0.25">
      <c r="L46" s="129" t="s">
        <v>46</v>
      </c>
      <c r="M46" s="129" t="s">
        <v>47</v>
      </c>
      <c r="S46" s="218" t="s">
        <v>655</v>
      </c>
    </row>
    <row r="47" spans="11:19" x14ac:dyDescent="0.25">
      <c r="L47" s="129" t="s">
        <v>48</v>
      </c>
      <c r="M47" s="129" t="s">
        <v>49</v>
      </c>
      <c r="S47" s="218" t="s">
        <v>656</v>
      </c>
    </row>
    <row r="48" spans="11:19" x14ac:dyDescent="0.25">
      <c r="L48" s="129" t="s">
        <v>50</v>
      </c>
      <c r="M48" s="129" t="s">
        <v>51</v>
      </c>
      <c r="S48" s="218" t="s">
        <v>657</v>
      </c>
    </row>
    <row r="49" spans="12:19" x14ac:dyDescent="0.25">
      <c r="L49" s="129" t="s">
        <v>52</v>
      </c>
      <c r="M49" s="129" t="s">
        <v>53</v>
      </c>
      <c r="S49" s="218" t="s">
        <v>658</v>
      </c>
    </row>
    <row r="50" spans="12:19" x14ac:dyDescent="0.25">
      <c r="L50" s="129" t="s">
        <v>54</v>
      </c>
      <c r="M50" s="129" t="s">
        <v>55</v>
      </c>
      <c r="S50" s="218" t="s">
        <v>659</v>
      </c>
    </row>
    <row r="51" spans="12:19" x14ac:dyDescent="0.25">
      <c r="L51" s="129" t="s">
        <v>56</v>
      </c>
      <c r="M51" s="129" t="s">
        <v>57</v>
      </c>
      <c r="S51" s="218" t="s">
        <v>660</v>
      </c>
    </row>
    <row r="52" spans="12:19" x14ac:dyDescent="0.25">
      <c r="L52" s="129" t="s">
        <v>58</v>
      </c>
      <c r="M52" s="129" t="s">
        <v>59</v>
      </c>
      <c r="S52" s="218" t="s">
        <v>661</v>
      </c>
    </row>
    <row r="53" spans="12:19" x14ac:dyDescent="0.25">
      <c r="L53" s="129" t="s">
        <v>60</v>
      </c>
      <c r="M53" s="129" t="s">
        <v>61</v>
      </c>
      <c r="S53" s="218" t="s">
        <v>662</v>
      </c>
    </row>
    <row r="54" spans="12:19" x14ac:dyDescent="0.25">
      <c r="L54" s="129" t="s">
        <v>62</v>
      </c>
      <c r="M54" s="129" t="s">
        <v>63</v>
      </c>
      <c r="S54" s="218" t="s">
        <v>663</v>
      </c>
    </row>
    <row r="55" spans="12:19" x14ac:dyDescent="0.25">
      <c r="L55" s="129" t="s">
        <v>64</v>
      </c>
      <c r="M55" s="129" t="s">
        <v>65</v>
      </c>
      <c r="S55" s="218" t="s">
        <v>664</v>
      </c>
    </row>
    <row r="56" spans="12:19" x14ac:dyDescent="0.25">
      <c r="L56" s="129" t="s">
        <v>66</v>
      </c>
      <c r="M56" s="129" t="s">
        <v>67</v>
      </c>
      <c r="S56" s="218" t="s">
        <v>665</v>
      </c>
    </row>
    <row r="57" spans="12:19" x14ac:dyDescent="0.25">
      <c r="L57" s="129" t="s">
        <v>68</v>
      </c>
      <c r="M57" s="129" t="s">
        <v>69</v>
      </c>
      <c r="S57" s="218" t="s">
        <v>666</v>
      </c>
    </row>
    <row r="58" spans="12:19" x14ac:dyDescent="0.25">
      <c r="L58" s="129" t="s">
        <v>70</v>
      </c>
      <c r="M58" s="129" t="s">
        <v>71</v>
      </c>
      <c r="S58" s="218" t="s">
        <v>667</v>
      </c>
    </row>
    <row r="59" spans="12:19" x14ac:dyDescent="0.25">
      <c r="L59" s="129" t="s">
        <v>72</v>
      </c>
      <c r="M59" s="129" t="s">
        <v>73</v>
      </c>
      <c r="S59" s="218" t="s">
        <v>668</v>
      </c>
    </row>
    <row r="60" spans="12:19" x14ac:dyDescent="0.25">
      <c r="L60" s="129" t="s">
        <v>74</v>
      </c>
      <c r="M60" s="129" t="s">
        <v>75</v>
      </c>
      <c r="S60" s="218" t="s">
        <v>669</v>
      </c>
    </row>
    <row r="61" spans="12:19" x14ac:dyDescent="0.25">
      <c r="L61" s="129" t="s">
        <v>76</v>
      </c>
      <c r="M61" s="129" t="s">
        <v>77</v>
      </c>
      <c r="S61" s="218" t="s">
        <v>670</v>
      </c>
    </row>
    <row r="62" spans="12:19" x14ac:dyDescent="0.25">
      <c r="L62" s="129" t="s">
        <v>78</v>
      </c>
      <c r="M62" s="129" t="s">
        <v>79</v>
      </c>
      <c r="S62" s="218" t="s">
        <v>671</v>
      </c>
    </row>
    <row r="63" spans="12:19" x14ac:dyDescent="0.25">
      <c r="L63" s="129" t="s">
        <v>80</v>
      </c>
      <c r="M63" s="129" t="s">
        <v>81</v>
      </c>
      <c r="S63" s="218" t="s">
        <v>672</v>
      </c>
    </row>
    <row r="64" spans="12:19" x14ac:dyDescent="0.25">
      <c r="L64" s="129" t="s">
        <v>82</v>
      </c>
      <c r="M64" s="129" t="s">
        <v>83</v>
      </c>
      <c r="S64" s="218" t="s">
        <v>673</v>
      </c>
    </row>
    <row r="65" spans="12:19" x14ac:dyDescent="0.25">
      <c r="L65" s="129" t="s">
        <v>84</v>
      </c>
      <c r="M65" s="129" t="s">
        <v>85</v>
      </c>
      <c r="S65" s="218" t="s">
        <v>674</v>
      </c>
    </row>
    <row r="66" spans="12:19" x14ac:dyDescent="0.25">
      <c r="L66" s="129" t="s">
        <v>86</v>
      </c>
      <c r="M66" s="129" t="s">
        <v>87</v>
      </c>
      <c r="S66" s="218" t="s">
        <v>675</v>
      </c>
    </row>
    <row r="67" spans="12:19" x14ac:dyDescent="0.25">
      <c r="L67" s="129" t="s">
        <v>88</v>
      </c>
      <c r="M67" s="129" t="s">
        <v>89</v>
      </c>
      <c r="S67" s="218" t="s">
        <v>676</v>
      </c>
    </row>
    <row r="68" spans="12:19" x14ac:dyDescent="0.25">
      <c r="L68" s="129" t="s">
        <v>90</v>
      </c>
      <c r="M68" s="129" t="s">
        <v>91</v>
      </c>
      <c r="S68" s="218" t="s">
        <v>677</v>
      </c>
    </row>
    <row r="69" spans="12:19" x14ac:dyDescent="0.25">
      <c r="L69" s="129" t="s">
        <v>92</v>
      </c>
      <c r="M69" s="129" t="s">
        <v>93</v>
      </c>
      <c r="S69" s="218" t="s">
        <v>678</v>
      </c>
    </row>
    <row r="70" spans="12:19" x14ac:dyDescent="0.25">
      <c r="L70" s="129" t="s">
        <v>94</v>
      </c>
      <c r="M70" s="129" t="s">
        <v>95</v>
      </c>
      <c r="S70" s="218" t="s">
        <v>679</v>
      </c>
    </row>
    <row r="71" spans="12:19" x14ac:dyDescent="0.25">
      <c r="L71" s="129" t="s">
        <v>96</v>
      </c>
      <c r="M71" s="129" t="s">
        <v>97</v>
      </c>
      <c r="S71" s="218" t="s">
        <v>680</v>
      </c>
    </row>
    <row r="72" spans="12:19" x14ac:dyDescent="0.25">
      <c r="L72" s="129" t="s">
        <v>98</v>
      </c>
      <c r="M72" s="129" t="s">
        <v>99</v>
      </c>
      <c r="S72" s="218" t="s">
        <v>681</v>
      </c>
    </row>
    <row r="73" spans="12:19" x14ac:dyDescent="0.25">
      <c r="L73" s="129" t="s">
        <v>100</v>
      </c>
      <c r="M73" s="129" t="s">
        <v>101</v>
      </c>
      <c r="S73" s="218" t="s">
        <v>682</v>
      </c>
    </row>
    <row r="74" spans="12:19" x14ac:dyDescent="0.25">
      <c r="L74" s="129" t="s">
        <v>102</v>
      </c>
      <c r="M74" s="129" t="s">
        <v>103</v>
      </c>
      <c r="S74" s="218" t="s">
        <v>683</v>
      </c>
    </row>
    <row r="75" spans="12:19" x14ac:dyDescent="0.25">
      <c r="L75" s="129" t="s">
        <v>104</v>
      </c>
      <c r="M75" s="129" t="s">
        <v>105</v>
      </c>
      <c r="S75" s="218" t="s">
        <v>684</v>
      </c>
    </row>
    <row r="76" spans="12:19" x14ac:dyDescent="0.25">
      <c r="L76" s="129" t="s">
        <v>106</v>
      </c>
      <c r="M76" s="129" t="s">
        <v>107</v>
      </c>
      <c r="S76" s="218" t="s">
        <v>685</v>
      </c>
    </row>
    <row r="77" spans="12:19" x14ac:dyDescent="0.25">
      <c r="L77" s="129" t="s">
        <v>108</v>
      </c>
      <c r="M77" s="129" t="s">
        <v>109</v>
      </c>
      <c r="S77" s="218" t="s">
        <v>686</v>
      </c>
    </row>
    <row r="78" spans="12:19" x14ac:dyDescent="0.25">
      <c r="L78" s="129" t="s">
        <v>110</v>
      </c>
      <c r="M78" s="129" t="s">
        <v>111</v>
      </c>
      <c r="S78" s="218" t="s">
        <v>687</v>
      </c>
    </row>
    <row r="79" spans="12:19" x14ac:dyDescent="0.25">
      <c r="L79" s="129" t="s">
        <v>112</v>
      </c>
      <c r="M79" s="129" t="s">
        <v>113</v>
      </c>
      <c r="S79" s="218" t="s">
        <v>688</v>
      </c>
    </row>
    <row r="80" spans="12:19" x14ac:dyDescent="0.25">
      <c r="L80" s="129" t="s">
        <v>114</v>
      </c>
      <c r="M80" s="129" t="s">
        <v>115</v>
      </c>
      <c r="S80" s="218" t="s">
        <v>689</v>
      </c>
    </row>
    <row r="81" spans="12:19" x14ac:dyDescent="0.25">
      <c r="L81" s="129" t="s">
        <v>116</v>
      </c>
      <c r="M81" s="129" t="s">
        <v>117</v>
      </c>
      <c r="S81" s="218" t="s">
        <v>690</v>
      </c>
    </row>
    <row r="82" spans="12:19" x14ac:dyDescent="0.25">
      <c r="L82" s="129" t="s">
        <v>118</v>
      </c>
      <c r="M82" s="129" t="s">
        <v>119</v>
      </c>
      <c r="S82" s="218" t="s">
        <v>691</v>
      </c>
    </row>
    <row r="83" spans="12:19" x14ac:dyDescent="0.25">
      <c r="L83" s="129" t="s">
        <v>120</v>
      </c>
      <c r="M83" s="129" t="s">
        <v>121</v>
      </c>
    </row>
    <row r="84" spans="12:19" x14ac:dyDescent="0.25">
      <c r="L84" s="129" t="s">
        <v>122</v>
      </c>
      <c r="M84" s="129" t="s">
        <v>123</v>
      </c>
    </row>
    <row r="85" spans="12:19" x14ac:dyDescent="0.25">
      <c r="L85" s="129" t="s">
        <v>124</v>
      </c>
      <c r="M85" s="129" t="s">
        <v>125</v>
      </c>
    </row>
    <row r="86" spans="12:19" x14ac:dyDescent="0.25">
      <c r="L86" s="129" t="s">
        <v>126</v>
      </c>
      <c r="M86" s="129" t="s">
        <v>127</v>
      </c>
    </row>
    <row r="87" spans="12:19" x14ac:dyDescent="0.25">
      <c r="L87" s="129" t="s">
        <v>128</v>
      </c>
      <c r="M87" s="129" t="s">
        <v>129</v>
      </c>
    </row>
    <row r="88" spans="12:19" x14ac:dyDescent="0.25">
      <c r="L88" s="129" t="s">
        <v>130</v>
      </c>
      <c r="M88" s="129" t="s">
        <v>131</v>
      </c>
    </row>
    <row r="89" spans="12:19" x14ac:dyDescent="0.25">
      <c r="L89" s="129" t="s">
        <v>132</v>
      </c>
      <c r="M89" s="129" t="s">
        <v>133</v>
      </c>
    </row>
    <row r="90" spans="12:19" x14ac:dyDescent="0.25">
      <c r="L90" s="129" t="s">
        <v>134</v>
      </c>
      <c r="M90" s="129" t="s">
        <v>135</v>
      </c>
    </row>
    <row r="91" spans="12:19" x14ac:dyDescent="0.25">
      <c r="L91" s="129" t="s">
        <v>136</v>
      </c>
      <c r="M91" s="129" t="s">
        <v>137</v>
      </c>
    </row>
    <row r="92" spans="12:19" x14ac:dyDescent="0.25">
      <c r="L92" s="129" t="s">
        <v>138</v>
      </c>
      <c r="M92" s="129" t="s">
        <v>139</v>
      </c>
    </row>
    <row r="93" spans="12:19" x14ac:dyDescent="0.25">
      <c r="L93" s="129" t="s">
        <v>140</v>
      </c>
      <c r="M93" s="129" t="s">
        <v>141</v>
      </c>
    </row>
    <row r="94" spans="12:19" x14ac:dyDescent="0.25">
      <c r="L94" s="129" t="s">
        <v>142</v>
      </c>
      <c r="M94" s="129" t="s">
        <v>143</v>
      </c>
    </row>
    <row r="95" spans="12:19" x14ac:dyDescent="0.25">
      <c r="L95" s="129" t="s">
        <v>144</v>
      </c>
      <c r="M95" s="129" t="s">
        <v>145</v>
      </c>
    </row>
    <row r="96" spans="12:19" x14ac:dyDescent="0.25">
      <c r="L96" s="129" t="s">
        <v>146</v>
      </c>
      <c r="M96" s="129" t="s">
        <v>147</v>
      </c>
    </row>
    <row r="97" spans="12:13" x14ac:dyDescent="0.25">
      <c r="L97" s="129" t="s">
        <v>148</v>
      </c>
      <c r="M97" s="129" t="s">
        <v>149</v>
      </c>
    </row>
    <row r="98" spans="12:13" x14ac:dyDescent="0.25">
      <c r="L98" s="129" t="s">
        <v>150</v>
      </c>
      <c r="M98" s="129" t="s">
        <v>151</v>
      </c>
    </row>
    <row r="99" spans="12:13" x14ac:dyDescent="0.25">
      <c r="L99" s="129" t="s">
        <v>152</v>
      </c>
      <c r="M99" s="129" t="s">
        <v>153</v>
      </c>
    </row>
    <row r="100" spans="12:13" x14ac:dyDescent="0.25">
      <c r="L100" s="129" t="s">
        <v>154</v>
      </c>
      <c r="M100" s="129" t="s">
        <v>155</v>
      </c>
    </row>
    <row r="101" spans="12:13" x14ac:dyDescent="0.25">
      <c r="L101" s="129" t="s">
        <v>156</v>
      </c>
      <c r="M101" s="129" t="s">
        <v>157</v>
      </c>
    </row>
    <row r="102" spans="12:13" x14ac:dyDescent="0.25">
      <c r="L102" s="129" t="s">
        <v>158</v>
      </c>
      <c r="M102" s="129" t="s">
        <v>159</v>
      </c>
    </row>
    <row r="103" spans="12:13" x14ac:dyDescent="0.25">
      <c r="L103" s="129" t="s">
        <v>160</v>
      </c>
      <c r="M103" s="129" t="s">
        <v>161</v>
      </c>
    </row>
    <row r="104" spans="12:13" x14ac:dyDescent="0.25">
      <c r="L104" s="129" t="s">
        <v>162</v>
      </c>
      <c r="M104" s="129" t="s">
        <v>163</v>
      </c>
    </row>
    <row r="105" spans="12:13" x14ac:dyDescent="0.25">
      <c r="L105" s="129" t="s">
        <v>164</v>
      </c>
      <c r="M105" s="129" t="s">
        <v>165</v>
      </c>
    </row>
    <row r="106" spans="12:13" x14ac:dyDescent="0.25">
      <c r="L106" s="129" t="s">
        <v>166</v>
      </c>
      <c r="M106" s="129" t="s">
        <v>167</v>
      </c>
    </row>
    <row r="107" spans="12:13" x14ac:dyDescent="0.25">
      <c r="L107" s="129" t="s">
        <v>168</v>
      </c>
      <c r="M107" s="129" t="s">
        <v>169</v>
      </c>
    </row>
    <row r="108" spans="12:13" x14ac:dyDescent="0.25">
      <c r="L108" s="129" t="s">
        <v>170</v>
      </c>
      <c r="M108" s="129" t="s">
        <v>171</v>
      </c>
    </row>
    <row r="109" spans="12:13" x14ac:dyDescent="0.25">
      <c r="L109" s="129" t="s">
        <v>172</v>
      </c>
      <c r="M109" s="129" t="s">
        <v>173</v>
      </c>
    </row>
    <row r="110" spans="12:13" x14ac:dyDescent="0.25">
      <c r="L110" s="129" t="s">
        <v>174</v>
      </c>
      <c r="M110" s="129" t="s">
        <v>175</v>
      </c>
    </row>
    <row r="111" spans="12:13" x14ac:dyDescent="0.25">
      <c r="L111" s="129" t="s">
        <v>176</v>
      </c>
      <c r="M111" s="129" t="s">
        <v>177</v>
      </c>
    </row>
    <row r="112" spans="12:13" x14ac:dyDescent="0.25">
      <c r="L112" s="129" t="s">
        <v>178</v>
      </c>
      <c r="M112" s="129" t="s">
        <v>179</v>
      </c>
    </row>
    <row r="113" spans="12:13" x14ac:dyDescent="0.25">
      <c r="L113" s="129" t="s">
        <v>180</v>
      </c>
      <c r="M113" s="129" t="s">
        <v>181</v>
      </c>
    </row>
    <row r="114" spans="12:13" x14ac:dyDescent="0.25">
      <c r="L114" s="129" t="s">
        <v>182</v>
      </c>
      <c r="M114" s="129" t="s">
        <v>183</v>
      </c>
    </row>
    <row r="115" spans="12:13" x14ac:dyDescent="0.25">
      <c r="L115" s="129" t="s">
        <v>184</v>
      </c>
      <c r="M115" s="129" t="s">
        <v>185</v>
      </c>
    </row>
    <row r="116" spans="12:13" x14ac:dyDescent="0.25">
      <c r="L116" s="129" t="s">
        <v>186</v>
      </c>
      <c r="M116" s="129" t="s">
        <v>187</v>
      </c>
    </row>
    <row r="117" spans="12:13" x14ac:dyDescent="0.25">
      <c r="L117" s="129" t="s">
        <v>188</v>
      </c>
      <c r="M117" s="129" t="s">
        <v>189</v>
      </c>
    </row>
    <row r="118" spans="12:13" x14ac:dyDescent="0.25">
      <c r="L118" s="129" t="s">
        <v>190</v>
      </c>
      <c r="M118" s="129" t="s">
        <v>191</v>
      </c>
    </row>
    <row r="119" spans="12:13" x14ac:dyDescent="0.25">
      <c r="L119" s="129" t="s">
        <v>192</v>
      </c>
      <c r="M119" s="129" t="s">
        <v>193</v>
      </c>
    </row>
    <row r="120" spans="12:13" x14ac:dyDescent="0.25">
      <c r="L120" s="129" t="s">
        <v>194</v>
      </c>
      <c r="M120" s="129" t="s">
        <v>195</v>
      </c>
    </row>
    <row r="121" spans="12:13" x14ac:dyDescent="0.25">
      <c r="L121" s="129" t="s">
        <v>196</v>
      </c>
      <c r="M121" s="129" t="s">
        <v>197</v>
      </c>
    </row>
    <row r="122" spans="12:13" x14ac:dyDescent="0.25">
      <c r="L122" s="129" t="s">
        <v>198</v>
      </c>
      <c r="M122" s="129" t="s">
        <v>199</v>
      </c>
    </row>
    <row r="123" spans="12:13" x14ac:dyDescent="0.25">
      <c r="L123" s="129" t="s">
        <v>200</v>
      </c>
      <c r="M123" s="129" t="s">
        <v>201</v>
      </c>
    </row>
    <row r="124" spans="12:13" x14ac:dyDescent="0.25">
      <c r="L124" s="129" t="s">
        <v>202</v>
      </c>
      <c r="M124" s="129" t="s">
        <v>203</v>
      </c>
    </row>
    <row r="125" spans="12:13" x14ac:dyDescent="0.25">
      <c r="L125" s="129" t="s">
        <v>204</v>
      </c>
      <c r="M125" s="129" t="s">
        <v>205</v>
      </c>
    </row>
    <row r="126" spans="12:13" x14ac:dyDescent="0.25">
      <c r="L126" s="129" t="s">
        <v>206</v>
      </c>
      <c r="M126" s="129" t="s">
        <v>207</v>
      </c>
    </row>
    <row r="127" spans="12:13" x14ac:dyDescent="0.25">
      <c r="L127" s="129" t="s">
        <v>208</v>
      </c>
      <c r="M127" s="129" t="s">
        <v>209</v>
      </c>
    </row>
    <row r="128" spans="12:13" x14ac:dyDescent="0.25">
      <c r="L128" s="129" t="s">
        <v>210</v>
      </c>
      <c r="M128" s="129" t="s">
        <v>211</v>
      </c>
    </row>
    <row r="129" spans="12:13" x14ac:dyDescent="0.25">
      <c r="L129" s="129" t="s">
        <v>212</v>
      </c>
      <c r="M129" s="129" t="s">
        <v>213</v>
      </c>
    </row>
    <row r="130" spans="12:13" x14ac:dyDescent="0.25">
      <c r="L130" s="129" t="s">
        <v>214</v>
      </c>
      <c r="M130" s="129" t="s">
        <v>215</v>
      </c>
    </row>
    <row r="131" spans="12:13" x14ac:dyDescent="0.25">
      <c r="L131" s="129" t="s">
        <v>216</v>
      </c>
      <c r="M131" s="129" t="s">
        <v>217</v>
      </c>
    </row>
    <row r="132" spans="12:13" x14ac:dyDescent="0.25">
      <c r="L132" s="129" t="s">
        <v>218</v>
      </c>
      <c r="M132" s="129" t="s">
        <v>219</v>
      </c>
    </row>
    <row r="133" spans="12:13" x14ac:dyDescent="0.25">
      <c r="L133" s="129" t="s">
        <v>220</v>
      </c>
      <c r="M133" s="129" t="s">
        <v>221</v>
      </c>
    </row>
    <row r="134" spans="12:13" x14ac:dyDescent="0.25">
      <c r="L134" s="129" t="s">
        <v>222</v>
      </c>
      <c r="M134" s="129" t="s">
        <v>223</v>
      </c>
    </row>
    <row r="135" spans="12:13" x14ac:dyDescent="0.25">
      <c r="L135" s="129" t="s">
        <v>224</v>
      </c>
      <c r="M135" s="129" t="s">
        <v>225</v>
      </c>
    </row>
    <row r="136" spans="12:13" x14ac:dyDescent="0.25">
      <c r="L136" s="129" t="s">
        <v>226</v>
      </c>
      <c r="M136" s="129" t="s">
        <v>227</v>
      </c>
    </row>
    <row r="137" spans="12:13" x14ac:dyDescent="0.25">
      <c r="L137" s="129" t="s">
        <v>228</v>
      </c>
      <c r="M137" s="129" t="s">
        <v>229</v>
      </c>
    </row>
    <row r="138" spans="12:13" x14ac:dyDescent="0.25">
      <c r="L138" s="129" t="s">
        <v>230</v>
      </c>
      <c r="M138" s="129" t="s">
        <v>231</v>
      </c>
    </row>
    <row r="139" spans="12:13" x14ac:dyDescent="0.25">
      <c r="L139" s="129" t="s">
        <v>232</v>
      </c>
      <c r="M139" s="129" t="s">
        <v>233</v>
      </c>
    </row>
    <row r="140" spans="12:13" x14ac:dyDescent="0.25">
      <c r="L140" s="129" t="s">
        <v>234</v>
      </c>
      <c r="M140" s="129" t="s">
        <v>235</v>
      </c>
    </row>
    <row r="141" spans="12:13" x14ac:dyDescent="0.25">
      <c r="L141" s="129" t="s">
        <v>236</v>
      </c>
      <c r="M141" s="129" t="s">
        <v>237</v>
      </c>
    </row>
    <row r="142" spans="12:13" x14ac:dyDescent="0.25">
      <c r="L142" s="129" t="s">
        <v>238</v>
      </c>
      <c r="M142" s="129" t="s">
        <v>239</v>
      </c>
    </row>
    <row r="143" spans="12:13" x14ac:dyDescent="0.25">
      <c r="L143" s="129" t="s">
        <v>240</v>
      </c>
      <c r="M143" s="129" t="s">
        <v>241</v>
      </c>
    </row>
    <row r="144" spans="12:13" x14ac:dyDescent="0.25">
      <c r="L144" s="129" t="s">
        <v>242</v>
      </c>
      <c r="M144" s="129" t="s">
        <v>243</v>
      </c>
    </row>
    <row r="145" spans="12:13" x14ac:dyDescent="0.25">
      <c r="L145" s="129" t="s">
        <v>244</v>
      </c>
      <c r="M145" s="129" t="s">
        <v>245</v>
      </c>
    </row>
    <row r="146" spans="12:13" x14ac:dyDescent="0.25">
      <c r="L146" s="129" t="s">
        <v>246</v>
      </c>
      <c r="M146" s="129" t="s">
        <v>247</v>
      </c>
    </row>
    <row r="147" spans="12:13" x14ac:dyDescent="0.25">
      <c r="L147" s="129" t="s">
        <v>248</v>
      </c>
      <c r="M147" s="129" t="s">
        <v>249</v>
      </c>
    </row>
    <row r="148" spans="12:13" x14ac:dyDescent="0.25">
      <c r="L148" s="129" t="s">
        <v>250</v>
      </c>
      <c r="M148" s="129" t="s">
        <v>251</v>
      </c>
    </row>
    <row r="149" spans="12:13" x14ac:dyDescent="0.25">
      <c r="L149" s="129" t="s">
        <v>252</v>
      </c>
      <c r="M149" s="129" t="s">
        <v>253</v>
      </c>
    </row>
    <row r="150" spans="12:13" x14ac:dyDescent="0.25">
      <c r="L150" s="129" t="s">
        <v>254</v>
      </c>
      <c r="M150" s="129" t="s">
        <v>255</v>
      </c>
    </row>
    <row r="151" spans="12:13" x14ac:dyDescent="0.25">
      <c r="L151" s="129" t="s">
        <v>256</v>
      </c>
      <c r="M151" s="129" t="s">
        <v>257</v>
      </c>
    </row>
    <row r="152" spans="12:13" x14ac:dyDescent="0.25">
      <c r="L152" s="129" t="s">
        <v>258</v>
      </c>
      <c r="M152" s="129" t="s">
        <v>259</v>
      </c>
    </row>
    <row r="153" spans="12:13" x14ac:dyDescent="0.25">
      <c r="L153" s="129" t="s">
        <v>260</v>
      </c>
      <c r="M153" s="129" t="s">
        <v>261</v>
      </c>
    </row>
    <row r="154" spans="12:13" x14ac:dyDescent="0.25">
      <c r="L154" s="129" t="s">
        <v>262</v>
      </c>
      <c r="M154" s="129" t="s">
        <v>263</v>
      </c>
    </row>
    <row r="155" spans="12:13" x14ac:dyDescent="0.25">
      <c r="L155" s="129" t="s">
        <v>264</v>
      </c>
      <c r="M155" s="129" t="s">
        <v>265</v>
      </c>
    </row>
    <row r="156" spans="12:13" x14ac:dyDescent="0.25">
      <c r="L156" s="129" t="s">
        <v>266</v>
      </c>
      <c r="M156" s="129" t="s">
        <v>267</v>
      </c>
    </row>
    <row r="157" spans="12:13" x14ac:dyDescent="0.25">
      <c r="L157" s="129" t="s">
        <v>268</v>
      </c>
      <c r="M157" s="129" t="s">
        <v>269</v>
      </c>
    </row>
    <row r="158" spans="12:13" x14ac:dyDescent="0.25">
      <c r="L158" s="129" t="s">
        <v>270</v>
      </c>
      <c r="M158" s="129" t="s">
        <v>271</v>
      </c>
    </row>
    <row r="159" spans="12:13" x14ac:dyDescent="0.25">
      <c r="L159" s="129" t="s">
        <v>272</v>
      </c>
      <c r="M159" s="129" t="s">
        <v>273</v>
      </c>
    </row>
    <row r="160" spans="12:13" x14ac:dyDescent="0.25">
      <c r="L160" s="129" t="s">
        <v>274</v>
      </c>
      <c r="M160" s="129" t="s">
        <v>275</v>
      </c>
    </row>
    <row r="161" spans="12:13" x14ac:dyDescent="0.25">
      <c r="L161" s="129" t="s">
        <v>276</v>
      </c>
      <c r="M161" s="129" t="s">
        <v>277</v>
      </c>
    </row>
    <row r="162" spans="12:13" x14ac:dyDescent="0.25">
      <c r="L162" s="129" t="s">
        <v>278</v>
      </c>
      <c r="M162" s="129" t="s">
        <v>279</v>
      </c>
    </row>
    <row r="163" spans="12:13" x14ac:dyDescent="0.25">
      <c r="L163" s="129" t="s">
        <v>280</v>
      </c>
      <c r="M163" s="129" t="s">
        <v>281</v>
      </c>
    </row>
    <row r="164" spans="12:13" x14ac:dyDescent="0.25">
      <c r="L164" s="129" t="s">
        <v>282</v>
      </c>
      <c r="M164" s="129" t="s">
        <v>283</v>
      </c>
    </row>
    <row r="165" spans="12:13" x14ac:dyDescent="0.25">
      <c r="L165" s="129" t="s">
        <v>284</v>
      </c>
      <c r="M165" s="129" t="s">
        <v>285</v>
      </c>
    </row>
    <row r="166" spans="12:13" x14ac:dyDescent="0.25">
      <c r="L166" s="129" t="s">
        <v>286</v>
      </c>
      <c r="M166" s="129" t="s">
        <v>287</v>
      </c>
    </row>
    <row r="167" spans="12:13" x14ac:dyDescent="0.25">
      <c r="L167" s="129" t="s">
        <v>288</v>
      </c>
      <c r="M167" s="129" t="s">
        <v>289</v>
      </c>
    </row>
    <row r="168" spans="12:13" x14ac:dyDescent="0.25">
      <c r="L168" s="129" t="s">
        <v>290</v>
      </c>
      <c r="M168" s="129" t="s">
        <v>291</v>
      </c>
    </row>
    <row r="169" spans="12:13" x14ac:dyDescent="0.25">
      <c r="L169" s="129" t="s">
        <v>292</v>
      </c>
      <c r="M169" s="129" t="s">
        <v>293</v>
      </c>
    </row>
    <row r="170" spans="12:13" x14ac:dyDescent="0.25">
      <c r="L170" s="129" t="s">
        <v>294</v>
      </c>
      <c r="M170" s="129" t="s">
        <v>295</v>
      </c>
    </row>
    <row r="171" spans="12:13" x14ac:dyDescent="0.25">
      <c r="L171" s="129" t="s">
        <v>296</v>
      </c>
      <c r="M171" s="129" t="s">
        <v>297</v>
      </c>
    </row>
    <row r="172" spans="12:13" x14ac:dyDescent="0.25">
      <c r="L172" s="129" t="s">
        <v>298</v>
      </c>
      <c r="M172" s="129" t="s">
        <v>299</v>
      </c>
    </row>
    <row r="173" spans="12:13" x14ac:dyDescent="0.25">
      <c r="L173" s="129" t="s">
        <v>300</v>
      </c>
      <c r="M173" s="129" t="s">
        <v>301</v>
      </c>
    </row>
    <row r="174" spans="12:13" x14ac:dyDescent="0.25">
      <c r="L174" s="129" t="s">
        <v>302</v>
      </c>
      <c r="M174" s="129" t="s">
        <v>303</v>
      </c>
    </row>
    <row r="175" spans="12:13" x14ac:dyDescent="0.25">
      <c r="L175" s="129" t="s">
        <v>304</v>
      </c>
      <c r="M175" s="129" t="s">
        <v>305</v>
      </c>
    </row>
    <row r="176" spans="12:13" x14ac:dyDescent="0.25">
      <c r="L176" s="129" t="s">
        <v>306</v>
      </c>
      <c r="M176" s="129" t="s">
        <v>307</v>
      </c>
    </row>
    <row r="177" spans="12:13" x14ac:dyDescent="0.25">
      <c r="L177" s="129" t="s">
        <v>308</v>
      </c>
      <c r="M177" s="129" t="s">
        <v>309</v>
      </c>
    </row>
    <row r="178" spans="12:13" x14ac:dyDescent="0.25">
      <c r="L178" s="129" t="s">
        <v>310</v>
      </c>
      <c r="M178" s="129" t="s">
        <v>311</v>
      </c>
    </row>
    <row r="179" spans="12:13" x14ac:dyDescent="0.25">
      <c r="L179" s="129" t="s">
        <v>312</v>
      </c>
      <c r="M179" s="129" t="s">
        <v>313</v>
      </c>
    </row>
    <row r="180" spans="12:13" x14ac:dyDescent="0.25">
      <c r="L180" s="129" t="s">
        <v>314</v>
      </c>
      <c r="M180" s="129" t="s">
        <v>315</v>
      </c>
    </row>
    <row r="181" spans="12:13" x14ac:dyDescent="0.25">
      <c r="L181" s="129" t="s">
        <v>316</v>
      </c>
      <c r="M181" s="129" t="s">
        <v>317</v>
      </c>
    </row>
    <row r="182" spans="12:13" x14ac:dyDescent="0.25">
      <c r="L182" s="129" t="s">
        <v>318</v>
      </c>
      <c r="M182" s="129" t="s">
        <v>319</v>
      </c>
    </row>
    <row r="183" spans="12:13" x14ac:dyDescent="0.25">
      <c r="L183" s="129" t="s">
        <v>320</v>
      </c>
      <c r="M183" s="129" t="s">
        <v>321</v>
      </c>
    </row>
    <row r="184" spans="12:13" x14ac:dyDescent="0.25">
      <c r="L184" s="129" t="s">
        <v>322</v>
      </c>
      <c r="M184" s="129" t="s">
        <v>323</v>
      </c>
    </row>
    <row r="185" spans="12:13" x14ac:dyDescent="0.25">
      <c r="L185" s="129" t="s">
        <v>324</v>
      </c>
      <c r="M185" s="129" t="s">
        <v>325</v>
      </c>
    </row>
    <row r="186" spans="12:13" x14ac:dyDescent="0.25">
      <c r="L186" s="129" t="s">
        <v>326</v>
      </c>
      <c r="M186" s="129" t="s">
        <v>327</v>
      </c>
    </row>
    <row r="187" spans="12:13" x14ac:dyDescent="0.25">
      <c r="L187" s="129" t="s">
        <v>328</v>
      </c>
      <c r="M187" s="129" t="s">
        <v>329</v>
      </c>
    </row>
    <row r="188" spans="12:13" x14ac:dyDescent="0.25">
      <c r="L188" s="129" t="s">
        <v>330</v>
      </c>
      <c r="M188" s="129" t="s">
        <v>331</v>
      </c>
    </row>
    <row r="189" spans="12:13" x14ac:dyDescent="0.25">
      <c r="L189" s="129" t="s">
        <v>332</v>
      </c>
      <c r="M189" s="129" t="s">
        <v>333</v>
      </c>
    </row>
    <row r="190" spans="12:13" x14ac:dyDescent="0.25">
      <c r="L190" s="129" t="s">
        <v>334</v>
      </c>
      <c r="M190" s="129" t="s">
        <v>335</v>
      </c>
    </row>
    <row r="191" spans="12:13" x14ac:dyDescent="0.25">
      <c r="L191" s="129" t="s">
        <v>336</v>
      </c>
      <c r="M191" s="129" t="s">
        <v>337</v>
      </c>
    </row>
    <row r="192" spans="12:13" x14ac:dyDescent="0.25">
      <c r="L192" s="129" t="s">
        <v>338</v>
      </c>
      <c r="M192" s="129" t="s">
        <v>339</v>
      </c>
    </row>
    <row r="193" spans="12:13" x14ac:dyDescent="0.25">
      <c r="L193" s="129" t="s">
        <v>340</v>
      </c>
      <c r="M193" s="129" t="s">
        <v>341</v>
      </c>
    </row>
    <row r="194" spans="12:13" x14ac:dyDescent="0.25">
      <c r="L194" s="129" t="s">
        <v>342</v>
      </c>
      <c r="M194" s="129" t="s">
        <v>343</v>
      </c>
    </row>
    <row r="195" spans="12:13" x14ac:dyDescent="0.25">
      <c r="L195" s="129" t="s">
        <v>344</v>
      </c>
      <c r="M195" s="129" t="s">
        <v>345</v>
      </c>
    </row>
    <row r="196" spans="12:13" x14ac:dyDescent="0.25">
      <c r="L196" s="129" t="s">
        <v>346</v>
      </c>
      <c r="M196" s="129" t="s">
        <v>347</v>
      </c>
    </row>
    <row r="197" spans="12:13" x14ac:dyDescent="0.25">
      <c r="L197" s="129" t="s">
        <v>348</v>
      </c>
      <c r="M197" s="129" t="s">
        <v>349</v>
      </c>
    </row>
    <row r="198" spans="12:13" x14ac:dyDescent="0.25">
      <c r="L198" s="129" t="s">
        <v>350</v>
      </c>
      <c r="M198" s="129" t="s">
        <v>351</v>
      </c>
    </row>
    <row r="199" spans="12:13" x14ac:dyDescent="0.25">
      <c r="L199" s="129" t="s">
        <v>352</v>
      </c>
      <c r="M199" s="129" t="s">
        <v>353</v>
      </c>
    </row>
    <row r="200" spans="12:13" x14ac:dyDescent="0.25">
      <c r="L200" s="129" t="s">
        <v>354</v>
      </c>
      <c r="M200" s="129" t="s">
        <v>355</v>
      </c>
    </row>
    <row r="201" spans="12:13" x14ac:dyDescent="0.25">
      <c r="L201" s="129" t="s">
        <v>356</v>
      </c>
      <c r="M201" s="129" t="s">
        <v>357</v>
      </c>
    </row>
    <row r="202" spans="12:13" x14ac:dyDescent="0.25">
      <c r="L202" s="129" t="s">
        <v>358</v>
      </c>
      <c r="M202" s="129" t="s">
        <v>359</v>
      </c>
    </row>
    <row r="203" spans="12:13" x14ac:dyDescent="0.25">
      <c r="L203" s="129" t="s">
        <v>360</v>
      </c>
      <c r="M203" s="129" t="s">
        <v>361</v>
      </c>
    </row>
    <row r="204" spans="12:13" x14ac:dyDescent="0.25">
      <c r="L204" s="129" t="s">
        <v>362</v>
      </c>
      <c r="M204" s="129" t="s">
        <v>363</v>
      </c>
    </row>
    <row r="205" spans="12:13" x14ac:dyDescent="0.25">
      <c r="L205" s="129" t="s">
        <v>364</v>
      </c>
      <c r="M205" s="129" t="s">
        <v>365</v>
      </c>
    </row>
    <row r="206" spans="12:13" x14ac:dyDescent="0.25">
      <c r="L206" s="129" t="s">
        <v>366</v>
      </c>
      <c r="M206" s="129" t="s">
        <v>367</v>
      </c>
    </row>
    <row r="207" spans="12:13" x14ac:dyDescent="0.25">
      <c r="L207" s="129" t="s">
        <v>368</v>
      </c>
      <c r="M207" s="129" t="s">
        <v>369</v>
      </c>
    </row>
    <row r="208" spans="12:13" x14ac:dyDescent="0.25">
      <c r="L208" s="129" t="s">
        <v>370</v>
      </c>
      <c r="M208" s="129" t="s">
        <v>371</v>
      </c>
    </row>
    <row r="209" spans="12:13" x14ac:dyDescent="0.25">
      <c r="L209" s="129" t="s">
        <v>372</v>
      </c>
      <c r="M209" s="129" t="s">
        <v>373</v>
      </c>
    </row>
    <row r="210" spans="12:13" x14ac:dyDescent="0.25">
      <c r="L210" s="129" t="s">
        <v>374</v>
      </c>
      <c r="M210" s="129" t="s">
        <v>375</v>
      </c>
    </row>
    <row r="211" spans="12:13" x14ac:dyDescent="0.25">
      <c r="L211" s="129" t="s">
        <v>376</v>
      </c>
      <c r="M211" s="129" t="s">
        <v>377</v>
      </c>
    </row>
    <row r="212" spans="12:13" x14ac:dyDescent="0.25">
      <c r="L212" s="129" t="s">
        <v>378</v>
      </c>
      <c r="M212" s="129" t="s">
        <v>379</v>
      </c>
    </row>
    <row r="213" spans="12:13" x14ac:dyDescent="0.25">
      <c r="L213" s="129" t="s">
        <v>380</v>
      </c>
      <c r="M213" s="129" t="s">
        <v>381</v>
      </c>
    </row>
    <row r="214" spans="12:13" x14ac:dyDescent="0.25">
      <c r="L214" s="129" t="s">
        <v>382</v>
      </c>
      <c r="M214" s="129" t="s">
        <v>383</v>
      </c>
    </row>
    <row r="215" spans="12:13" x14ac:dyDescent="0.25">
      <c r="L215" s="129" t="s">
        <v>384</v>
      </c>
      <c r="M215" s="129" t="s">
        <v>385</v>
      </c>
    </row>
    <row r="216" spans="12:13" x14ac:dyDescent="0.25">
      <c r="L216" s="129" t="s">
        <v>386</v>
      </c>
      <c r="M216" s="129" t="s">
        <v>387</v>
      </c>
    </row>
    <row r="217" spans="12:13" x14ac:dyDescent="0.25">
      <c r="L217" s="129" t="s">
        <v>388</v>
      </c>
      <c r="M217" s="129" t="s">
        <v>389</v>
      </c>
    </row>
    <row r="218" spans="12:13" x14ac:dyDescent="0.25">
      <c r="L218" s="129" t="s">
        <v>390</v>
      </c>
      <c r="M218" s="129" t="s">
        <v>391</v>
      </c>
    </row>
    <row r="219" spans="12:13" x14ac:dyDescent="0.25">
      <c r="L219" s="129" t="s">
        <v>392</v>
      </c>
      <c r="M219" s="129" t="s">
        <v>393</v>
      </c>
    </row>
    <row r="220" spans="12:13" x14ac:dyDescent="0.25">
      <c r="L220" s="129" t="s">
        <v>394</v>
      </c>
      <c r="M220" s="129" t="s">
        <v>395</v>
      </c>
    </row>
    <row r="221" spans="12:13" x14ac:dyDescent="0.25">
      <c r="L221" s="129" t="s">
        <v>396</v>
      </c>
      <c r="M221" s="129" t="s">
        <v>397</v>
      </c>
    </row>
    <row r="222" spans="12:13" x14ac:dyDescent="0.25">
      <c r="L222" s="129" t="s">
        <v>398</v>
      </c>
      <c r="M222" s="129" t="s">
        <v>399</v>
      </c>
    </row>
    <row r="223" spans="12:13" x14ac:dyDescent="0.25">
      <c r="L223" s="129" t="s">
        <v>400</v>
      </c>
      <c r="M223" s="129" t="s">
        <v>401</v>
      </c>
    </row>
    <row r="224" spans="12:13" x14ac:dyDescent="0.25">
      <c r="L224" s="129" t="s">
        <v>402</v>
      </c>
      <c r="M224" s="129" t="s">
        <v>403</v>
      </c>
    </row>
    <row r="225" spans="12:13" x14ac:dyDescent="0.25">
      <c r="L225" s="129" t="s">
        <v>404</v>
      </c>
      <c r="M225" s="129" t="s">
        <v>405</v>
      </c>
    </row>
    <row r="226" spans="12:13" x14ac:dyDescent="0.25">
      <c r="L226" s="129" t="s">
        <v>406</v>
      </c>
      <c r="M226" s="129" t="s">
        <v>407</v>
      </c>
    </row>
    <row r="227" spans="12:13" x14ac:dyDescent="0.25">
      <c r="L227" s="129" t="s">
        <v>408</v>
      </c>
      <c r="M227" s="129" t="s">
        <v>409</v>
      </c>
    </row>
    <row r="228" spans="12:13" x14ac:dyDescent="0.25">
      <c r="L228" s="129" t="s">
        <v>410</v>
      </c>
      <c r="M228" s="129" t="s">
        <v>411</v>
      </c>
    </row>
    <row r="229" spans="12:13" x14ac:dyDescent="0.25">
      <c r="L229" s="129" t="s">
        <v>412</v>
      </c>
      <c r="M229" s="129" t="s">
        <v>413</v>
      </c>
    </row>
    <row r="230" spans="12:13" x14ac:dyDescent="0.25">
      <c r="L230" s="129" t="s">
        <v>414</v>
      </c>
      <c r="M230" s="129" t="s">
        <v>415</v>
      </c>
    </row>
    <row r="231" spans="12:13" x14ac:dyDescent="0.25">
      <c r="L231" s="129" t="s">
        <v>416</v>
      </c>
      <c r="M231" s="129" t="s">
        <v>417</v>
      </c>
    </row>
    <row r="232" spans="12:13" x14ac:dyDescent="0.25">
      <c r="L232" s="129" t="s">
        <v>418</v>
      </c>
      <c r="M232" s="129" t="s">
        <v>419</v>
      </c>
    </row>
    <row r="233" spans="12:13" x14ac:dyDescent="0.25">
      <c r="L233" s="129" t="s">
        <v>420</v>
      </c>
      <c r="M233" s="129" t="s">
        <v>421</v>
      </c>
    </row>
    <row r="234" spans="12:13" x14ac:dyDescent="0.25">
      <c r="L234" s="129" t="s">
        <v>422</v>
      </c>
      <c r="M234" s="129" t="s">
        <v>423</v>
      </c>
    </row>
    <row r="235" spans="12:13" x14ac:dyDescent="0.25">
      <c r="L235" s="129" t="s">
        <v>424</v>
      </c>
      <c r="M235" s="129" t="s">
        <v>425</v>
      </c>
    </row>
    <row r="236" spans="12:13" x14ac:dyDescent="0.25">
      <c r="L236" s="129" t="s">
        <v>426</v>
      </c>
      <c r="M236" s="129" t="s">
        <v>427</v>
      </c>
    </row>
    <row r="237" spans="12:13" x14ac:dyDescent="0.25">
      <c r="L237" s="129" t="s">
        <v>428</v>
      </c>
      <c r="M237" s="129" t="s">
        <v>429</v>
      </c>
    </row>
    <row r="238" spans="12:13" x14ac:dyDescent="0.25">
      <c r="L238" s="129" t="s">
        <v>430</v>
      </c>
      <c r="M238" s="129" t="s">
        <v>431</v>
      </c>
    </row>
    <row r="239" spans="12:13" x14ac:dyDescent="0.25">
      <c r="L239" s="129" t="s">
        <v>432</v>
      </c>
      <c r="M239" s="129" t="s">
        <v>433</v>
      </c>
    </row>
    <row r="240" spans="12:13" x14ac:dyDescent="0.25">
      <c r="L240" s="129" t="s">
        <v>434</v>
      </c>
      <c r="M240" s="129" t="s">
        <v>435</v>
      </c>
    </row>
    <row r="241" spans="12:13" x14ac:dyDescent="0.25">
      <c r="L241" s="129" t="s">
        <v>436</v>
      </c>
      <c r="M241" s="129" t="s">
        <v>437</v>
      </c>
    </row>
    <row r="242" spans="12:13" x14ac:dyDescent="0.25">
      <c r="L242" s="129" t="s">
        <v>438</v>
      </c>
      <c r="M242" s="129" t="s">
        <v>439</v>
      </c>
    </row>
    <row r="243" spans="12:13" x14ac:dyDescent="0.25">
      <c r="L243" s="129" t="s">
        <v>440</v>
      </c>
      <c r="M243" s="129" t="s">
        <v>441</v>
      </c>
    </row>
    <row r="244" spans="12:13" x14ac:dyDescent="0.25">
      <c r="L244" s="129" t="s">
        <v>442</v>
      </c>
      <c r="M244" s="129" t="s">
        <v>443</v>
      </c>
    </row>
    <row r="245" spans="12:13" x14ac:dyDescent="0.25">
      <c r="L245" s="129" t="s">
        <v>444</v>
      </c>
      <c r="M245" s="129" t="s">
        <v>445</v>
      </c>
    </row>
    <row r="246" spans="12:13" x14ac:dyDescent="0.25">
      <c r="L246" s="129" t="s">
        <v>446</v>
      </c>
      <c r="M246" s="129" t="s">
        <v>447</v>
      </c>
    </row>
    <row r="247" spans="12:13" x14ac:dyDescent="0.25">
      <c r="L247" s="129" t="s">
        <v>448</v>
      </c>
      <c r="M247" s="129" t="s">
        <v>449</v>
      </c>
    </row>
    <row r="248" spans="12:13" x14ac:dyDescent="0.25">
      <c r="L248" s="129" t="s">
        <v>450</v>
      </c>
      <c r="M248" s="129" t="s">
        <v>451</v>
      </c>
    </row>
    <row r="249" spans="12:13" x14ac:dyDescent="0.25">
      <c r="L249" s="129" t="s">
        <v>452</v>
      </c>
      <c r="M249" s="129" t="s">
        <v>453</v>
      </c>
    </row>
    <row r="250" spans="12:13" x14ac:dyDescent="0.25">
      <c r="L250" s="129" t="s">
        <v>454</v>
      </c>
      <c r="M250" s="129" t="s">
        <v>455</v>
      </c>
    </row>
    <row r="251" spans="12:13" x14ac:dyDescent="0.25">
      <c r="L251" s="129" t="s">
        <v>456</v>
      </c>
      <c r="M251" s="129" t="s">
        <v>457</v>
      </c>
    </row>
    <row r="252" spans="12:13" x14ac:dyDescent="0.25">
      <c r="L252" s="129" t="s">
        <v>458</v>
      </c>
      <c r="M252" s="129" t="s">
        <v>459</v>
      </c>
    </row>
    <row r="253" spans="12:13" x14ac:dyDescent="0.25">
      <c r="L253" s="129" t="s">
        <v>460</v>
      </c>
      <c r="M253" s="129" t="s">
        <v>461</v>
      </c>
    </row>
    <row r="254" spans="12:13" x14ac:dyDescent="0.25">
      <c r="L254" s="129" t="s">
        <v>462</v>
      </c>
      <c r="M254" s="129" t="s">
        <v>463</v>
      </c>
    </row>
    <row r="255" spans="12:13" x14ac:dyDescent="0.25">
      <c r="L255" s="129" t="s">
        <v>464</v>
      </c>
      <c r="M255" s="129" t="s">
        <v>465</v>
      </c>
    </row>
    <row r="256" spans="12:13" x14ac:dyDescent="0.25">
      <c r="L256" s="129" t="s">
        <v>466</v>
      </c>
      <c r="M256" s="129" t="s">
        <v>467</v>
      </c>
    </row>
    <row r="257" spans="12:13" x14ac:dyDescent="0.25">
      <c r="L257" s="129" t="s">
        <v>468</v>
      </c>
      <c r="M257" s="129" t="s">
        <v>469</v>
      </c>
    </row>
    <row r="258" spans="12:13" x14ac:dyDescent="0.25">
      <c r="L258" s="129" t="s">
        <v>470</v>
      </c>
      <c r="M258" s="129" t="s">
        <v>471</v>
      </c>
    </row>
    <row r="259" spans="12:13" x14ac:dyDescent="0.25">
      <c r="L259" s="129" t="s">
        <v>472</v>
      </c>
      <c r="M259" s="129" t="s">
        <v>473</v>
      </c>
    </row>
    <row r="260" spans="12:13" x14ac:dyDescent="0.25">
      <c r="L260" s="129" t="s">
        <v>474</v>
      </c>
      <c r="M260" s="129" t="s">
        <v>475</v>
      </c>
    </row>
    <row r="261" spans="12:13" x14ac:dyDescent="0.25">
      <c r="L261" s="129" t="s">
        <v>476</v>
      </c>
      <c r="M261" s="129" t="s">
        <v>477</v>
      </c>
    </row>
    <row r="262" spans="12:13" x14ac:dyDescent="0.25">
      <c r="L262" s="129" t="s">
        <v>478</v>
      </c>
      <c r="M262" s="129" t="s">
        <v>479</v>
      </c>
    </row>
    <row r="263" spans="12:13" x14ac:dyDescent="0.25">
      <c r="L263" s="129" t="s">
        <v>480</v>
      </c>
      <c r="M263" s="129" t="s">
        <v>481</v>
      </c>
    </row>
    <row r="264" spans="12:13" x14ac:dyDescent="0.25">
      <c r="L264" s="129" t="s">
        <v>482</v>
      </c>
      <c r="M264" s="129" t="s">
        <v>483</v>
      </c>
    </row>
    <row r="265" spans="12:13" x14ac:dyDescent="0.25">
      <c r="L265" s="129" t="s">
        <v>484</v>
      </c>
      <c r="M265" s="129" t="s">
        <v>485</v>
      </c>
    </row>
    <row r="266" spans="12:13" x14ac:dyDescent="0.25">
      <c r="L266" s="129" t="s">
        <v>486</v>
      </c>
      <c r="M266" s="129" t="s">
        <v>487</v>
      </c>
    </row>
    <row r="267" spans="12:13" x14ac:dyDescent="0.25">
      <c r="L267" s="129" t="s">
        <v>488</v>
      </c>
      <c r="M267" s="129" t="s">
        <v>489</v>
      </c>
    </row>
    <row r="268" spans="12:13" x14ac:dyDescent="0.25">
      <c r="L268" s="129" t="s">
        <v>490</v>
      </c>
      <c r="M268" s="129" t="s">
        <v>491</v>
      </c>
    </row>
    <row r="269" spans="12:13" x14ac:dyDescent="0.25">
      <c r="L269" s="129" t="s">
        <v>492</v>
      </c>
      <c r="M269" s="129" t="s">
        <v>493</v>
      </c>
    </row>
    <row r="271" spans="12:13" x14ac:dyDescent="0.25">
      <c r="L271" s="130" t="s">
        <v>498</v>
      </c>
    </row>
    <row r="272" spans="12:13" x14ac:dyDescent="0.25">
      <c r="L272" s="129" t="s">
        <v>499</v>
      </c>
    </row>
    <row r="273" spans="12:12" x14ac:dyDescent="0.25">
      <c r="L273" s="129" t="s">
        <v>500</v>
      </c>
    </row>
    <row r="274" spans="12:12" x14ac:dyDescent="0.25">
      <c r="L274" s="129" t="s">
        <v>501</v>
      </c>
    </row>
    <row r="275" spans="12:12" x14ac:dyDescent="0.25">
      <c r="L275" s="129" t="s">
        <v>502</v>
      </c>
    </row>
    <row r="276" spans="12:12" x14ac:dyDescent="0.25">
      <c r="L276" s="129" t="s">
        <v>503</v>
      </c>
    </row>
    <row r="277" spans="12:12" x14ac:dyDescent="0.25">
      <c r="L277" s="129" t="s">
        <v>504</v>
      </c>
    </row>
    <row r="278" spans="12:12" x14ac:dyDescent="0.25">
      <c r="L278" s="129" t="s">
        <v>505</v>
      </c>
    </row>
    <row r="279" spans="12:12" x14ac:dyDescent="0.25">
      <c r="L279" s="129" t="s">
        <v>506</v>
      </c>
    </row>
    <row r="280" spans="12:12" x14ac:dyDescent="0.25">
      <c r="L280" s="129" t="s">
        <v>507</v>
      </c>
    </row>
    <row r="281" spans="12:12" x14ac:dyDescent="0.25">
      <c r="L281" s="129" t="s">
        <v>508</v>
      </c>
    </row>
    <row r="282" spans="12:12" x14ac:dyDescent="0.25">
      <c r="L282" s="129" t="s">
        <v>509</v>
      </c>
    </row>
    <row r="283" spans="12:12" x14ac:dyDescent="0.25">
      <c r="L283" s="129" t="s">
        <v>510</v>
      </c>
    </row>
    <row r="284" spans="12:12" x14ac:dyDescent="0.25">
      <c r="L284" s="129" t="s">
        <v>511</v>
      </c>
    </row>
    <row r="285" spans="12:12" x14ac:dyDescent="0.25">
      <c r="L285" s="129" t="s">
        <v>512</v>
      </c>
    </row>
    <row r="286" spans="12:12" x14ac:dyDescent="0.25">
      <c r="L286" s="129" t="s">
        <v>513</v>
      </c>
    </row>
    <row r="287" spans="12:12" x14ac:dyDescent="0.25">
      <c r="L287" s="129" t="s">
        <v>514</v>
      </c>
    </row>
    <row r="288" spans="12:12" x14ac:dyDescent="0.25">
      <c r="L288" s="129" t="s">
        <v>515</v>
      </c>
    </row>
    <row r="289" spans="12:12" x14ac:dyDescent="0.25">
      <c r="L289" s="129" t="s">
        <v>516</v>
      </c>
    </row>
    <row r="290" spans="12:12" x14ac:dyDescent="0.25">
      <c r="L290" s="129" t="s">
        <v>517</v>
      </c>
    </row>
    <row r="291" spans="12:12" x14ac:dyDescent="0.25">
      <c r="L291" s="129" t="s">
        <v>518</v>
      </c>
    </row>
    <row r="292" spans="12:12" x14ac:dyDescent="0.25">
      <c r="L292" s="129" t="s">
        <v>519</v>
      </c>
    </row>
    <row r="293" spans="12:12" x14ac:dyDescent="0.25">
      <c r="L293" s="129" t="s">
        <v>520</v>
      </c>
    </row>
    <row r="294" spans="12:12" x14ac:dyDescent="0.25">
      <c r="L294" s="129" t="s">
        <v>521</v>
      </c>
    </row>
    <row r="295" spans="12:12" x14ac:dyDescent="0.25">
      <c r="L295" s="129" t="s">
        <v>522</v>
      </c>
    </row>
    <row r="296" spans="12:12" x14ac:dyDescent="0.25">
      <c r="L296" s="129" t="s">
        <v>523</v>
      </c>
    </row>
    <row r="297" spans="12:12" x14ac:dyDescent="0.25">
      <c r="L297" s="129" t="s">
        <v>524</v>
      </c>
    </row>
    <row r="298" spans="12:12" x14ac:dyDescent="0.25">
      <c r="L298" s="129" t="s">
        <v>525</v>
      </c>
    </row>
    <row r="300" spans="12:12" x14ac:dyDescent="0.25">
      <c r="L300" s="130" t="s">
        <v>526</v>
      </c>
    </row>
    <row r="301" spans="12:12" x14ac:dyDescent="0.25">
      <c r="L301" s="129" t="s">
        <v>527</v>
      </c>
    </row>
    <row r="302" spans="12:12" x14ac:dyDescent="0.25">
      <c r="L302" s="129" t="s">
        <v>528</v>
      </c>
    </row>
    <row r="303" spans="12:12" x14ac:dyDescent="0.25">
      <c r="L303" s="129" t="s">
        <v>529</v>
      </c>
    </row>
    <row r="304" spans="12:12" x14ac:dyDescent="0.25">
      <c r="L304" s="129" t="s">
        <v>530</v>
      </c>
    </row>
    <row r="305" spans="12:12" x14ac:dyDescent="0.25">
      <c r="L305" s="129" t="s">
        <v>531</v>
      </c>
    </row>
    <row r="306" spans="12:12" x14ac:dyDescent="0.25">
      <c r="L306" s="129" t="s">
        <v>532</v>
      </c>
    </row>
    <row r="307" spans="12:12" x14ac:dyDescent="0.25">
      <c r="L307" s="129" t="s">
        <v>533</v>
      </c>
    </row>
    <row r="308" spans="12:12" x14ac:dyDescent="0.25">
      <c r="L308" s="129" t="s">
        <v>534</v>
      </c>
    </row>
    <row r="309" spans="12:12" x14ac:dyDescent="0.25">
      <c r="L309" s="129" t="s">
        <v>535</v>
      </c>
    </row>
    <row r="310" spans="12:12" x14ac:dyDescent="0.25">
      <c r="L310" s="129" t="s">
        <v>536</v>
      </c>
    </row>
    <row r="311" spans="12:12" x14ac:dyDescent="0.25">
      <c r="L311" s="129" t="s">
        <v>537</v>
      </c>
    </row>
    <row r="312" spans="12:12" x14ac:dyDescent="0.25">
      <c r="L312" s="129" t="s">
        <v>538</v>
      </c>
    </row>
    <row r="313" spans="12:12" x14ac:dyDescent="0.25">
      <c r="L313" s="129" t="s">
        <v>539</v>
      </c>
    </row>
    <row r="314" spans="12:12" x14ac:dyDescent="0.25">
      <c r="L314" s="129" t="s">
        <v>540</v>
      </c>
    </row>
    <row r="315" spans="12:12" x14ac:dyDescent="0.25">
      <c r="L315" s="129" t="s">
        <v>541</v>
      </c>
    </row>
    <row r="316" spans="12:12" x14ac:dyDescent="0.25">
      <c r="L316" s="129" t="s">
        <v>542</v>
      </c>
    </row>
    <row r="317" spans="12:12" x14ac:dyDescent="0.25">
      <c r="L317" s="129" t="s">
        <v>543</v>
      </c>
    </row>
    <row r="318" spans="12:12" x14ac:dyDescent="0.25">
      <c r="L318" s="129" t="s">
        <v>544</v>
      </c>
    </row>
    <row r="319" spans="12:12" x14ac:dyDescent="0.25">
      <c r="L319" s="129" t="s">
        <v>545</v>
      </c>
    </row>
  </sheetData>
  <sheetProtection algorithmName="SHA-512" hashValue="sByuEjTKOWPMNb1to/qkEinKmr1DAy/TNAlG8LJ2UGeyixNMbpZklSoVyfjp+YkR3G68UnkePI860nmFWzGNcg==" saltValue="ApiySzfmziTTGfzv2pa5dw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603</v>
      </c>
      <c r="B2" s="232" t="s">
        <v>570</v>
      </c>
      <c r="C2" s="240"/>
      <c r="D2" s="233"/>
      <c r="E2" s="1"/>
    </row>
    <row r="3" spans="1:9" x14ac:dyDescent="0.25">
      <c r="A3" s="6" t="s">
        <v>603</v>
      </c>
      <c r="B3" s="231" t="s">
        <v>700</v>
      </c>
      <c r="C3" s="241"/>
      <c r="D3" s="233" t="s">
        <v>695</v>
      </c>
      <c r="E3" s="1"/>
    </row>
    <row r="4" spans="1:9" x14ac:dyDescent="0.25">
      <c r="A4" s="6" t="s">
        <v>603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7"/>
      <c r="C7" s="47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2" t="s">
        <v>570</v>
      </c>
      <c r="C2" s="240"/>
      <c r="D2" s="233"/>
      <c r="E2" s="1"/>
    </row>
    <row r="3" spans="1:10" x14ac:dyDescent="0.25">
      <c r="A3" s="6" t="s">
        <v>603</v>
      </c>
      <c r="B3" s="231" t="s">
        <v>700</v>
      </c>
      <c r="C3" s="241"/>
      <c r="D3" s="233" t="s">
        <v>694</v>
      </c>
      <c r="E3" s="1"/>
    </row>
    <row r="4" spans="1:10" x14ac:dyDescent="0.25">
      <c r="A4" s="6" t="s">
        <v>603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7"/>
      <c r="C7" s="47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603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603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7"/>
      <c r="C7" s="47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13" zoomScale="90" zoomScaleNormal="90" workbookViewId="0">
      <selection activeCell="D7" sqref="D7"/>
    </sheetView>
  </sheetViews>
  <sheetFormatPr defaultColWidth="9.140625" defaultRowHeight="12.75" x14ac:dyDescent="0.2"/>
  <cols>
    <col min="1" max="1" width="2.7109375" style="226" customWidth="1"/>
    <col min="2" max="2" width="38.5703125" style="160" customWidth="1"/>
    <col min="3" max="3" width="45.7109375" style="183" customWidth="1"/>
    <col min="4" max="4" width="15.7109375" style="183" customWidth="1"/>
    <col min="5" max="5" width="14.7109375" style="183" customWidth="1"/>
    <col min="6" max="6" width="19.85546875" style="183" customWidth="1"/>
    <col min="7" max="9" width="14.7109375" style="183" customWidth="1"/>
    <col min="10" max="11" width="9.140625" style="160" hidden="1" customWidth="1"/>
    <col min="12" max="12" width="9.140625" style="160" customWidth="1"/>
    <col min="13" max="13" width="16.7109375" style="160" customWidth="1"/>
    <col min="14" max="16384" width="9.140625" style="160"/>
  </cols>
  <sheetData>
    <row r="1" spans="1:12" s="156" customFormat="1" ht="15" customHeight="1" x14ac:dyDescent="0.2">
      <c r="A1" s="221"/>
      <c r="B1" s="153"/>
      <c r="C1" s="154"/>
      <c r="D1" s="154"/>
      <c r="E1" s="154"/>
      <c r="F1" s="154"/>
      <c r="G1" s="154"/>
      <c r="H1" s="154"/>
      <c r="I1" s="154"/>
      <c r="J1" s="155"/>
    </row>
    <row r="2" spans="1:12" s="156" customFormat="1" ht="20.25" customHeight="1" x14ac:dyDescent="0.2">
      <c r="A2" s="222"/>
      <c r="B2" s="157" t="s">
        <v>623</v>
      </c>
      <c r="C2" s="158"/>
      <c r="D2" s="158"/>
      <c r="E2" s="158"/>
      <c r="F2" s="158"/>
      <c r="G2" s="158"/>
      <c r="H2" s="158"/>
      <c r="I2" s="158"/>
    </row>
    <row r="3" spans="1:12" s="156" customFormat="1" ht="14.25" customHeight="1" x14ac:dyDescent="0.2">
      <c r="A3" s="221"/>
      <c r="B3" s="153"/>
      <c r="C3" s="154"/>
      <c r="D3" s="154"/>
      <c r="E3" s="154"/>
      <c r="F3" s="154"/>
      <c r="G3" s="154"/>
      <c r="H3" s="154"/>
      <c r="I3" s="154"/>
    </row>
    <row r="4" spans="1:12" ht="46.15" customHeight="1" x14ac:dyDescent="0.2">
      <c r="A4" s="223"/>
      <c r="B4" s="255" t="s">
        <v>606</v>
      </c>
      <c r="C4" s="255"/>
      <c r="D4" s="255"/>
      <c r="E4" s="255"/>
      <c r="F4" s="255"/>
      <c r="G4" s="255"/>
      <c r="H4" s="255"/>
      <c r="I4" s="255"/>
    </row>
    <row r="5" spans="1:12" ht="17.45" customHeight="1" x14ac:dyDescent="0.2">
      <c r="A5" s="224"/>
      <c r="B5" s="161"/>
      <c r="C5" s="162"/>
      <c r="D5" s="162"/>
      <c r="E5" s="162"/>
      <c r="F5" s="163"/>
      <c r="G5" s="164" t="s">
        <v>607</v>
      </c>
      <c r="H5" s="165"/>
      <c r="I5" s="166"/>
      <c r="J5" s="167"/>
      <c r="K5" s="167"/>
      <c r="L5" s="159"/>
    </row>
    <row r="6" spans="1:12" ht="44.45" customHeight="1" x14ac:dyDescent="0.2">
      <c r="A6" s="225">
        <v>19</v>
      </c>
      <c r="B6" s="168" t="s">
        <v>608</v>
      </c>
      <c r="C6" s="169" t="s">
        <v>609</v>
      </c>
      <c r="D6" s="169" t="str">
        <f>CONCATENATE("Gross 
Floor Area
",IF(Setup!$F$9="SI Units","(sq m)","(sq ft)"))</f>
        <v>Gross 
Floor Area
(sq ft)</v>
      </c>
      <c r="E6" s="169" t="s">
        <v>610</v>
      </c>
      <c r="F6" s="169" t="s">
        <v>611</v>
      </c>
      <c r="G6" s="170" t="s">
        <v>612</v>
      </c>
      <c r="H6" s="171" t="s">
        <v>613</v>
      </c>
      <c r="I6" s="172" t="s">
        <v>614</v>
      </c>
      <c r="J6" s="173" t="s">
        <v>615</v>
      </c>
      <c r="K6" s="219" t="s">
        <v>616</v>
      </c>
      <c r="L6" s="220"/>
    </row>
    <row r="7" spans="1:12" ht="15" customHeight="1" x14ac:dyDescent="0.2">
      <c r="A7" s="174"/>
      <c r="B7" s="175"/>
      <c r="C7" s="179"/>
      <c r="D7" s="177"/>
      <c r="E7" s="176"/>
      <c r="F7" s="176"/>
      <c r="G7" s="176"/>
      <c r="H7" s="180"/>
      <c r="I7" s="178" t="str">
        <f t="shared" ref="I7" si="0">IFERROR((G7/K7)*H7," ")</f>
        <v xml:space="preserve"> </v>
      </c>
      <c r="J7" s="160">
        <f t="shared" ref="J7" si="1">E7*D7</f>
        <v>0</v>
      </c>
      <c r="K7" s="160">
        <f t="shared" ref="K7" si="2">E7/7</f>
        <v>0</v>
      </c>
    </row>
    <row r="8" spans="1:12" ht="15" customHeight="1" x14ac:dyDescent="0.2">
      <c r="A8" s="174"/>
      <c r="B8" s="175"/>
      <c r="C8" s="179"/>
      <c r="D8" s="177"/>
      <c r="E8" s="176"/>
      <c r="F8" s="176"/>
      <c r="G8" s="176"/>
      <c r="H8" s="180"/>
      <c r="I8" s="178" t="str">
        <f t="shared" ref="I8:I16" si="3">IFERROR((G8/K8)*H8," ")</f>
        <v xml:space="preserve"> </v>
      </c>
      <c r="J8" s="160">
        <f t="shared" ref="J8:J16" si="4">E8*D8</f>
        <v>0</v>
      </c>
      <c r="K8" s="160">
        <f t="shared" ref="K8:K16" si="5">E8/7</f>
        <v>0</v>
      </c>
    </row>
    <row r="9" spans="1:12" ht="15" customHeight="1" x14ac:dyDescent="0.2">
      <c r="A9" s="174"/>
      <c r="B9" s="175"/>
      <c r="C9" s="179"/>
      <c r="D9" s="177"/>
      <c r="E9" s="176"/>
      <c r="F9" s="176"/>
      <c r="G9" s="176"/>
      <c r="H9" s="180"/>
      <c r="I9" s="178" t="str">
        <f t="shared" si="3"/>
        <v xml:space="preserve"> </v>
      </c>
      <c r="J9" s="160">
        <f t="shared" si="4"/>
        <v>0</v>
      </c>
      <c r="K9" s="160">
        <f t="shared" si="5"/>
        <v>0</v>
      </c>
    </row>
    <row r="10" spans="1:12" ht="15" customHeight="1" x14ac:dyDescent="0.2">
      <c r="A10" s="174"/>
      <c r="B10" s="175"/>
      <c r="C10" s="179"/>
      <c r="D10" s="177"/>
      <c r="E10" s="176"/>
      <c r="F10" s="176"/>
      <c r="G10" s="176"/>
      <c r="H10" s="180"/>
      <c r="I10" s="178" t="str">
        <f t="shared" si="3"/>
        <v xml:space="preserve"> </v>
      </c>
      <c r="J10" s="160">
        <f t="shared" si="4"/>
        <v>0</v>
      </c>
      <c r="K10" s="160">
        <f t="shared" si="5"/>
        <v>0</v>
      </c>
    </row>
    <row r="11" spans="1:12" ht="15" customHeight="1" x14ac:dyDescent="0.2">
      <c r="A11" s="174"/>
      <c r="B11" s="175"/>
      <c r="C11" s="179"/>
      <c r="D11" s="177"/>
      <c r="E11" s="176"/>
      <c r="F11" s="176"/>
      <c r="G11" s="176"/>
      <c r="H11" s="180"/>
      <c r="I11" s="178" t="str">
        <f t="shared" si="3"/>
        <v xml:space="preserve"> </v>
      </c>
      <c r="J11" s="160">
        <f t="shared" si="4"/>
        <v>0</v>
      </c>
      <c r="K11" s="160">
        <f t="shared" si="5"/>
        <v>0</v>
      </c>
    </row>
    <row r="12" spans="1:12" ht="15" customHeight="1" x14ac:dyDescent="0.2">
      <c r="A12" s="174"/>
      <c r="B12" s="175"/>
      <c r="C12" s="179"/>
      <c r="D12" s="177"/>
      <c r="E12" s="176"/>
      <c r="F12" s="176"/>
      <c r="G12" s="176"/>
      <c r="H12" s="180"/>
      <c r="I12" s="178" t="str">
        <f t="shared" si="3"/>
        <v xml:space="preserve"> </v>
      </c>
      <c r="J12" s="160">
        <f t="shared" si="4"/>
        <v>0</v>
      </c>
      <c r="K12" s="160">
        <f t="shared" si="5"/>
        <v>0</v>
      </c>
    </row>
    <row r="13" spans="1:12" ht="15" customHeight="1" x14ac:dyDescent="0.2">
      <c r="A13" s="174"/>
      <c r="B13" s="175"/>
      <c r="C13" s="179"/>
      <c r="D13" s="177"/>
      <c r="E13" s="176"/>
      <c r="F13" s="176"/>
      <c r="G13" s="176"/>
      <c r="H13" s="180"/>
      <c r="I13" s="178" t="str">
        <f t="shared" si="3"/>
        <v xml:space="preserve"> </v>
      </c>
      <c r="J13" s="160">
        <f t="shared" si="4"/>
        <v>0</v>
      </c>
      <c r="K13" s="160">
        <f t="shared" si="5"/>
        <v>0</v>
      </c>
    </row>
    <row r="14" spans="1:12" ht="15" customHeight="1" x14ac:dyDescent="0.2">
      <c r="A14" s="174"/>
      <c r="B14" s="175"/>
      <c r="C14" s="179"/>
      <c r="D14" s="177"/>
      <c r="E14" s="176"/>
      <c r="F14" s="176"/>
      <c r="G14" s="176"/>
      <c r="H14" s="180"/>
      <c r="I14" s="178" t="str">
        <f t="shared" si="3"/>
        <v xml:space="preserve"> </v>
      </c>
      <c r="J14" s="160">
        <f t="shared" si="4"/>
        <v>0</v>
      </c>
      <c r="K14" s="160">
        <f t="shared" si="5"/>
        <v>0</v>
      </c>
    </row>
    <row r="15" spans="1:12" ht="15" customHeight="1" x14ac:dyDescent="0.2">
      <c r="A15" s="174"/>
      <c r="B15" s="175"/>
      <c r="C15" s="179"/>
      <c r="D15" s="177"/>
      <c r="E15" s="176"/>
      <c r="F15" s="176"/>
      <c r="G15" s="176"/>
      <c r="H15" s="180"/>
      <c r="I15" s="178" t="str">
        <f t="shared" si="3"/>
        <v xml:space="preserve"> </v>
      </c>
      <c r="J15" s="160">
        <f t="shared" si="4"/>
        <v>0</v>
      </c>
      <c r="K15" s="160">
        <f t="shared" si="5"/>
        <v>0</v>
      </c>
    </row>
    <row r="16" spans="1:12" ht="15" customHeight="1" x14ac:dyDescent="0.2">
      <c r="A16" s="174"/>
      <c r="B16" s="175"/>
      <c r="C16" s="179"/>
      <c r="D16" s="177"/>
      <c r="E16" s="176"/>
      <c r="F16" s="176"/>
      <c r="G16" s="176"/>
      <c r="H16" s="180"/>
      <c r="I16" s="178" t="str">
        <f t="shared" si="3"/>
        <v xml:space="preserve"> </v>
      </c>
      <c r="J16" s="160">
        <f t="shared" si="4"/>
        <v>0</v>
      </c>
      <c r="K16" s="160">
        <f t="shared" si="5"/>
        <v>0</v>
      </c>
    </row>
    <row r="17" spans="1:11" ht="15" customHeight="1" x14ac:dyDescent="0.2">
      <c r="A17" s="174"/>
      <c r="B17" s="175"/>
      <c r="C17" s="179"/>
      <c r="D17" s="177"/>
      <c r="E17" s="176"/>
      <c r="F17" s="176"/>
      <c r="G17" s="176"/>
      <c r="H17" s="180"/>
      <c r="I17" s="178" t="str">
        <f t="shared" ref="I17:I18" si="6">IFERROR((G17/K17)*H17," ")</f>
        <v xml:space="preserve"> </v>
      </c>
      <c r="J17" s="160">
        <f t="shared" ref="J17:J18" si="7">E17*D17</f>
        <v>0</v>
      </c>
      <c r="K17" s="160">
        <f t="shared" ref="K17:K18" si="8">E17/7</f>
        <v>0</v>
      </c>
    </row>
    <row r="18" spans="1:11" ht="15" customHeight="1" x14ac:dyDescent="0.2">
      <c r="A18" s="174"/>
      <c r="B18" s="175"/>
      <c r="C18" s="179"/>
      <c r="D18" s="177"/>
      <c r="E18" s="176"/>
      <c r="F18" s="176"/>
      <c r="G18" s="176"/>
      <c r="H18" s="180"/>
      <c r="I18" s="178" t="str">
        <f t="shared" si="6"/>
        <v xml:space="preserve"> </v>
      </c>
      <c r="J18" s="160">
        <f t="shared" si="7"/>
        <v>0</v>
      </c>
      <c r="K18" s="160">
        <f t="shared" si="8"/>
        <v>0</v>
      </c>
    </row>
    <row r="19" spans="1:11" ht="20.25" customHeight="1" x14ac:dyDescent="0.2">
      <c r="A19" s="174" t="s">
        <v>551</v>
      </c>
      <c r="B19" s="256" t="s">
        <v>617</v>
      </c>
      <c r="C19" s="257"/>
      <c r="D19" s="245">
        <f>IFERROR(SUM(D7:D18)," ")</f>
        <v>0</v>
      </c>
      <c r="E19" s="181">
        <f>SUM(E7:E18)</f>
        <v>0</v>
      </c>
      <c r="F19" s="181">
        <f>SUM(F7:F18)+J22</f>
        <v>0</v>
      </c>
      <c r="G19" s="181">
        <f>SUM(G7:G18)</f>
        <v>0</v>
      </c>
      <c r="H19" s="181">
        <f>SUM(H7:H18)</f>
        <v>0</v>
      </c>
      <c r="I19" s="182">
        <f>SUM(I7:I18)</f>
        <v>0</v>
      </c>
    </row>
    <row r="20" spans="1:11" ht="33.75" customHeight="1" x14ac:dyDescent="0.2"/>
    <row r="21" spans="1:11" x14ac:dyDescent="0.2">
      <c r="B21" s="159"/>
    </row>
    <row r="22" spans="1:11" x14ac:dyDescent="0.2">
      <c r="A22" s="227"/>
      <c r="B22" s="258" t="str">
        <f>CONCATENATE("Gross 
Floor Area 
",IF(Setup!$F$9="SI Units","(sq m)","(sq ft)"))</f>
        <v>Gross 
Floor Area 
(sq ft)</v>
      </c>
      <c r="C22" s="259"/>
      <c r="D22" s="243">
        <f>IFERROR(D19," ")</f>
        <v>0</v>
      </c>
      <c r="F22" s="184"/>
      <c r="G22" s="260" t="s">
        <v>618</v>
      </c>
      <c r="H22" s="261"/>
      <c r="J22" s="228">
        <f>(G24*H24)/8</f>
        <v>0</v>
      </c>
    </row>
    <row r="23" spans="1:11" ht="38.25" x14ac:dyDescent="0.2">
      <c r="A23" s="227"/>
      <c r="B23" s="253" t="s">
        <v>619</v>
      </c>
      <c r="C23" s="262"/>
      <c r="D23" s="244" t="str">
        <f>IFERROR(SUM(J7:J18)/D19," ")</f>
        <v xml:space="preserve"> </v>
      </c>
      <c r="F23" s="185"/>
      <c r="G23" s="186" t="s">
        <v>620</v>
      </c>
      <c r="H23" s="186" t="s">
        <v>621</v>
      </c>
    </row>
    <row r="24" spans="1:11" x14ac:dyDescent="0.2">
      <c r="A24" s="227"/>
      <c r="B24" s="253" t="s">
        <v>622</v>
      </c>
      <c r="C24" s="254"/>
      <c r="D24" s="187">
        <f>IFERROR((F19+I19)," ")</f>
        <v>0</v>
      </c>
      <c r="G24" s="188"/>
      <c r="H24" s="189"/>
    </row>
    <row r="25" spans="1:11" x14ac:dyDescent="0.2">
      <c r="C25" s="190"/>
      <c r="D25" s="190"/>
      <c r="I25" s="185"/>
    </row>
    <row r="26" spans="1:11" x14ac:dyDescent="0.2">
      <c r="I26" s="185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65" t="s">
        <v>570</v>
      </c>
      <c r="C2" s="266"/>
      <c r="D2" s="41" t="s">
        <v>605</v>
      </c>
      <c r="E2" s="1"/>
    </row>
    <row r="3" spans="1:6" x14ac:dyDescent="0.25">
      <c r="A3" s="6" t="s">
        <v>603</v>
      </c>
      <c r="B3" s="263" t="s">
        <v>700</v>
      </c>
      <c r="C3" s="264"/>
      <c r="D3" s="41" t="s">
        <v>563</v>
      </c>
      <c r="E3" s="1"/>
    </row>
    <row r="4" spans="1:6" ht="15" customHeight="1" x14ac:dyDescent="0.25">
      <c r="A4" s="6" t="s">
        <v>603</v>
      </c>
      <c r="B4" s="48" t="s">
        <v>571</v>
      </c>
      <c r="C4" s="27"/>
      <c r="D4" s="41" t="s">
        <v>582</v>
      </c>
      <c r="E4" s="1"/>
    </row>
    <row r="5" spans="1:6" ht="20.45" customHeight="1" x14ac:dyDescent="0.25">
      <c r="A5" s="6"/>
      <c r="B5" s="216" t="s">
        <v>634</v>
      </c>
      <c r="C5" s="152"/>
      <c r="D5" s="215"/>
      <c r="E5" s="1"/>
    </row>
    <row r="6" spans="1:6" ht="48" customHeight="1" x14ac:dyDescent="0.25">
      <c r="A6" s="6">
        <v>34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49"/>
    </row>
    <row r="7" spans="1:6" x14ac:dyDescent="0.25">
      <c r="A7" s="112">
        <f>IFERROR(IF(D7="",1,0),1)</f>
        <v>0</v>
      </c>
      <c r="B7" s="113">
        <f t="shared" ref="B7:B31" si="0">INDEX(Dates,1,E7)</f>
        <v>44012</v>
      </c>
      <c r="C7" s="113">
        <f t="shared" ref="C7" si="1">B7</f>
        <v>44012</v>
      </c>
      <c r="D7" s="114">
        <f t="shared" ref="D7:D31" si="2">HLOOKUP(B7,ReadingTable,2,FALSE)</f>
        <v>0.62</v>
      </c>
      <c r="E7" s="115">
        <f>IF(E6="",7,E6+1)</f>
        <v>7</v>
      </c>
    </row>
    <row r="8" spans="1:6" x14ac:dyDescent="0.25">
      <c r="A8" s="112">
        <f t="shared" ref="A8:A31" si="3">IFERROR(IF(D8="",1,0),1)</f>
        <v>0</v>
      </c>
      <c r="B8" s="113">
        <f t="shared" si="0"/>
        <v>43982</v>
      </c>
      <c r="C8" s="113">
        <f t="shared" ref="C8:C31" si="4">B8</f>
        <v>43982</v>
      </c>
      <c r="D8" s="114">
        <f t="shared" si="2"/>
        <v>0.19</v>
      </c>
      <c r="E8" s="115">
        <f t="shared" ref="E8:E31" si="5">IF(E7="",7,E7+1)</f>
        <v>8</v>
      </c>
    </row>
    <row r="9" spans="1:6" x14ac:dyDescent="0.25">
      <c r="A9" s="112">
        <f t="shared" si="3"/>
        <v>0</v>
      </c>
      <c r="B9" s="113">
        <f t="shared" si="0"/>
        <v>43951</v>
      </c>
      <c r="C9" s="113">
        <f t="shared" si="4"/>
        <v>43951</v>
      </c>
      <c r="D9" s="114">
        <f t="shared" si="2"/>
        <v>0.44</v>
      </c>
      <c r="E9" s="115">
        <f t="shared" si="5"/>
        <v>9</v>
      </c>
    </row>
    <row r="10" spans="1:6" x14ac:dyDescent="0.25">
      <c r="A10" s="112">
        <f t="shared" si="3"/>
        <v>0</v>
      </c>
      <c r="B10" s="113">
        <f t="shared" si="0"/>
        <v>43921</v>
      </c>
      <c r="C10" s="113">
        <f t="shared" si="4"/>
        <v>43921</v>
      </c>
      <c r="D10" s="114">
        <f t="shared" si="2"/>
        <v>0.73</v>
      </c>
      <c r="E10" s="115">
        <f t="shared" si="5"/>
        <v>10</v>
      </c>
    </row>
    <row r="11" spans="1:6" x14ac:dyDescent="0.25">
      <c r="A11" s="112">
        <f t="shared" si="3"/>
        <v>0</v>
      </c>
      <c r="B11" s="113">
        <f t="shared" si="0"/>
        <v>43889</v>
      </c>
      <c r="C11" s="113">
        <f t="shared" si="4"/>
        <v>43889</v>
      </c>
      <c r="D11" s="114">
        <f t="shared" si="2"/>
        <v>0.99</v>
      </c>
      <c r="E11" s="115">
        <f t="shared" si="5"/>
        <v>11</v>
      </c>
    </row>
    <row r="12" spans="1:6" x14ac:dyDescent="0.25">
      <c r="A12" s="112">
        <f t="shared" si="3"/>
        <v>0</v>
      </c>
      <c r="B12" s="113">
        <f t="shared" si="0"/>
        <v>43861</v>
      </c>
      <c r="C12" s="113">
        <f t="shared" si="4"/>
        <v>43861</v>
      </c>
      <c r="D12" s="114">
        <f t="shared" si="2"/>
        <v>0.11</v>
      </c>
      <c r="E12" s="115">
        <f t="shared" si="5"/>
        <v>12</v>
      </c>
    </row>
    <row r="13" spans="1:6" x14ac:dyDescent="0.25">
      <c r="A13" s="112">
        <f t="shared" si="3"/>
        <v>0</v>
      </c>
      <c r="B13" s="113">
        <f t="shared" si="0"/>
        <v>43830</v>
      </c>
      <c r="C13" s="113">
        <f t="shared" si="4"/>
        <v>43830</v>
      </c>
      <c r="D13" s="114">
        <f t="shared" si="2"/>
        <v>0.25</v>
      </c>
      <c r="E13" s="115">
        <f t="shared" si="5"/>
        <v>13</v>
      </c>
    </row>
    <row r="14" spans="1:6" x14ac:dyDescent="0.25">
      <c r="A14" s="112">
        <f t="shared" si="3"/>
        <v>0</v>
      </c>
      <c r="B14" s="113">
        <f t="shared" si="0"/>
        <v>43799</v>
      </c>
      <c r="C14" s="113">
        <f t="shared" si="4"/>
        <v>43799</v>
      </c>
      <c r="D14" s="114">
        <f t="shared" si="2"/>
        <v>0.25</v>
      </c>
      <c r="E14" s="115">
        <f t="shared" si="5"/>
        <v>14</v>
      </c>
    </row>
    <row r="15" spans="1:6" x14ac:dyDescent="0.25">
      <c r="A15" s="112">
        <f t="shared" si="3"/>
        <v>0</v>
      </c>
      <c r="B15" s="113">
        <f t="shared" si="0"/>
        <v>43769</v>
      </c>
      <c r="C15" s="113">
        <f t="shared" si="4"/>
        <v>43769</v>
      </c>
      <c r="D15" s="114">
        <f t="shared" si="2"/>
        <v>0.33</v>
      </c>
      <c r="E15" s="115">
        <f t="shared" si="5"/>
        <v>15</v>
      </c>
    </row>
    <row r="16" spans="1:6" x14ac:dyDescent="0.25">
      <c r="A16" s="112">
        <f t="shared" si="3"/>
        <v>0</v>
      </c>
      <c r="B16" s="113">
        <f t="shared" si="0"/>
        <v>43738</v>
      </c>
      <c r="C16" s="113">
        <f t="shared" si="4"/>
        <v>43738</v>
      </c>
      <c r="D16" s="114">
        <f t="shared" si="2"/>
        <v>0.19</v>
      </c>
      <c r="E16" s="115">
        <f t="shared" si="5"/>
        <v>16</v>
      </c>
    </row>
    <row r="17" spans="1:5" x14ac:dyDescent="0.25">
      <c r="A17" s="112">
        <f t="shared" si="3"/>
        <v>0</v>
      </c>
      <c r="B17" s="113">
        <f t="shared" si="0"/>
        <v>43708</v>
      </c>
      <c r="C17" s="113">
        <f t="shared" si="4"/>
        <v>43708</v>
      </c>
      <c r="D17" s="114">
        <f t="shared" si="2"/>
        <v>0.5</v>
      </c>
      <c r="E17" s="115">
        <f t="shared" si="5"/>
        <v>17</v>
      </c>
    </row>
    <row r="18" spans="1:5" x14ac:dyDescent="0.25">
      <c r="A18" s="112">
        <f t="shared" si="3"/>
        <v>0</v>
      </c>
      <c r="B18" s="113">
        <f t="shared" si="0"/>
        <v>43677</v>
      </c>
      <c r="C18" s="113">
        <f t="shared" si="4"/>
        <v>43677</v>
      </c>
      <c r="D18" s="114">
        <f t="shared" si="2"/>
        <v>0.5</v>
      </c>
      <c r="E18" s="115">
        <f t="shared" si="5"/>
        <v>18</v>
      </c>
    </row>
    <row r="19" spans="1:5" x14ac:dyDescent="0.25">
      <c r="A19" s="112">
        <f t="shared" si="3"/>
        <v>0</v>
      </c>
      <c r="B19" s="113">
        <f t="shared" si="0"/>
        <v>43646</v>
      </c>
      <c r="C19" s="113">
        <f t="shared" si="4"/>
        <v>43646</v>
      </c>
      <c r="D19" s="114">
        <f t="shared" si="2"/>
        <v>0.5</v>
      </c>
      <c r="E19" s="115">
        <f t="shared" si="5"/>
        <v>19</v>
      </c>
    </row>
    <row r="20" spans="1:5" x14ac:dyDescent="0.25">
      <c r="A20" s="112">
        <f t="shared" si="3"/>
        <v>0</v>
      </c>
      <c r="B20" s="113">
        <f t="shared" si="0"/>
        <v>43616</v>
      </c>
      <c r="C20" s="113">
        <f t="shared" si="4"/>
        <v>43616</v>
      </c>
      <c r="D20" s="114">
        <f t="shared" si="2"/>
        <v>0.19</v>
      </c>
      <c r="E20" s="115">
        <f t="shared" si="5"/>
        <v>20</v>
      </c>
    </row>
    <row r="21" spans="1:5" x14ac:dyDescent="0.25">
      <c r="A21" s="112">
        <f t="shared" si="3"/>
        <v>0</v>
      </c>
      <c r="B21" s="113">
        <f t="shared" si="0"/>
        <v>43585</v>
      </c>
      <c r="C21" s="113">
        <f t="shared" si="4"/>
        <v>43585</v>
      </c>
      <c r="D21" s="114">
        <f t="shared" si="2"/>
        <v>0.44</v>
      </c>
      <c r="E21" s="115">
        <f t="shared" si="5"/>
        <v>21</v>
      </c>
    </row>
    <row r="22" spans="1:5" x14ac:dyDescent="0.25">
      <c r="A22" s="112">
        <f t="shared" si="3"/>
        <v>0</v>
      </c>
      <c r="B22" s="113">
        <f t="shared" si="0"/>
        <v>43555</v>
      </c>
      <c r="C22" s="113">
        <f t="shared" si="4"/>
        <v>43555</v>
      </c>
      <c r="D22" s="114">
        <f t="shared" si="2"/>
        <v>0.73</v>
      </c>
      <c r="E22" s="115">
        <f t="shared" si="5"/>
        <v>22</v>
      </c>
    </row>
    <row r="23" spans="1:5" x14ac:dyDescent="0.25">
      <c r="A23" s="112">
        <f t="shared" si="3"/>
        <v>0</v>
      </c>
      <c r="B23" s="113">
        <f t="shared" si="0"/>
        <v>43524</v>
      </c>
      <c r="C23" s="113">
        <f t="shared" si="4"/>
        <v>43524</v>
      </c>
      <c r="D23" s="114">
        <f t="shared" si="2"/>
        <v>0.99</v>
      </c>
      <c r="E23" s="115">
        <f t="shared" si="5"/>
        <v>23</v>
      </c>
    </row>
    <row r="24" spans="1:5" x14ac:dyDescent="0.25">
      <c r="A24" s="112">
        <f t="shared" si="3"/>
        <v>0</v>
      </c>
      <c r="B24" s="113">
        <f t="shared" si="0"/>
        <v>43496</v>
      </c>
      <c r="C24" s="113">
        <f t="shared" si="4"/>
        <v>43496</v>
      </c>
      <c r="D24" s="114">
        <f t="shared" si="2"/>
        <v>0.11</v>
      </c>
      <c r="E24" s="115">
        <f t="shared" si="5"/>
        <v>24</v>
      </c>
    </row>
    <row r="25" spans="1:5" x14ac:dyDescent="0.25">
      <c r="A25" s="112">
        <f t="shared" si="3"/>
        <v>0</v>
      </c>
      <c r="B25" s="113">
        <f t="shared" si="0"/>
        <v>43465</v>
      </c>
      <c r="C25" s="113">
        <f t="shared" si="4"/>
        <v>43465</v>
      </c>
      <c r="D25" s="114">
        <f t="shared" si="2"/>
        <v>0.25</v>
      </c>
      <c r="E25" s="115">
        <f t="shared" si="5"/>
        <v>25</v>
      </c>
    </row>
    <row r="26" spans="1:5" x14ac:dyDescent="0.25">
      <c r="A26" s="112">
        <f t="shared" si="3"/>
        <v>0</v>
      </c>
      <c r="B26" s="113">
        <f t="shared" si="0"/>
        <v>43434</v>
      </c>
      <c r="C26" s="113">
        <f t="shared" si="4"/>
        <v>43434</v>
      </c>
      <c r="D26" s="114">
        <f t="shared" si="2"/>
        <v>0.25</v>
      </c>
      <c r="E26" s="115">
        <f t="shared" si="5"/>
        <v>26</v>
      </c>
    </row>
    <row r="27" spans="1:5" x14ac:dyDescent="0.25">
      <c r="A27" s="112">
        <f t="shared" si="3"/>
        <v>0</v>
      </c>
      <c r="B27" s="113">
        <f t="shared" si="0"/>
        <v>43404</v>
      </c>
      <c r="C27" s="113">
        <f t="shared" si="4"/>
        <v>43404</v>
      </c>
      <c r="D27" s="114">
        <f t="shared" si="2"/>
        <v>0.33</v>
      </c>
      <c r="E27" s="115">
        <f t="shared" si="5"/>
        <v>27</v>
      </c>
    </row>
    <row r="28" spans="1:5" x14ac:dyDescent="0.25">
      <c r="A28" s="112">
        <f t="shared" si="3"/>
        <v>0</v>
      </c>
      <c r="B28" s="113">
        <f t="shared" si="0"/>
        <v>43373</v>
      </c>
      <c r="C28" s="113">
        <f t="shared" si="4"/>
        <v>43373</v>
      </c>
      <c r="D28" s="114">
        <f t="shared" si="2"/>
        <v>0.19</v>
      </c>
      <c r="E28" s="115">
        <f t="shared" si="5"/>
        <v>28</v>
      </c>
    </row>
    <row r="29" spans="1:5" x14ac:dyDescent="0.25">
      <c r="A29" s="112">
        <f t="shared" si="3"/>
        <v>0</v>
      </c>
      <c r="B29" s="113">
        <f t="shared" si="0"/>
        <v>43343</v>
      </c>
      <c r="C29" s="113">
        <f t="shared" si="4"/>
        <v>43343</v>
      </c>
      <c r="D29" s="114">
        <f t="shared" si="2"/>
        <v>0.5</v>
      </c>
      <c r="E29" s="115">
        <f t="shared" si="5"/>
        <v>29</v>
      </c>
    </row>
    <row r="30" spans="1:5" x14ac:dyDescent="0.25">
      <c r="A30" s="112">
        <f t="shared" si="3"/>
        <v>0</v>
      </c>
      <c r="B30" s="113">
        <f t="shared" si="0"/>
        <v>43312</v>
      </c>
      <c r="C30" s="113">
        <f t="shared" si="4"/>
        <v>43312</v>
      </c>
      <c r="D30" s="114">
        <f t="shared" si="2"/>
        <v>0.5</v>
      </c>
      <c r="E30" s="115">
        <f t="shared" si="5"/>
        <v>30</v>
      </c>
    </row>
    <row r="31" spans="1:5" x14ac:dyDescent="0.25">
      <c r="A31" s="112">
        <f t="shared" si="3"/>
        <v>0</v>
      </c>
      <c r="B31" s="113">
        <f t="shared" si="0"/>
        <v>43281</v>
      </c>
      <c r="C31" s="113">
        <f t="shared" si="4"/>
        <v>43281</v>
      </c>
      <c r="D31" s="114">
        <f t="shared" si="2"/>
        <v>0.5</v>
      </c>
      <c r="E31" s="115">
        <f t="shared" si="5"/>
        <v>31</v>
      </c>
    </row>
    <row r="32" spans="1:5" x14ac:dyDescent="0.25">
      <c r="A32" s="6" t="s">
        <v>551</v>
      </c>
      <c r="B32" s="44"/>
      <c r="C32" s="44"/>
      <c r="D32" s="44"/>
      <c r="E32" s="44"/>
    </row>
    <row r="33" spans="1:5" x14ac:dyDescent="0.25">
      <c r="A33" s="6"/>
      <c r="B33" s="44"/>
      <c r="C33" s="44"/>
      <c r="D33" s="44"/>
      <c r="E33" s="44"/>
    </row>
    <row r="34" spans="1:5" ht="36.6" customHeight="1" x14ac:dyDescent="0.25">
      <c r="A34" s="6" t="s">
        <v>551</v>
      </c>
      <c r="B34" s="34"/>
      <c r="C34" s="34"/>
      <c r="D34" s="34"/>
      <c r="E34" s="1"/>
    </row>
  </sheetData>
  <sheetProtection algorithmName="SHA-512" hashValue="wRtbaXnfle7a3799zDn4uq90r5KH+Ll2EfnWhYa0KeKX2bnOZo1uUaeyJHnwhKWX32VeaPZ0olyf+umMqSq++Q==" saltValue="nS1BgPYbKgQf1s1GbpuHI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B3" sqref="B3:B27"/>
    </sheetView>
  </sheetViews>
  <sheetFormatPr defaultColWidth="14.7109375" defaultRowHeight="12.75" x14ac:dyDescent="0.25"/>
  <cols>
    <col min="1" max="1" width="4.28515625" style="84" customWidth="1"/>
    <col min="2" max="2" width="18.7109375" style="86" customWidth="1"/>
    <col min="3" max="16384" width="14.7109375" style="86"/>
  </cols>
  <sheetData>
    <row r="1" spans="1:6" ht="36" customHeight="1" x14ac:dyDescent="0.25">
      <c r="A1" s="84" t="s">
        <v>603</v>
      </c>
      <c r="B1" s="85" t="s">
        <v>632</v>
      </c>
    </row>
    <row r="2" spans="1:6" ht="33.75" customHeight="1" x14ac:dyDescent="0.25">
      <c r="A2" s="84" t="s">
        <v>603</v>
      </c>
      <c r="B2" s="87" t="s">
        <v>583</v>
      </c>
      <c r="C2" s="88" t="s">
        <v>709</v>
      </c>
      <c r="D2" s="89" t="s">
        <v>584</v>
      </c>
      <c r="E2" s="90" t="s">
        <v>585</v>
      </c>
      <c r="F2" s="91" t="s">
        <v>595</v>
      </c>
    </row>
    <row r="3" spans="1:6" x14ac:dyDescent="0.25">
      <c r="B3" s="121" t="s">
        <v>711</v>
      </c>
      <c r="C3" s="248">
        <v>43983</v>
      </c>
      <c r="D3" s="141">
        <v>44012</v>
      </c>
      <c r="E3" s="150">
        <v>0.375</v>
      </c>
      <c r="F3" s="142">
        <v>0.62</v>
      </c>
    </row>
    <row r="4" spans="1:6" x14ac:dyDescent="0.25">
      <c r="B4" s="121" t="s">
        <v>712</v>
      </c>
      <c r="C4" s="248">
        <v>43952</v>
      </c>
      <c r="D4" s="141">
        <v>43982</v>
      </c>
      <c r="E4" s="150">
        <v>0.41666666666666669</v>
      </c>
      <c r="F4" s="142">
        <v>0.19</v>
      </c>
    </row>
    <row r="5" spans="1:6" x14ac:dyDescent="0.25">
      <c r="B5" s="121" t="s">
        <v>713</v>
      </c>
      <c r="C5" s="248">
        <v>43922</v>
      </c>
      <c r="D5" s="141">
        <v>43951</v>
      </c>
      <c r="E5" s="150">
        <v>0.45833333333333331</v>
      </c>
      <c r="F5" s="142">
        <v>0.44</v>
      </c>
    </row>
    <row r="6" spans="1:6" x14ac:dyDescent="0.25">
      <c r="B6" s="121" t="s">
        <v>714</v>
      </c>
      <c r="C6" s="248">
        <v>43891</v>
      </c>
      <c r="D6" s="141">
        <v>43921</v>
      </c>
      <c r="E6" s="150">
        <v>0.10416666666666667</v>
      </c>
      <c r="F6" s="142">
        <v>0.73</v>
      </c>
    </row>
    <row r="7" spans="1:6" x14ac:dyDescent="0.25">
      <c r="B7" s="121" t="s">
        <v>715</v>
      </c>
      <c r="C7" s="248">
        <v>43862</v>
      </c>
      <c r="D7" s="141">
        <v>43889</v>
      </c>
      <c r="E7" s="150">
        <v>0.14583333333333334</v>
      </c>
      <c r="F7" s="142">
        <v>0.99</v>
      </c>
    </row>
    <row r="8" spans="1:6" x14ac:dyDescent="0.25">
      <c r="B8" s="121" t="s">
        <v>712</v>
      </c>
      <c r="C8" s="248">
        <v>43831</v>
      </c>
      <c r="D8" s="141">
        <v>43861</v>
      </c>
      <c r="E8" s="150">
        <v>8.3333333333333329E-2</v>
      </c>
      <c r="F8" s="142">
        <v>0.11</v>
      </c>
    </row>
    <row r="9" spans="1:6" x14ac:dyDescent="0.25">
      <c r="B9" s="121" t="s">
        <v>713</v>
      </c>
      <c r="C9" s="248">
        <v>43800</v>
      </c>
      <c r="D9" s="141">
        <v>43830</v>
      </c>
      <c r="E9" s="150">
        <v>0.125</v>
      </c>
      <c r="F9" s="142">
        <v>0.25</v>
      </c>
    </row>
    <row r="10" spans="1:6" x14ac:dyDescent="0.25">
      <c r="B10" s="121" t="s">
        <v>711</v>
      </c>
      <c r="C10" s="248">
        <v>43770</v>
      </c>
      <c r="D10" s="141">
        <v>43799</v>
      </c>
      <c r="E10" s="150">
        <v>0.33333333333333331</v>
      </c>
      <c r="F10" s="142">
        <v>0.25</v>
      </c>
    </row>
    <row r="11" spans="1:6" x14ac:dyDescent="0.25">
      <c r="B11" s="121" t="s">
        <v>716</v>
      </c>
      <c r="C11" s="248">
        <v>43739</v>
      </c>
      <c r="D11" s="141">
        <v>43769</v>
      </c>
      <c r="E11" s="150">
        <v>0.30555555555555552</v>
      </c>
      <c r="F11" s="142">
        <v>0.33</v>
      </c>
    </row>
    <row r="12" spans="1:6" x14ac:dyDescent="0.25">
      <c r="B12" s="121" t="s">
        <v>717</v>
      </c>
      <c r="C12" s="248">
        <v>43709</v>
      </c>
      <c r="D12" s="141">
        <v>43738</v>
      </c>
      <c r="E12" s="150">
        <v>0.26458333333333334</v>
      </c>
      <c r="F12" s="142">
        <v>0.19</v>
      </c>
    </row>
    <row r="13" spans="1:6" x14ac:dyDescent="0.25">
      <c r="B13" s="121" t="s">
        <v>718</v>
      </c>
      <c r="C13" s="248">
        <v>43678</v>
      </c>
      <c r="D13" s="141">
        <v>43708</v>
      </c>
      <c r="E13" s="150">
        <v>0.5083333333333333</v>
      </c>
      <c r="F13" s="142">
        <v>0.5</v>
      </c>
    </row>
    <row r="14" spans="1:6" x14ac:dyDescent="0.25">
      <c r="B14" s="121" t="s">
        <v>719</v>
      </c>
      <c r="C14" s="248">
        <v>43647</v>
      </c>
      <c r="D14" s="141">
        <v>43677</v>
      </c>
      <c r="E14" s="150">
        <v>5.486111111111111E-2</v>
      </c>
      <c r="F14" s="142">
        <v>0.5</v>
      </c>
    </row>
    <row r="15" spans="1:6" x14ac:dyDescent="0.25">
      <c r="B15" s="121" t="s">
        <v>720</v>
      </c>
      <c r="C15" s="248">
        <v>43617</v>
      </c>
      <c r="D15" s="141">
        <v>43646</v>
      </c>
      <c r="E15" s="150">
        <v>0.38194444444444442</v>
      </c>
      <c r="F15" s="142">
        <v>0.5</v>
      </c>
    </row>
    <row r="16" spans="1:6" x14ac:dyDescent="0.25">
      <c r="B16" s="121" t="s">
        <v>711</v>
      </c>
      <c r="C16" s="248">
        <v>43586</v>
      </c>
      <c r="D16" s="141">
        <v>43616</v>
      </c>
      <c r="E16" s="150">
        <v>0.375</v>
      </c>
      <c r="F16" s="142">
        <v>0.19</v>
      </c>
    </row>
    <row r="17" spans="1:31" x14ac:dyDescent="0.25">
      <c r="B17" s="121" t="s">
        <v>712</v>
      </c>
      <c r="C17" s="248">
        <v>43556</v>
      </c>
      <c r="D17" s="141">
        <v>43585</v>
      </c>
      <c r="E17" s="150">
        <v>0.41666666666666669</v>
      </c>
      <c r="F17" s="142">
        <v>0.44</v>
      </c>
    </row>
    <row r="18" spans="1:31" x14ac:dyDescent="0.25">
      <c r="B18" s="121" t="s">
        <v>713</v>
      </c>
      <c r="C18" s="248">
        <v>43525</v>
      </c>
      <c r="D18" s="141">
        <v>43555</v>
      </c>
      <c r="E18" s="150">
        <v>0.45833333333333331</v>
      </c>
      <c r="F18" s="142">
        <v>0.73</v>
      </c>
    </row>
    <row r="19" spans="1:31" x14ac:dyDescent="0.25">
      <c r="B19" s="121" t="s">
        <v>714</v>
      </c>
      <c r="C19" s="248">
        <v>43497</v>
      </c>
      <c r="D19" s="141">
        <v>43524</v>
      </c>
      <c r="E19" s="150">
        <v>0.10416666666666667</v>
      </c>
      <c r="F19" s="142">
        <v>0.99</v>
      </c>
    </row>
    <row r="20" spans="1:31" x14ac:dyDescent="0.25">
      <c r="B20" s="121" t="s">
        <v>715</v>
      </c>
      <c r="C20" s="248">
        <v>43466</v>
      </c>
      <c r="D20" s="141">
        <v>43496</v>
      </c>
      <c r="E20" s="150">
        <v>0.14583333333333334</v>
      </c>
      <c r="F20" s="142">
        <v>0.11</v>
      </c>
    </row>
    <row r="21" spans="1:31" x14ac:dyDescent="0.25">
      <c r="B21" s="121" t="s">
        <v>712</v>
      </c>
      <c r="C21" s="248">
        <v>43435</v>
      </c>
      <c r="D21" s="141">
        <v>43465</v>
      </c>
      <c r="E21" s="150">
        <v>8.3333333333333329E-2</v>
      </c>
      <c r="F21" s="142">
        <v>0.25</v>
      </c>
    </row>
    <row r="22" spans="1:31" x14ac:dyDescent="0.25">
      <c r="B22" s="121" t="s">
        <v>713</v>
      </c>
      <c r="C22" s="248">
        <v>43405</v>
      </c>
      <c r="D22" s="141">
        <v>43434</v>
      </c>
      <c r="E22" s="150">
        <v>0.125</v>
      </c>
      <c r="F22" s="142">
        <v>0.25</v>
      </c>
    </row>
    <row r="23" spans="1:31" x14ac:dyDescent="0.25">
      <c r="B23" s="121" t="s">
        <v>711</v>
      </c>
      <c r="C23" s="248">
        <v>43374</v>
      </c>
      <c r="D23" s="141">
        <v>43404</v>
      </c>
      <c r="E23" s="150">
        <v>0.33333333333333331</v>
      </c>
      <c r="F23" s="142">
        <v>0.33</v>
      </c>
    </row>
    <row r="24" spans="1:31" x14ac:dyDescent="0.25">
      <c r="B24" s="121" t="s">
        <v>716</v>
      </c>
      <c r="C24" s="248">
        <v>43344</v>
      </c>
      <c r="D24" s="141">
        <v>43373</v>
      </c>
      <c r="E24" s="150">
        <v>0.30555555555555552</v>
      </c>
      <c r="F24" s="142">
        <v>0.19</v>
      </c>
    </row>
    <row r="25" spans="1:31" x14ac:dyDescent="0.25">
      <c r="B25" s="121" t="s">
        <v>717</v>
      </c>
      <c r="C25" s="248">
        <v>43313</v>
      </c>
      <c r="D25" s="141">
        <v>43343</v>
      </c>
      <c r="E25" s="150">
        <v>0.26458333333333334</v>
      </c>
      <c r="F25" s="142">
        <v>0.5</v>
      </c>
    </row>
    <row r="26" spans="1:31" x14ac:dyDescent="0.25">
      <c r="B26" s="121" t="s">
        <v>718</v>
      </c>
      <c r="C26" s="248">
        <v>43282</v>
      </c>
      <c r="D26" s="141">
        <v>43312</v>
      </c>
      <c r="E26" s="150">
        <v>0.5083333333333333</v>
      </c>
      <c r="F26" s="142">
        <v>0.5</v>
      </c>
    </row>
    <row r="27" spans="1:31" x14ac:dyDescent="0.25">
      <c r="B27" s="121" t="s">
        <v>715</v>
      </c>
      <c r="C27" s="248">
        <v>43252</v>
      </c>
      <c r="D27" s="141">
        <v>43281</v>
      </c>
      <c r="E27" s="150">
        <v>0.26458333333333334</v>
      </c>
      <c r="F27" s="142">
        <v>0.5</v>
      </c>
    </row>
    <row r="28" spans="1:31" ht="39" customHeight="1" x14ac:dyDescent="0.25"/>
    <row r="29" spans="1:31" s="92" customFormat="1" ht="51" customHeight="1" x14ac:dyDescent="0.2">
      <c r="A29" s="84" t="s">
        <v>593</v>
      </c>
      <c r="B29" s="85" t="s">
        <v>587</v>
      </c>
      <c r="F29" s="93"/>
      <c r="G29" s="94">
        <f t="shared" ref="G29:AE29" si="0">IF(G31="",1,0)</f>
        <v>0</v>
      </c>
      <c r="H29" s="94">
        <f t="shared" si="0"/>
        <v>0</v>
      </c>
      <c r="I29" s="94">
        <f t="shared" si="0"/>
        <v>0</v>
      </c>
      <c r="J29" s="94">
        <f t="shared" si="0"/>
        <v>0</v>
      </c>
      <c r="K29" s="94">
        <f t="shared" si="0"/>
        <v>0</v>
      </c>
      <c r="L29" s="94">
        <f t="shared" si="0"/>
        <v>0</v>
      </c>
      <c r="M29" s="94">
        <f t="shared" si="0"/>
        <v>0</v>
      </c>
      <c r="N29" s="94">
        <f t="shared" si="0"/>
        <v>0</v>
      </c>
      <c r="O29" s="94">
        <f t="shared" si="0"/>
        <v>0</v>
      </c>
      <c r="P29" s="94">
        <f t="shared" si="0"/>
        <v>0</v>
      </c>
      <c r="Q29" s="94">
        <f t="shared" si="0"/>
        <v>0</v>
      </c>
      <c r="R29" s="94">
        <f t="shared" si="0"/>
        <v>0</v>
      </c>
      <c r="S29" s="94">
        <f t="shared" si="0"/>
        <v>0</v>
      </c>
      <c r="T29" s="94">
        <f t="shared" si="0"/>
        <v>0</v>
      </c>
      <c r="U29" s="94">
        <f t="shared" si="0"/>
        <v>0</v>
      </c>
      <c r="V29" s="94">
        <f t="shared" si="0"/>
        <v>0</v>
      </c>
      <c r="W29" s="94">
        <f t="shared" si="0"/>
        <v>0</v>
      </c>
      <c r="X29" s="94">
        <f t="shared" si="0"/>
        <v>0</v>
      </c>
      <c r="Y29" s="94">
        <f t="shared" si="0"/>
        <v>0</v>
      </c>
      <c r="Z29" s="94">
        <f t="shared" si="0"/>
        <v>0</v>
      </c>
      <c r="AA29" s="94">
        <f t="shared" si="0"/>
        <v>0</v>
      </c>
      <c r="AB29" s="94">
        <f t="shared" si="0"/>
        <v>0</v>
      </c>
      <c r="AC29" s="94">
        <f t="shared" si="0"/>
        <v>0</v>
      </c>
      <c r="AD29" s="94">
        <f t="shared" si="0"/>
        <v>0</v>
      </c>
      <c r="AE29" s="94">
        <f t="shared" si="0"/>
        <v>0</v>
      </c>
    </row>
    <row r="30" spans="1:31" ht="21" customHeight="1" x14ac:dyDescent="0.25">
      <c r="A30" s="84" t="s">
        <v>603</v>
      </c>
      <c r="B30" s="267" t="s">
        <v>583</v>
      </c>
      <c r="C30" s="95"/>
      <c r="D30" s="95"/>
      <c r="E30" s="95"/>
      <c r="F30" s="96"/>
      <c r="G30" s="97" t="s">
        <v>584</v>
      </c>
      <c r="H30" s="97" t="s">
        <v>584</v>
      </c>
      <c r="I30" s="97" t="s">
        <v>584</v>
      </c>
      <c r="J30" s="97" t="s">
        <v>584</v>
      </c>
      <c r="K30" s="97" t="s">
        <v>584</v>
      </c>
      <c r="L30" s="97" t="s">
        <v>584</v>
      </c>
      <c r="M30" s="97" t="s">
        <v>584</v>
      </c>
      <c r="N30" s="97" t="s">
        <v>584</v>
      </c>
      <c r="O30" s="97" t="s">
        <v>584</v>
      </c>
      <c r="P30" s="97" t="s">
        <v>584</v>
      </c>
      <c r="Q30" s="97" t="s">
        <v>584</v>
      </c>
      <c r="R30" s="97" t="s">
        <v>584</v>
      </c>
      <c r="S30" s="97" t="s">
        <v>584</v>
      </c>
      <c r="T30" s="97" t="s">
        <v>584</v>
      </c>
      <c r="U30" s="97" t="s">
        <v>584</v>
      </c>
      <c r="V30" s="97" t="s">
        <v>584</v>
      </c>
      <c r="W30" s="97" t="s">
        <v>584</v>
      </c>
      <c r="X30" s="97" t="s">
        <v>584</v>
      </c>
      <c r="Y30" s="97" t="s">
        <v>584</v>
      </c>
      <c r="Z30" s="97" t="s">
        <v>584</v>
      </c>
      <c r="AA30" s="97" t="s">
        <v>584</v>
      </c>
      <c r="AB30" s="97" t="s">
        <v>584</v>
      </c>
      <c r="AC30" s="97" t="s">
        <v>584</v>
      </c>
      <c r="AD30" s="97" t="s">
        <v>584</v>
      </c>
      <c r="AE30" s="97" t="s">
        <v>584</v>
      </c>
    </row>
    <row r="31" spans="1:31" ht="15" customHeight="1" x14ac:dyDescent="0.25">
      <c r="A31" s="84" t="s">
        <v>603</v>
      </c>
      <c r="B31" s="268"/>
      <c r="C31" s="98"/>
      <c r="D31" s="98"/>
      <c r="E31" s="98"/>
      <c r="F31" s="99"/>
      <c r="G31" s="229">
        <f t="array" ref="G31">IFERROR(INDEX($D$3:$D$28, MATCH(0,IF(ISBLANK($D$3:$D$28),1,COUNTIF($F$31:F31, $D$3:$D$28)), 0)),"")</f>
        <v>44012</v>
      </c>
      <c r="H31" s="229">
        <f t="array" ref="H31">IFERROR(INDEX($D$3:$D$28, MATCH(0,IF(ISBLANK($D$3:$D$28),1,COUNTIF($F$31:G31, $D$3:$D$28)), 0)),"")</f>
        <v>43982</v>
      </c>
      <c r="I31" s="229">
        <f t="array" ref="I31">IFERROR(INDEX($D$3:$D$28, MATCH(0,IF(ISBLANK($D$3:$D$28),1,COUNTIF($F$31:H31, $D$3:$D$28)), 0)),"")</f>
        <v>43951</v>
      </c>
      <c r="J31" s="229">
        <f t="array" ref="J31">IFERROR(INDEX($D$3:$D$28, MATCH(0,IF(ISBLANK($D$3:$D$28),1,COUNTIF($F$31:I31, $D$3:$D$28)), 0)),"")</f>
        <v>43921</v>
      </c>
      <c r="K31" s="229">
        <f t="array" ref="K31">IFERROR(INDEX($D$3:$D$28, MATCH(0,IF(ISBLANK($D$3:$D$28),1,COUNTIF($F$31:J31, $D$3:$D$28)), 0)),"")</f>
        <v>43889</v>
      </c>
      <c r="L31" s="229">
        <f t="array" ref="L31">IFERROR(INDEX($D$3:$D$28, MATCH(0,IF(ISBLANK($D$3:$D$28),1,COUNTIF($F$31:K31, $D$3:$D$28)), 0)),"")</f>
        <v>43861</v>
      </c>
      <c r="M31" s="229">
        <f t="array" ref="M31">IFERROR(INDEX($D$3:$D$28, MATCH(0,IF(ISBLANK($D$3:$D$28),1,COUNTIF($F$31:L31, $D$3:$D$28)), 0)),"")</f>
        <v>43830</v>
      </c>
      <c r="N31" s="229">
        <f t="array" ref="N31">IFERROR(INDEX($D$3:$D$28, MATCH(0,IF(ISBLANK($D$3:$D$28),1,COUNTIF($F$31:M31, $D$3:$D$28)), 0)),"")</f>
        <v>43799</v>
      </c>
      <c r="O31" s="229">
        <f t="array" ref="O31">IFERROR(INDEX($D$3:$D$28, MATCH(0,IF(ISBLANK($D$3:$D$28),1,COUNTIF($F$31:N31, $D$3:$D$28)), 0)),"")</f>
        <v>43769</v>
      </c>
      <c r="P31" s="229">
        <f t="array" ref="P31">IFERROR(INDEX($D$3:$D$28, MATCH(0,IF(ISBLANK($D$3:$D$28),1,COUNTIF($F$31:O31, $D$3:$D$28)), 0)),"")</f>
        <v>43738</v>
      </c>
      <c r="Q31" s="229">
        <f t="array" ref="Q31">IFERROR(INDEX($D$3:$D$28, MATCH(0,IF(ISBLANK($D$3:$D$28),1,COUNTIF($F$31:P31, $D$3:$D$28)), 0)),"")</f>
        <v>43708</v>
      </c>
      <c r="R31" s="229">
        <f t="array" ref="R31">IFERROR(INDEX($D$3:$D$28, MATCH(0,IF(ISBLANK($D$3:$D$28),1,COUNTIF($F$31:Q31, $D$3:$D$28)), 0)),"")</f>
        <v>43677</v>
      </c>
      <c r="S31" s="229">
        <f t="array" ref="S31">IFERROR(INDEX($D$3:$D$28, MATCH(0,IF(ISBLANK($D$3:$D$28),1,COUNTIF($F$31:R31, $D$3:$D$28)), 0)),"")</f>
        <v>43646</v>
      </c>
      <c r="T31" s="229">
        <f t="array" ref="T31">IFERROR(INDEX($D$3:$D$28, MATCH(0,IF(ISBLANK($D$3:$D$28),1,COUNTIF($F$31:S31, $D$3:$D$28)), 0)),"")</f>
        <v>43616</v>
      </c>
      <c r="U31" s="229">
        <f t="array" ref="U31">IFERROR(INDEX($D$3:$D$28, MATCH(0,IF(ISBLANK($D$3:$D$28),1,COUNTIF($F$31:T31, $D$3:$D$28)), 0)),"")</f>
        <v>43585</v>
      </c>
      <c r="V31" s="229">
        <f t="array" ref="V31">IFERROR(INDEX($D$3:$D$28, MATCH(0,IF(ISBLANK($D$3:$D$28),1,COUNTIF($F$31:U31, $D$3:$D$28)), 0)),"")</f>
        <v>43555</v>
      </c>
      <c r="W31" s="229">
        <f t="array" ref="W31">IFERROR(INDEX($D$3:$D$28, MATCH(0,IF(ISBLANK($D$3:$D$28),1,COUNTIF($F$31:V31, $D$3:$D$28)), 0)),"")</f>
        <v>43524</v>
      </c>
      <c r="X31" s="229">
        <f t="array" ref="X31">IFERROR(INDEX($D$3:$D$28, MATCH(0,IF(ISBLANK($D$3:$D$28),1,COUNTIF($F$31:W31, $D$3:$D$28)), 0)),"")</f>
        <v>43496</v>
      </c>
      <c r="Y31" s="229">
        <f t="array" ref="Y31">IFERROR(INDEX($D$3:$D$28, MATCH(0,IF(ISBLANK($D$3:$D$28),1,COUNTIF($F$31:X31, $D$3:$D$28)), 0)),"")</f>
        <v>43465</v>
      </c>
      <c r="Z31" s="229">
        <f t="array" ref="Z31">IFERROR(INDEX($D$3:$D$28, MATCH(0,IF(ISBLANK($D$3:$D$28),1,COUNTIF($F$31:Y31, $D$3:$D$28)), 0)),"")</f>
        <v>43434</v>
      </c>
      <c r="AA31" s="229">
        <f t="array" ref="AA31">IFERROR(INDEX($D$3:$D$28, MATCH(0,IF(ISBLANK($D$3:$D$28),1,COUNTIF($F$31:Z31, $D$3:$D$28)), 0)),"")</f>
        <v>43404</v>
      </c>
      <c r="AB31" s="229">
        <f t="array" ref="AB31">IFERROR(INDEX($D$3:$D$28, MATCH(0,IF(ISBLANK($D$3:$D$28),1,COUNTIF($F$31:AA31, $D$3:$D$28)), 0)),"")</f>
        <v>43373</v>
      </c>
      <c r="AC31" s="229">
        <f t="array" ref="AC31">IFERROR(INDEX($D$3:$D$28, MATCH(0,IF(ISBLANK($D$3:$D$28),1,COUNTIF($F$31:AB31, $D$3:$D$28)), 0)),"")</f>
        <v>43343</v>
      </c>
      <c r="AD31" s="229">
        <f t="array" ref="AD31">IFERROR(INDEX($D$3:$D$28, MATCH(0,IF(ISBLANK($D$3:$D$28),1,COUNTIF($F$31:AC31, $D$3:$D$28)), 0)),"")</f>
        <v>43312</v>
      </c>
      <c r="AE31" s="229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4" t="s">
        <v>603</v>
      </c>
      <c r="B32" s="269"/>
      <c r="C32" s="100"/>
      <c r="D32" s="100"/>
      <c r="E32" s="100"/>
      <c r="F32" s="101"/>
      <c r="G32" s="102" t="s">
        <v>594</v>
      </c>
      <c r="H32" s="102" t="s">
        <v>594</v>
      </c>
      <c r="I32" s="102" t="s">
        <v>594</v>
      </c>
      <c r="J32" s="102" t="s">
        <v>594</v>
      </c>
      <c r="K32" s="102" t="s">
        <v>594</v>
      </c>
      <c r="L32" s="102" t="s">
        <v>594</v>
      </c>
      <c r="M32" s="102" t="s">
        <v>594</v>
      </c>
      <c r="N32" s="102" t="s">
        <v>594</v>
      </c>
      <c r="O32" s="102" t="s">
        <v>594</v>
      </c>
      <c r="P32" s="102" t="s">
        <v>594</v>
      </c>
      <c r="Q32" s="102" t="s">
        <v>594</v>
      </c>
      <c r="R32" s="102" t="s">
        <v>594</v>
      </c>
      <c r="S32" s="102" t="s">
        <v>594</v>
      </c>
      <c r="T32" s="102" t="s">
        <v>594</v>
      </c>
      <c r="U32" s="102" t="s">
        <v>594</v>
      </c>
      <c r="V32" s="102" t="s">
        <v>594</v>
      </c>
      <c r="W32" s="102" t="s">
        <v>594</v>
      </c>
      <c r="X32" s="102" t="s">
        <v>594</v>
      </c>
      <c r="Y32" s="102" t="s">
        <v>594</v>
      </c>
      <c r="Z32" s="102" t="s">
        <v>594</v>
      </c>
      <c r="AA32" s="102" t="s">
        <v>594</v>
      </c>
      <c r="AB32" s="102" t="s">
        <v>594</v>
      </c>
      <c r="AC32" s="102" t="s">
        <v>594</v>
      </c>
      <c r="AD32" s="102" t="s">
        <v>594</v>
      </c>
      <c r="AE32" s="102" t="s">
        <v>594</v>
      </c>
    </row>
    <row r="33" spans="1:31" ht="15" customHeight="1" x14ac:dyDescent="0.25">
      <c r="A33" s="84">
        <f>IF(B33="",1,0)</f>
        <v>0</v>
      </c>
      <c r="B33" s="103" t="str">
        <f t="array" ref="B33">IFERROR(INDEX($B$3:$B$28, MATCH(0,IF(ISBLANK($B$3:$B$28),1,COUNTIF($B$32:B32, $B$3:$B$28)), 0)),"")</f>
        <v>Goa</v>
      </c>
      <c r="C33" s="104"/>
      <c r="D33" s="104"/>
      <c r="E33" s="104"/>
      <c r="F33" s="105"/>
      <c r="G33" s="143">
        <f t="array" ref="G33">IFERROR(PERCENTILE(IF($B$3:$B$28=$B33,IF($D$3:$D$28=G$31,IF($F$3:$F$28&lt;&gt;"",$F$3:$F$28))),0.95),"")</f>
        <v>0.62</v>
      </c>
      <c r="H33" s="143" t="str">
        <f t="array" ref="H33">IFERROR(PERCENTILE(IF($B$3:$B$28=$B33,IF($D$3:$D$28=H$31,IF($F$3:$F$28&lt;&gt;"",$F$3:$F$28))),0.95),"")</f>
        <v/>
      </c>
      <c r="I33" s="143" t="str">
        <f t="array" ref="I33">IFERROR(PERCENTILE(IF($B$3:$B$28=$B33,IF($D$3:$D$28=I$31,IF($F$3:$F$28&lt;&gt;"",$F$3:$F$28))),0.95),"")</f>
        <v/>
      </c>
      <c r="J33" s="143" t="str">
        <f t="array" ref="J33">IFERROR(PERCENTILE(IF($B$3:$B$28=$B33,IF($D$3:$D$28=J$31,IF($F$3:$F$28&lt;&gt;"",$F$3:$F$28))),0.95),"")</f>
        <v/>
      </c>
      <c r="K33" s="143" t="str">
        <f t="array" ref="K33">IFERROR(PERCENTILE(IF($B$3:$B$28=$B33,IF($D$3:$D$28=K$31,IF($F$3:$F$28&lt;&gt;"",$F$3:$F$28))),0.95),"")</f>
        <v/>
      </c>
      <c r="L33" s="143" t="str">
        <f t="array" ref="L33">IFERROR(PERCENTILE(IF($B$3:$B$28=$B33,IF($D$3:$D$28=L$31,IF($F$3:$F$28&lt;&gt;"",$F$3:$F$28))),0.95),"")</f>
        <v/>
      </c>
      <c r="M33" s="143" t="str">
        <f t="array" ref="M33">IFERROR(PERCENTILE(IF($B$3:$B$28=$B33,IF($D$3:$D$28=M$31,IF($F$3:$F$28&lt;&gt;"",$F$3:$F$28))),0.95),"")</f>
        <v/>
      </c>
      <c r="N33" s="143">
        <f t="array" ref="N33">IFERROR(PERCENTILE(IF($B$3:$B$28=$B33,IF($D$3:$D$28=N$31,IF($F$3:$F$28&lt;&gt;"",$F$3:$F$28))),0.95),"")</f>
        <v>0.25</v>
      </c>
      <c r="O33" s="143" t="str">
        <f t="array" ref="O33">IFERROR(PERCENTILE(IF($B$3:$B$28=$B33,IF($D$3:$D$28=O$31,IF($F$3:$F$28&lt;&gt;"",$F$3:$F$28))),0.95),"")</f>
        <v/>
      </c>
      <c r="P33" s="143" t="str">
        <f t="array" ref="P33">IFERROR(PERCENTILE(IF($B$3:$B$28=$B33,IF($D$3:$D$28=P$31,IF($F$3:$F$28&lt;&gt;"",$F$3:$F$28))),0.95),"")</f>
        <v/>
      </c>
      <c r="Q33" s="143" t="str">
        <f t="array" ref="Q33">IFERROR(PERCENTILE(IF($B$3:$B$28=$B33,IF($D$3:$D$28=Q$31,IF($F$3:$F$28&lt;&gt;"",$F$3:$F$28))),0.95),"")</f>
        <v/>
      </c>
      <c r="R33" s="143" t="str">
        <f t="array" ref="R33">IFERROR(PERCENTILE(IF($B$3:$B$28=$B33,IF($D$3:$D$28=R$31,IF($F$3:$F$28&lt;&gt;"",$F$3:$F$28))),0.95),"")</f>
        <v/>
      </c>
      <c r="S33" s="143" t="str">
        <f t="array" ref="S33">IFERROR(PERCENTILE(IF($B$3:$B$28=$B33,IF($D$3:$D$28=S$31,IF($F$3:$F$28&lt;&gt;"",$F$3:$F$28))),0.95),"")</f>
        <v/>
      </c>
      <c r="T33" s="143">
        <f t="array" ref="T33">IFERROR(PERCENTILE(IF($B$3:$B$28=$B33,IF($D$3:$D$28=T$31,IF($F$3:$F$28&lt;&gt;"",$F$3:$F$28))),0.95),"")</f>
        <v>0.19</v>
      </c>
      <c r="U33" s="143" t="str">
        <f t="array" ref="U33">IFERROR(PERCENTILE(IF($B$3:$B$28=$B33,IF($D$3:$D$28=U$31,IF($F$3:$F$28&lt;&gt;"",$F$3:$F$28))),0.95),"")</f>
        <v/>
      </c>
      <c r="V33" s="143" t="str">
        <f t="array" ref="V33">IFERROR(PERCENTILE(IF($B$3:$B$28=$B33,IF($D$3:$D$28=V$31,IF($F$3:$F$28&lt;&gt;"",$F$3:$F$28))),0.95),"")</f>
        <v/>
      </c>
      <c r="W33" s="143" t="str">
        <f t="array" ref="W33">IFERROR(PERCENTILE(IF($B$3:$B$28=$B33,IF($D$3:$D$28=W$31,IF($F$3:$F$28&lt;&gt;"",$F$3:$F$28))),0.95),"")</f>
        <v/>
      </c>
      <c r="X33" s="143" t="str">
        <f t="array" ref="X33">IFERROR(PERCENTILE(IF($B$3:$B$28=$B33,IF($D$3:$D$28=X$31,IF($F$3:$F$28&lt;&gt;"",$F$3:$F$28))),0.95),"")</f>
        <v/>
      </c>
      <c r="Y33" s="143" t="str">
        <f t="array" ref="Y33">IFERROR(PERCENTILE(IF($B$3:$B$28=$B33,IF($D$3:$D$28=Y$31,IF($F$3:$F$28&lt;&gt;"",$F$3:$F$28))),0.95),"")</f>
        <v/>
      </c>
      <c r="Z33" s="143" t="str">
        <f t="array" ref="Z33">IFERROR(PERCENTILE(IF($B$3:$B$28=$B33,IF($D$3:$D$28=Z$31,IF($F$3:$F$28&lt;&gt;"",$F$3:$F$28))),0.95),"")</f>
        <v/>
      </c>
      <c r="AA33" s="143">
        <f t="array" ref="AA33">IFERROR(PERCENTILE(IF($B$3:$B$28=$B33,IF($D$3:$D$28=AA$31,IF($F$3:$F$28&lt;&gt;"",$F$3:$F$28))),0.95),"")</f>
        <v>0.33</v>
      </c>
      <c r="AB33" s="143" t="str">
        <f t="array" ref="AB33">IFERROR(PERCENTILE(IF($B$3:$B$28=$B33,IF($D$3:$D$28=AB$31,IF($F$3:$F$28&lt;&gt;"",$F$3:$F$28))),0.95),"")</f>
        <v/>
      </c>
      <c r="AC33" s="143" t="str">
        <f t="array" ref="AC33">IFERROR(PERCENTILE(IF($B$3:$B$28=$B33,IF($D$3:$D$28=AC$31,IF($F$3:$F$28&lt;&gt;"",$F$3:$F$28))),0.95),"")</f>
        <v/>
      </c>
      <c r="AD33" s="143" t="str">
        <f t="array" ref="AD33">IFERROR(PERCENTILE(IF($B$3:$B$28=$B33,IF($D$3:$D$28=AD$31,IF($F$3:$F$28&lt;&gt;"",$F$3:$F$28))),0.95),"")</f>
        <v/>
      </c>
      <c r="AE33" s="143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4">
        <f t="shared" ref="A34" si="1">IF(B34="",1,0)</f>
        <v>0</v>
      </c>
      <c r="B34" s="103" t="str">
        <f t="array" ref="B34">IFERROR(INDEX($B$3:$B$28, MATCH(0,IF(ISBLANK($B$3:$B$28),1,COUNTIF($B$32:B33, $B$3:$B$28)), 0)),"")</f>
        <v>Hyd</v>
      </c>
      <c r="C34" s="104"/>
      <c r="D34" s="104"/>
      <c r="E34" s="104"/>
      <c r="F34" s="105"/>
      <c r="G34" s="143" t="str">
        <f t="array" ref="G34">IFERROR(PERCENTILE(IF($B$3:$B$28=$B34,IF($D$3:$D$28=G$31,IF($F$3:$F$28&lt;&gt;"",$F$3:$F$28))),0.95),"")</f>
        <v/>
      </c>
      <c r="H34" s="143">
        <f t="array" ref="H34">IFERROR(PERCENTILE(IF($B$3:$B$28=$B34,IF($D$3:$D$28=H$31,IF($F$3:$F$28&lt;&gt;"",$F$3:$F$28))),0.95),"")</f>
        <v>0.19</v>
      </c>
      <c r="I34" s="143" t="str">
        <f t="array" ref="I34">IFERROR(PERCENTILE(IF($B$3:$B$28=$B34,IF($D$3:$D$28=I$31,IF($F$3:$F$28&lt;&gt;"",$F$3:$F$28))),0.95),"")</f>
        <v/>
      </c>
      <c r="J34" s="143" t="str">
        <f t="array" ref="J34">IFERROR(PERCENTILE(IF($B$3:$B$28=$B34,IF($D$3:$D$28=J$31,IF($F$3:$F$28&lt;&gt;"",$F$3:$F$28))),0.95),"")</f>
        <v/>
      </c>
      <c r="K34" s="143" t="str">
        <f t="array" ref="K34">IFERROR(PERCENTILE(IF($B$3:$B$28=$B34,IF($D$3:$D$28=K$31,IF($F$3:$F$28&lt;&gt;"",$F$3:$F$28))),0.95),"")</f>
        <v/>
      </c>
      <c r="L34" s="143">
        <f t="array" ref="L34">IFERROR(PERCENTILE(IF($B$3:$B$28=$B34,IF($D$3:$D$28=L$31,IF($F$3:$F$28&lt;&gt;"",$F$3:$F$28))),0.95),"")</f>
        <v>0.11</v>
      </c>
      <c r="M34" s="143" t="str">
        <f t="array" ref="M34">IFERROR(PERCENTILE(IF($B$3:$B$28=$B34,IF($D$3:$D$28=M$31,IF($F$3:$F$28&lt;&gt;"",$F$3:$F$28))),0.95),"")</f>
        <v/>
      </c>
      <c r="N34" s="143" t="str">
        <f t="array" ref="N34">IFERROR(PERCENTILE(IF($B$3:$B$28=$B34,IF($D$3:$D$28=N$31,IF($F$3:$F$28&lt;&gt;"",$F$3:$F$28))),0.95),"")</f>
        <v/>
      </c>
      <c r="O34" s="143" t="str">
        <f t="array" ref="O34">IFERROR(PERCENTILE(IF($B$3:$B$28=$B34,IF($D$3:$D$28=O$31,IF($F$3:$F$28&lt;&gt;"",$F$3:$F$28))),0.95),"")</f>
        <v/>
      </c>
      <c r="P34" s="143" t="str">
        <f t="array" ref="P34">IFERROR(PERCENTILE(IF($B$3:$B$28=$B34,IF($D$3:$D$28=P$31,IF($F$3:$F$28&lt;&gt;"",$F$3:$F$28))),0.95),"")</f>
        <v/>
      </c>
      <c r="Q34" s="143" t="str">
        <f t="array" ref="Q34">IFERROR(PERCENTILE(IF($B$3:$B$28=$B34,IF($D$3:$D$28=Q$31,IF($F$3:$F$28&lt;&gt;"",$F$3:$F$28))),0.95),"")</f>
        <v/>
      </c>
      <c r="R34" s="143" t="str">
        <f t="array" ref="R34">IFERROR(PERCENTILE(IF($B$3:$B$28=$B34,IF($D$3:$D$28=R$31,IF($F$3:$F$28&lt;&gt;"",$F$3:$F$28))),0.95),"")</f>
        <v/>
      </c>
      <c r="S34" s="143" t="str">
        <f t="array" ref="S34">IFERROR(PERCENTILE(IF($B$3:$B$28=$B34,IF($D$3:$D$28=S$31,IF($F$3:$F$28&lt;&gt;"",$F$3:$F$28))),0.95),"")</f>
        <v/>
      </c>
      <c r="T34" s="143" t="str">
        <f t="array" ref="T34">IFERROR(PERCENTILE(IF($B$3:$B$28=$B34,IF($D$3:$D$28=T$31,IF($F$3:$F$28&lt;&gt;"",$F$3:$F$28))),0.95),"")</f>
        <v/>
      </c>
      <c r="U34" s="143">
        <f t="array" ref="U34">IFERROR(PERCENTILE(IF($B$3:$B$28=$B34,IF($D$3:$D$28=U$31,IF($F$3:$F$28&lt;&gt;"",$F$3:$F$28))),0.95),"")</f>
        <v>0.44</v>
      </c>
      <c r="V34" s="143" t="str">
        <f t="array" ref="V34">IFERROR(PERCENTILE(IF($B$3:$B$28=$B34,IF($D$3:$D$28=V$31,IF($F$3:$F$28&lt;&gt;"",$F$3:$F$28))),0.95),"")</f>
        <v/>
      </c>
      <c r="W34" s="143" t="str">
        <f t="array" ref="W34">IFERROR(PERCENTILE(IF($B$3:$B$28=$B34,IF($D$3:$D$28=W$31,IF($F$3:$F$28&lt;&gt;"",$F$3:$F$28))),0.95),"")</f>
        <v/>
      </c>
      <c r="X34" s="143" t="str">
        <f t="array" ref="X34">IFERROR(PERCENTILE(IF($B$3:$B$28=$B34,IF($D$3:$D$28=X$31,IF($F$3:$F$28&lt;&gt;"",$F$3:$F$28))),0.95),"")</f>
        <v/>
      </c>
      <c r="Y34" s="143">
        <f t="array" ref="Y34">IFERROR(PERCENTILE(IF($B$3:$B$28=$B34,IF($D$3:$D$28=Y$31,IF($F$3:$F$28&lt;&gt;"",$F$3:$F$28))),0.95),"")</f>
        <v>0.25</v>
      </c>
      <c r="Z34" s="143" t="str">
        <f t="array" ref="Z34">IFERROR(PERCENTILE(IF($B$3:$B$28=$B34,IF($D$3:$D$28=Z$31,IF($F$3:$F$28&lt;&gt;"",$F$3:$F$28))),0.95),"")</f>
        <v/>
      </c>
      <c r="AA34" s="143" t="str">
        <f t="array" ref="AA34">IFERROR(PERCENTILE(IF($B$3:$B$28=$B34,IF($D$3:$D$28=AA$31,IF($F$3:$F$28&lt;&gt;"",$F$3:$F$28))),0.95),"")</f>
        <v/>
      </c>
      <c r="AB34" s="143" t="str">
        <f t="array" ref="AB34">IFERROR(PERCENTILE(IF($B$3:$B$28=$B34,IF($D$3:$D$28=AB$31,IF($F$3:$F$28&lt;&gt;"",$F$3:$F$28))),0.95),"")</f>
        <v/>
      </c>
      <c r="AC34" s="143" t="str">
        <f t="array" ref="AC34">IFERROR(PERCENTILE(IF($B$3:$B$28=$B34,IF($D$3:$D$28=AC$31,IF($F$3:$F$28&lt;&gt;"",$F$3:$F$28))),0.95),"")</f>
        <v/>
      </c>
      <c r="AD34" s="143" t="str">
        <f t="array" ref="AD34">IFERROR(PERCENTILE(IF($B$3:$B$28=$B34,IF($D$3:$D$28=AD$31,IF($F$3:$F$28&lt;&gt;"",$F$3:$F$28))),0.95),"")</f>
        <v/>
      </c>
      <c r="AE34" s="143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4">
        <f t="shared" ref="A35:A42" si="2">IF(B35="",1,0)</f>
        <v>0</v>
      </c>
      <c r="B35" s="103" t="str">
        <f t="array" ref="B35">IFERROR(INDEX($B$3:$B$28, MATCH(0,IF(ISBLANK($B$3:$B$28),1,COUNTIF($B$32:B34, $B$3:$B$28)), 0)),"")</f>
        <v>Delhi</v>
      </c>
      <c r="C35" s="104"/>
      <c r="D35" s="104"/>
      <c r="E35" s="104"/>
      <c r="F35" s="105"/>
      <c r="G35" s="143" t="str">
        <f t="array" ref="G35">IFERROR(PERCENTILE(IF($B$3:$B$28=$B35,IF($D$3:$D$28=G$31,IF($F$3:$F$28&lt;&gt;"",$F$3:$F$28))),0.95),"")</f>
        <v/>
      </c>
      <c r="H35" s="143" t="str">
        <f t="array" ref="H35">IFERROR(PERCENTILE(IF($B$3:$B$28=$B35,IF($D$3:$D$28=H$31,IF($F$3:$F$28&lt;&gt;"",$F$3:$F$28))),0.95),"")</f>
        <v/>
      </c>
      <c r="I35" s="143">
        <f t="array" ref="I35">IFERROR(PERCENTILE(IF($B$3:$B$28=$B35,IF($D$3:$D$28=I$31,IF($F$3:$F$28&lt;&gt;"",$F$3:$F$28))),0.95),"")</f>
        <v>0.44</v>
      </c>
      <c r="J35" s="143" t="str">
        <f t="array" ref="J35">IFERROR(PERCENTILE(IF($B$3:$B$28=$B35,IF($D$3:$D$28=J$31,IF($F$3:$F$28&lt;&gt;"",$F$3:$F$28))),0.95),"")</f>
        <v/>
      </c>
      <c r="K35" s="143" t="str">
        <f t="array" ref="K35">IFERROR(PERCENTILE(IF($B$3:$B$28=$B35,IF($D$3:$D$28=K$31,IF($F$3:$F$28&lt;&gt;"",$F$3:$F$28))),0.95),"")</f>
        <v/>
      </c>
      <c r="L35" s="143" t="str">
        <f t="array" ref="L35">IFERROR(PERCENTILE(IF($B$3:$B$28=$B35,IF($D$3:$D$28=L$31,IF($F$3:$F$28&lt;&gt;"",$F$3:$F$28))),0.95),"")</f>
        <v/>
      </c>
      <c r="M35" s="143">
        <f t="array" ref="M35">IFERROR(PERCENTILE(IF($B$3:$B$28=$B35,IF($D$3:$D$28=M$31,IF($F$3:$F$28&lt;&gt;"",$F$3:$F$28))),0.95),"")</f>
        <v>0.25</v>
      </c>
      <c r="N35" s="143" t="str">
        <f t="array" ref="N35">IFERROR(PERCENTILE(IF($B$3:$B$28=$B35,IF($D$3:$D$28=N$31,IF($F$3:$F$28&lt;&gt;"",$F$3:$F$28))),0.95),"")</f>
        <v/>
      </c>
      <c r="O35" s="143" t="str">
        <f t="array" ref="O35">IFERROR(PERCENTILE(IF($B$3:$B$28=$B35,IF($D$3:$D$28=O$31,IF($F$3:$F$28&lt;&gt;"",$F$3:$F$28))),0.95),"")</f>
        <v/>
      </c>
      <c r="P35" s="143" t="str">
        <f t="array" ref="P35">IFERROR(PERCENTILE(IF($B$3:$B$28=$B35,IF($D$3:$D$28=P$31,IF($F$3:$F$28&lt;&gt;"",$F$3:$F$28))),0.95),"")</f>
        <v/>
      </c>
      <c r="Q35" s="143" t="str">
        <f t="array" ref="Q35">IFERROR(PERCENTILE(IF($B$3:$B$28=$B35,IF($D$3:$D$28=Q$31,IF($F$3:$F$28&lt;&gt;"",$F$3:$F$28))),0.95),"")</f>
        <v/>
      </c>
      <c r="R35" s="143" t="str">
        <f t="array" ref="R35">IFERROR(PERCENTILE(IF($B$3:$B$28=$B35,IF($D$3:$D$28=R$31,IF($F$3:$F$28&lt;&gt;"",$F$3:$F$28))),0.95),"")</f>
        <v/>
      </c>
      <c r="S35" s="143" t="str">
        <f t="array" ref="S35">IFERROR(PERCENTILE(IF($B$3:$B$28=$B35,IF($D$3:$D$28=S$31,IF($F$3:$F$28&lt;&gt;"",$F$3:$F$28))),0.95),"")</f>
        <v/>
      </c>
      <c r="T35" s="143" t="str">
        <f t="array" ref="T35">IFERROR(PERCENTILE(IF($B$3:$B$28=$B35,IF($D$3:$D$28=T$31,IF($F$3:$F$28&lt;&gt;"",$F$3:$F$28))),0.95),"")</f>
        <v/>
      </c>
      <c r="U35" s="143" t="str">
        <f t="array" ref="U35">IFERROR(PERCENTILE(IF($B$3:$B$28=$B35,IF($D$3:$D$28=U$31,IF($F$3:$F$28&lt;&gt;"",$F$3:$F$28))),0.95),"")</f>
        <v/>
      </c>
      <c r="V35" s="143">
        <f t="array" ref="V35">IFERROR(PERCENTILE(IF($B$3:$B$28=$B35,IF($D$3:$D$28=V$31,IF($F$3:$F$28&lt;&gt;"",$F$3:$F$28))),0.95),"")</f>
        <v>0.73</v>
      </c>
      <c r="W35" s="143" t="str">
        <f t="array" ref="W35">IFERROR(PERCENTILE(IF($B$3:$B$28=$B35,IF($D$3:$D$28=W$31,IF($F$3:$F$28&lt;&gt;"",$F$3:$F$28))),0.95),"")</f>
        <v/>
      </c>
      <c r="X35" s="143" t="str">
        <f t="array" ref="X35">IFERROR(PERCENTILE(IF($B$3:$B$28=$B35,IF($D$3:$D$28=X$31,IF($F$3:$F$28&lt;&gt;"",$F$3:$F$28))),0.95),"")</f>
        <v/>
      </c>
      <c r="Y35" s="143" t="str">
        <f t="array" ref="Y35">IFERROR(PERCENTILE(IF($B$3:$B$28=$B35,IF($D$3:$D$28=Y$31,IF($F$3:$F$28&lt;&gt;"",$F$3:$F$28))),0.95),"")</f>
        <v/>
      </c>
      <c r="Z35" s="143">
        <f t="array" ref="Z35">IFERROR(PERCENTILE(IF($B$3:$B$28=$B35,IF($D$3:$D$28=Z$31,IF($F$3:$F$28&lt;&gt;"",$F$3:$F$28))),0.95),"")</f>
        <v>0.25</v>
      </c>
      <c r="AA35" s="143" t="str">
        <f t="array" ref="AA35">IFERROR(PERCENTILE(IF($B$3:$B$28=$B35,IF($D$3:$D$28=AA$31,IF($F$3:$F$28&lt;&gt;"",$F$3:$F$28))),0.95),"")</f>
        <v/>
      </c>
      <c r="AB35" s="143" t="str">
        <f t="array" ref="AB35">IFERROR(PERCENTILE(IF($B$3:$B$28=$B35,IF($D$3:$D$28=AB$31,IF($F$3:$F$28&lt;&gt;"",$F$3:$F$28))),0.95),"")</f>
        <v/>
      </c>
      <c r="AC35" s="143" t="str">
        <f t="array" ref="AC35">IFERROR(PERCENTILE(IF($B$3:$B$28=$B35,IF($D$3:$D$28=AC$31,IF($F$3:$F$28&lt;&gt;"",$F$3:$F$28))),0.95),"")</f>
        <v/>
      </c>
      <c r="AD35" s="143" t="str">
        <f t="array" ref="AD35">IFERROR(PERCENTILE(IF($B$3:$B$28=$B35,IF($D$3:$D$28=AD$31,IF($F$3:$F$28&lt;&gt;"",$F$3:$F$28))),0.95),"")</f>
        <v/>
      </c>
      <c r="AE35" s="143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4">
        <f t="shared" si="2"/>
        <v>0</v>
      </c>
      <c r="B36" s="103" t="str">
        <f t="array" ref="B36">IFERROR(INDEX($B$3:$B$28, MATCH(0,IF(ISBLANK($B$3:$B$28),1,COUNTIF($B$32:B35, $B$3:$B$28)), 0)),"")</f>
        <v>Banglore</v>
      </c>
      <c r="C36" s="104"/>
      <c r="D36" s="104"/>
      <c r="E36" s="104"/>
      <c r="F36" s="105"/>
      <c r="G36" s="143" t="str">
        <f t="array" ref="G36">IFERROR(PERCENTILE(IF($B$3:$B$28=$B36,IF($D$3:$D$28=G$31,IF($F$3:$F$28&lt;&gt;"",$F$3:$F$28))),0.95),"")</f>
        <v/>
      </c>
      <c r="H36" s="143" t="str">
        <f t="array" ref="H36">IFERROR(PERCENTILE(IF($B$3:$B$28=$B36,IF($D$3:$D$28=H$31,IF($F$3:$F$28&lt;&gt;"",$F$3:$F$28))),0.95),"")</f>
        <v/>
      </c>
      <c r="I36" s="143" t="str">
        <f t="array" ref="I36">IFERROR(PERCENTILE(IF($B$3:$B$28=$B36,IF($D$3:$D$28=I$31,IF($F$3:$F$28&lt;&gt;"",$F$3:$F$28))),0.95),"")</f>
        <v/>
      </c>
      <c r="J36" s="143">
        <f t="array" ref="J36">IFERROR(PERCENTILE(IF($B$3:$B$28=$B36,IF($D$3:$D$28=J$31,IF($F$3:$F$28&lt;&gt;"",$F$3:$F$28))),0.95),"")</f>
        <v>0.73</v>
      </c>
      <c r="K36" s="143" t="str">
        <f t="array" ref="K36">IFERROR(PERCENTILE(IF($B$3:$B$28=$B36,IF($D$3:$D$28=K$31,IF($F$3:$F$28&lt;&gt;"",$F$3:$F$28))),0.95),"")</f>
        <v/>
      </c>
      <c r="L36" s="143" t="str">
        <f t="array" ref="L36">IFERROR(PERCENTILE(IF($B$3:$B$28=$B36,IF($D$3:$D$28=L$31,IF($F$3:$F$28&lt;&gt;"",$F$3:$F$28))),0.95),"")</f>
        <v/>
      </c>
      <c r="M36" s="143" t="str">
        <f t="array" ref="M36">IFERROR(PERCENTILE(IF($B$3:$B$28=$B36,IF($D$3:$D$28=M$31,IF($F$3:$F$28&lt;&gt;"",$F$3:$F$28))),0.95),"")</f>
        <v/>
      </c>
      <c r="N36" s="143" t="str">
        <f t="array" ref="N36">IFERROR(PERCENTILE(IF($B$3:$B$28=$B36,IF($D$3:$D$28=N$31,IF($F$3:$F$28&lt;&gt;"",$F$3:$F$28))),0.95),"")</f>
        <v/>
      </c>
      <c r="O36" s="143" t="str">
        <f t="array" ref="O36">IFERROR(PERCENTILE(IF($B$3:$B$28=$B36,IF($D$3:$D$28=O$31,IF($F$3:$F$28&lt;&gt;"",$F$3:$F$28))),0.95),"")</f>
        <v/>
      </c>
      <c r="P36" s="143" t="str">
        <f t="array" ref="P36">IFERROR(PERCENTILE(IF($B$3:$B$28=$B36,IF($D$3:$D$28=P$31,IF($F$3:$F$28&lt;&gt;"",$F$3:$F$28))),0.95),"")</f>
        <v/>
      </c>
      <c r="Q36" s="143" t="str">
        <f t="array" ref="Q36">IFERROR(PERCENTILE(IF($B$3:$B$28=$B36,IF($D$3:$D$28=Q$31,IF($F$3:$F$28&lt;&gt;"",$F$3:$F$28))),0.95),"")</f>
        <v/>
      </c>
      <c r="R36" s="143" t="str">
        <f t="array" ref="R36">IFERROR(PERCENTILE(IF($B$3:$B$28=$B36,IF($D$3:$D$28=R$31,IF($F$3:$F$28&lt;&gt;"",$F$3:$F$28))),0.95),"")</f>
        <v/>
      </c>
      <c r="S36" s="143" t="str">
        <f t="array" ref="S36">IFERROR(PERCENTILE(IF($B$3:$B$28=$B36,IF($D$3:$D$28=S$31,IF($F$3:$F$28&lt;&gt;"",$F$3:$F$28))),0.95),"")</f>
        <v/>
      </c>
      <c r="T36" s="143" t="str">
        <f t="array" ref="T36">IFERROR(PERCENTILE(IF($B$3:$B$28=$B36,IF($D$3:$D$28=T$31,IF($F$3:$F$28&lt;&gt;"",$F$3:$F$28))),0.95),"")</f>
        <v/>
      </c>
      <c r="U36" s="143" t="str">
        <f t="array" ref="U36">IFERROR(PERCENTILE(IF($B$3:$B$28=$B36,IF($D$3:$D$28=U$31,IF($F$3:$F$28&lt;&gt;"",$F$3:$F$28))),0.95),"")</f>
        <v/>
      </c>
      <c r="V36" s="143" t="str">
        <f t="array" ref="V36">IFERROR(PERCENTILE(IF($B$3:$B$28=$B36,IF($D$3:$D$28=V$31,IF($F$3:$F$28&lt;&gt;"",$F$3:$F$28))),0.95),"")</f>
        <v/>
      </c>
      <c r="W36" s="143">
        <f t="array" ref="W36">IFERROR(PERCENTILE(IF($B$3:$B$28=$B36,IF($D$3:$D$28=W$31,IF($F$3:$F$28&lt;&gt;"",$F$3:$F$28))),0.95),"")</f>
        <v>0.99</v>
      </c>
      <c r="X36" s="143" t="str">
        <f t="array" ref="X36">IFERROR(PERCENTILE(IF($B$3:$B$28=$B36,IF($D$3:$D$28=X$31,IF($F$3:$F$28&lt;&gt;"",$F$3:$F$28))),0.95),"")</f>
        <v/>
      </c>
      <c r="Y36" s="143" t="str">
        <f t="array" ref="Y36">IFERROR(PERCENTILE(IF($B$3:$B$28=$B36,IF($D$3:$D$28=Y$31,IF($F$3:$F$28&lt;&gt;"",$F$3:$F$28))),0.95),"")</f>
        <v/>
      </c>
      <c r="Z36" s="143" t="str">
        <f t="array" ref="Z36">IFERROR(PERCENTILE(IF($B$3:$B$28=$B36,IF($D$3:$D$28=Z$31,IF($F$3:$F$28&lt;&gt;"",$F$3:$F$28))),0.95),"")</f>
        <v/>
      </c>
      <c r="AA36" s="143" t="str">
        <f t="array" ref="AA36">IFERROR(PERCENTILE(IF($B$3:$B$28=$B36,IF($D$3:$D$28=AA$31,IF($F$3:$F$28&lt;&gt;"",$F$3:$F$28))),0.95),"")</f>
        <v/>
      </c>
      <c r="AB36" s="143" t="str">
        <f t="array" ref="AB36">IFERROR(PERCENTILE(IF($B$3:$B$28=$B36,IF($D$3:$D$28=AB$31,IF($F$3:$F$28&lt;&gt;"",$F$3:$F$28))),0.95),"")</f>
        <v/>
      </c>
      <c r="AC36" s="143" t="str">
        <f t="array" ref="AC36">IFERROR(PERCENTILE(IF($B$3:$B$28=$B36,IF($D$3:$D$28=AC$31,IF($F$3:$F$28&lt;&gt;"",$F$3:$F$28))),0.95),"")</f>
        <v/>
      </c>
      <c r="AD36" s="143" t="str">
        <f t="array" ref="AD36">IFERROR(PERCENTILE(IF($B$3:$B$28=$B36,IF($D$3:$D$28=AD$31,IF($F$3:$F$28&lt;&gt;"",$F$3:$F$28))),0.95),"")</f>
        <v/>
      </c>
      <c r="AE36" s="143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4">
        <f t="shared" si="2"/>
        <v>0</v>
      </c>
      <c r="B37" s="103" t="str">
        <f t="array" ref="B37">IFERROR(INDEX($B$3:$B$28, MATCH(0,IF(ISBLANK($B$3:$B$28),1,COUNTIF($B$32:B36, $B$3:$B$28)), 0)),"")</f>
        <v>Chennai</v>
      </c>
      <c r="C37" s="104"/>
      <c r="D37" s="104"/>
      <c r="E37" s="104"/>
      <c r="F37" s="105"/>
      <c r="G37" s="143" t="str">
        <f t="array" ref="G37">IFERROR(PERCENTILE(IF($B$3:$B$28=$B37,IF($D$3:$D$28=G$31,IF($F$3:$F$28&lt;&gt;"",$F$3:$F$28))),0.95),"")</f>
        <v/>
      </c>
      <c r="H37" s="143" t="str">
        <f t="array" ref="H37">IFERROR(PERCENTILE(IF($B$3:$B$28=$B37,IF($D$3:$D$28=H$31,IF($F$3:$F$28&lt;&gt;"",$F$3:$F$28))),0.95),"")</f>
        <v/>
      </c>
      <c r="I37" s="143" t="str">
        <f t="array" ref="I37">IFERROR(PERCENTILE(IF($B$3:$B$28=$B37,IF($D$3:$D$28=I$31,IF($F$3:$F$28&lt;&gt;"",$F$3:$F$28))),0.95),"")</f>
        <v/>
      </c>
      <c r="J37" s="143" t="str">
        <f t="array" ref="J37">IFERROR(PERCENTILE(IF($B$3:$B$28=$B37,IF($D$3:$D$28=J$31,IF($F$3:$F$28&lt;&gt;"",$F$3:$F$28))),0.95),"")</f>
        <v/>
      </c>
      <c r="K37" s="143">
        <f t="array" ref="K37">IFERROR(PERCENTILE(IF($B$3:$B$28=$B37,IF($D$3:$D$28=K$31,IF($F$3:$F$28&lt;&gt;"",$F$3:$F$28))),0.95),"")</f>
        <v>0.99</v>
      </c>
      <c r="L37" s="143" t="str">
        <f t="array" ref="L37">IFERROR(PERCENTILE(IF($B$3:$B$28=$B37,IF($D$3:$D$28=L$31,IF($F$3:$F$28&lt;&gt;"",$F$3:$F$28))),0.95),"")</f>
        <v/>
      </c>
      <c r="M37" s="143" t="str">
        <f t="array" ref="M37">IFERROR(PERCENTILE(IF($B$3:$B$28=$B37,IF($D$3:$D$28=M$31,IF($F$3:$F$28&lt;&gt;"",$F$3:$F$28))),0.95),"")</f>
        <v/>
      </c>
      <c r="N37" s="143" t="str">
        <f t="array" ref="N37">IFERROR(PERCENTILE(IF($B$3:$B$28=$B37,IF($D$3:$D$28=N$31,IF($F$3:$F$28&lt;&gt;"",$F$3:$F$28))),0.95),"")</f>
        <v/>
      </c>
      <c r="O37" s="143" t="str">
        <f t="array" ref="O37">IFERROR(PERCENTILE(IF($B$3:$B$28=$B37,IF($D$3:$D$28=O$31,IF($F$3:$F$28&lt;&gt;"",$F$3:$F$28))),0.95),"")</f>
        <v/>
      </c>
      <c r="P37" s="143" t="str">
        <f t="array" ref="P37">IFERROR(PERCENTILE(IF($B$3:$B$28=$B37,IF($D$3:$D$28=P$31,IF($F$3:$F$28&lt;&gt;"",$F$3:$F$28))),0.95),"")</f>
        <v/>
      </c>
      <c r="Q37" s="143" t="str">
        <f t="array" ref="Q37">IFERROR(PERCENTILE(IF($B$3:$B$28=$B37,IF($D$3:$D$28=Q$31,IF($F$3:$F$28&lt;&gt;"",$F$3:$F$28))),0.95),"")</f>
        <v/>
      </c>
      <c r="R37" s="143" t="str">
        <f t="array" ref="R37">IFERROR(PERCENTILE(IF($B$3:$B$28=$B37,IF($D$3:$D$28=R$31,IF($F$3:$F$28&lt;&gt;"",$F$3:$F$28))),0.95),"")</f>
        <v/>
      </c>
      <c r="S37" s="143" t="str">
        <f t="array" ref="S37">IFERROR(PERCENTILE(IF($B$3:$B$28=$B37,IF($D$3:$D$28=S$31,IF($F$3:$F$28&lt;&gt;"",$F$3:$F$28))),0.95),"")</f>
        <v/>
      </c>
      <c r="T37" s="143" t="str">
        <f t="array" ref="T37">IFERROR(PERCENTILE(IF($B$3:$B$28=$B37,IF($D$3:$D$28=T$31,IF($F$3:$F$28&lt;&gt;"",$F$3:$F$28))),0.95),"")</f>
        <v/>
      </c>
      <c r="U37" s="143" t="str">
        <f t="array" ref="U37">IFERROR(PERCENTILE(IF($B$3:$B$28=$B37,IF($D$3:$D$28=U$31,IF($F$3:$F$28&lt;&gt;"",$F$3:$F$28))),0.95),"")</f>
        <v/>
      </c>
      <c r="V37" s="143" t="str">
        <f t="array" ref="V37">IFERROR(PERCENTILE(IF($B$3:$B$28=$B37,IF($D$3:$D$28=V$31,IF($F$3:$F$28&lt;&gt;"",$F$3:$F$28))),0.95),"")</f>
        <v/>
      </c>
      <c r="W37" s="143" t="str">
        <f t="array" ref="W37">IFERROR(PERCENTILE(IF($B$3:$B$28=$B37,IF($D$3:$D$28=W$31,IF($F$3:$F$28&lt;&gt;"",$F$3:$F$28))),0.95),"")</f>
        <v/>
      </c>
      <c r="X37" s="143">
        <f t="array" ref="X37">IFERROR(PERCENTILE(IF($B$3:$B$28=$B37,IF($D$3:$D$28=X$31,IF($F$3:$F$28&lt;&gt;"",$F$3:$F$28))),0.95),"")</f>
        <v>0.11</v>
      </c>
      <c r="Y37" s="143" t="str">
        <f t="array" ref="Y37">IFERROR(PERCENTILE(IF($B$3:$B$28=$B37,IF($D$3:$D$28=Y$31,IF($F$3:$F$28&lt;&gt;"",$F$3:$F$28))),0.95),"")</f>
        <v/>
      </c>
      <c r="Z37" s="143" t="str">
        <f t="array" ref="Z37">IFERROR(PERCENTILE(IF($B$3:$B$28=$B37,IF($D$3:$D$28=Z$31,IF($F$3:$F$28&lt;&gt;"",$F$3:$F$28))),0.95),"")</f>
        <v/>
      </c>
      <c r="AA37" s="143" t="str">
        <f t="array" ref="AA37">IFERROR(PERCENTILE(IF($B$3:$B$28=$B37,IF($D$3:$D$28=AA$31,IF($F$3:$F$28&lt;&gt;"",$F$3:$F$28))),0.95),"")</f>
        <v/>
      </c>
      <c r="AB37" s="143" t="str">
        <f t="array" ref="AB37">IFERROR(PERCENTILE(IF($B$3:$B$28=$B37,IF($D$3:$D$28=AB$31,IF($F$3:$F$28&lt;&gt;"",$F$3:$F$28))),0.95),"")</f>
        <v/>
      </c>
      <c r="AC37" s="143" t="str">
        <f t="array" ref="AC37">IFERROR(PERCENTILE(IF($B$3:$B$28=$B37,IF($D$3:$D$28=AC$31,IF($F$3:$F$28&lt;&gt;"",$F$3:$F$28))),0.95),"")</f>
        <v/>
      </c>
      <c r="AD37" s="143" t="str">
        <f t="array" ref="AD37">IFERROR(PERCENTILE(IF($B$3:$B$28=$B37,IF($D$3:$D$28=AD$31,IF($F$3:$F$28&lt;&gt;"",$F$3:$F$28))),0.95),"")</f>
        <v/>
      </c>
      <c r="AE37" s="143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4">
        <f t="shared" si="2"/>
        <v>0</v>
      </c>
      <c r="B38" s="103" t="str">
        <f t="array" ref="B38">IFERROR(INDEX($B$3:$B$28, MATCH(0,IF(ISBLANK($B$3:$B$28),1,COUNTIF($B$32:B37, $B$3:$B$28)), 0)),"")</f>
        <v>Madhya Pradesh</v>
      </c>
      <c r="C38" s="104"/>
      <c r="D38" s="104"/>
      <c r="E38" s="104"/>
      <c r="F38" s="105"/>
      <c r="G38" s="143" t="str">
        <f t="array" ref="G38">IFERROR(PERCENTILE(IF($B$3:$B$28=$B38,IF($D$3:$D$28=G$31,IF($F$3:$F$28&lt;&gt;"",$F$3:$F$28))),0.95),"")</f>
        <v/>
      </c>
      <c r="H38" s="143" t="str">
        <f t="array" ref="H38">IFERROR(PERCENTILE(IF($B$3:$B$28=$B38,IF($D$3:$D$28=H$31,IF($F$3:$F$28&lt;&gt;"",$F$3:$F$28))),0.95),"")</f>
        <v/>
      </c>
      <c r="I38" s="143" t="str">
        <f t="array" ref="I38">IFERROR(PERCENTILE(IF($B$3:$B$28=$B38,IF($D$3:$D$28=I$31,IF($F$3:$F$28&lt;&gt;"",$F$3:$F$28))),0.95),"")</f>
        <v/>
      </c>
      <c r="J38" s="143" t="str">
        <f t="array" ref="J38">IFERROR(PERCENTILE(IF($B$3:$B$28=$B38,IF($D$3:$D$28=J$31,IF($F$3:$F$28&lt;&gt;"",$F$3:$F$28))),0.95),"")</f>
        <v/>
      </c>
      <c r="K38" s="143" t="str">
        <f t="array" ref="K38">IFERROR(PERCENTILE(IF($B$3:$B$28=$B38,IF($D$3:$D$28=K$31,IF($F$3:$F$28&lt;&gt;"",$F$3:$F$28))),0.95),"")</f>
        <v/>
      </c>
      <c r="L38" s="143" t="str">
        <f t="array" ref="L38">IFERROR(PERCENTILE(IF($B$3:$B$28=$B38,IF($D$3:$D$28=L$31,IF($F$3:$F$28&lt;&gt;"",$F$3:$F$28))),0.95),"")</f>
        <v/>
      </c>
      <c r="M38" s="143" t="str">
        <f t="array" ref="M38">IFERROR(PERCENTILE(IF($B$3:$B$28=$B38,IF($D$3:$D$28=M$31,IF($F$3:$F$28&lt;&gt;"",$F$3:$F$28))),0.95),"")</f>
        <v/>
      </c>
      <c r="N38" s="143" t="str">
        <f t="array" ref="N38">IFERROR(PERCENTILE(IF($B$3:$B$28=$B38,IF($D$3:$D$28=N$31,IF($F$3:$F$28&lt;&gt;"",$F$3:$F$28))),0.95),"")</f>
        <v/>
      </c>
      <c r="O38" s="143">
        <f t="array" ref="O38">IFERROR(PERCENTILE(IF($B$3:$B$28=$B38,IF($D$3:$D$28=O$31,IF($F$3:$F$28&lt;&gt;"",$F$3:$F$28))),0.95),"")</f>
        <v>0.33</v>
      </c>
      <c r="P38" s="143" t="str">
        <f t="array" ref="P38">IFERROR(PERCENTILE(IF($B$3:$B$28=$B38,IF($D$3:$D$28=P$31,IF($F$3:$F$28&lt;&gt;"",$F$3:$F$28))),0.95),"")</f>
        <v/>
      </c>
      <c r="Q38" s="143" t="str">
        <f t="array" ref="Q38">IFERROR(PERCENTILE(IF($B$3:$B$28=$B38,IF($D$3:$D$28=Q$31,IF($F$3:$F$28&lt;&gt;"",$F$3:$F$28))),0.95),"")</f>
        <v/>
      </c>
      <c r="R38" s="143" t="str">
        <f t="array" ref="R38">IFERROR(PERCENTILE(IF($B$3:$B$28=$B38,IF($D$3:$D$28=R$31,IF($F$3:$F$28&lt;&gt;"",$F$3:$F$28))),0.95),"")</f>
        <v/>
      </c>
      <c r="S38" s="143" t="str">
        <f t="array" ref="S38">IFERROR(PERCENTILE(IF($B$3:$B$28=$B38,IF($D$3:$D$28=S$31,IF($F$3:$F$28&lt;&gt;"",$F$3:$F$28))),0.95),"")</f>
        <v/>
      </c>
      <c r="T38" s="143" t="str">
        <f t="array" ref="T38">IFERROR(PERCENTILE(IF($B$3:$B$28=$B38,IF($D$3:$D$28=T$31,IF($F$3:$F$28&lt;&gt;"",$F$3:$F$28))),0.95),"")</f>
        <v/>
      </c>
      <c r="U38" s="143" t="str">
        <f t="array" ref="U38">IFERROR(PERCENTILE(IF($B$3:$B$28=$B38,IF($D$3:$D$28=U$31,IF($F$3:$F$28&lt;&gt;"",$F$3:$F$28))),0.95),"")</f>
        <v/>
      </c>
      <c r="V38" s="143" t="str">
        <f t="array" ref="V38">IFERROR(PERCENTILE(IF($B$3:$B$28=$B38,IF($D$3:$D$28=V$31,IF($F$3:$F$28&lt;&gt;"",$F$3:$F$28))),0.95),"")</f>
        <v/>
      </c>
      <c r="W38" s="143" t="str">
        <f t="array" ref="W38">IFERROR(PERCENTILE(IF($B$3:$B$28=$B38,IF($D$3:$D$28=W$31,IF($F$3:$F$28&lt;&gt;"",$F$3:$F$28))),0.95),"")</f>
        <v/>
      </c>
      <c r="X38" s="143" t="str">
        <f t="array" ref="X38">IFERROR(PERCENTILE(IF($B$3:$B$28=$B38,IF($D$3:$D$28=X$31,IF($F$3:$F$28&lt;&gt;"",$F$3:$F$28))),0.95),"")</f>
        <v/>
      </c>
      <c r="Y38" s="143" t="str">
        <f t="array" ref="Y38">IFERROR(PERCENTILE(IF($B$3:$B$28=$B38,IF($D$3:$D$28=Y$31,IF($F$3:$F$28&lt;&gt;"",$F$3:$F$28))),0.95),"")</f>
        <v/>
      </c>
      <c r="Z38" s="143" t="str">
        <f t="array" ref="Z38">IFERROR(PERCENTILE(IF($B$3:$B$28=$B38,IF($D$3:$D$28=Z$31,IF($F$3:$F$28&lt;&gt;"",$F$3:$F$28))),0.95),"")</f>
        <v/>
      </c>
      <c r="AA38" s="143" t="str">
        <f t="array" ref="AA38">IFERROR(PERCENTILE(IF($B$3:$B$28=$B38,IF($D$3:$D$28=AA$31,IF($F$3:$F$28&lt;&gt;"",$F$3:$F$28))),0.95),"")</f>
        <v/>
      </c>
      <c r="AB38" s="143">
        <f t="array" ref="AB38">IFERROR(PERCENTILE(IF($B$3:$B$28=$B38,IF($D$3:$D$28=AB$31,IF($F$3:$F$28&lt;&gt;"",$F$3:$F$28))),0.95),"")</f>
        <v>0.19</v>
      </c>
      <c r="AC38" s="143" t="str">
        <f t="array" ref="AC38">IFERROR(PERCENTILE(IF($B$3:$B$28=$B38,IF($D$3:$D$28=AC$31,IF($F$3:$F$28&lt;&gt;"",$F$3:$F$28))),0.95),"")</f>
        <v/>
      </c>
      <c r="AD38" s="143" t="str">
        <f t="array" ref="AD38">IFERROR(PERCENTILE(IF($B$3:$B$28=$B38,IF($D$3:$D$28=AD$31,IF($F$3:$F$28&lt;&gt;"",$F$3:$F$28))),0.95),"")</f>
        <v/>
      </c>
      <c r="AE38" s="143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4">
        <f t="shared" si="2"/>
        <v>0</v>
      </c>
      <c r="B39" s="103" t="str">
        <f t="array" ref="B39">IFERROR(INDEX($B$3:$B$28, MATCH(0,IF(ISBLANK($B$3:$B$28),1,COUNTIF($B$32:B38, $B$3:$B$28)), 0)),"")</f>
        <v>Gujrat</v>
      </c>
      <c r="C39" s="104"/>
      <c r="D39" s="104"/>
      <c r="E39" s="104"/>
      <c r="F39" s="105"/>
      <c r="G39" s="143" t="str">
        <f t="array" ref="G39">IFERROR(PERCENTILE(IF($B$3:$B$28=$B39,IF($D$3:$D$28=G$31,IF($F$3:$F$28&lt;&gt;"",$F$3:$F$28))),0.95),"")</f>
        <v/>
      </c>
      <c r="H39" s="143" t="str">
        <f t="array" ref="H39">IFERROR(PERCENTILE(IF($B$3:$B$28=$B39,IF($D$3:$D$28=H$31,IF($F$3:$F$28&lt;&gt;"",$F$3:$F$28))),0.95),"")</f>
        <v/>
      </c>
      <c r="I39" s="143" t="str">
        <f t="array" ref="I39">IFERROR(PERCENTILE(IF($B$3:$B$28=$B39,IF($D$3:$D$28=I$31,IF($F$3:$F$28&lt;&gt;"",$F$3:$F$28))),0.95),"")</f>
        <v/>
      </c>
      <c r="J39" s="143" t="str">
        <f t="array" ref="J39">IFERROR(PERCENTILE(IF($B$3:$B$28=$B39,IF($D$3:$D$28=J$31,IF($F$3:$F$28&lt;&gt;"",$F$3:$F$28))),0.95),"")</f>
        <v/>
      </c>
      <c r="K39" s="143" t="str">
        <f t="array" ref="K39">IFERROR(PERCENTILE(IF($B$3:$B$28=$B39,IF($D$3:$D$28=K$31,IF($F$3:$F$28&lt;&gt;"",$F$3:$F$28))),0.95),"")</f>
        <v/>
      </c>
      <c r="L39" s="143" t="str">
        <f t="array" ref="L39">IFERROR(PERCENTILE(IF($B$3:$B$28=$B39,IF($D$3:$D$28=L$31,IF($F$3:$F$28&lt;&gt;"",$F$3:$F$28))),0.95),"")</f>
        <v/>
      </c>
      <c r="M39" s="143" t="str">
        <f t="array" ref="M39">IFERROR(PERCENTILE(IF($B$3:$B$28=$B39,IF($D$3:$D$28=M$31,IF($F$3:$F$28&lt;&gt;"",$F$3:$F$28))),0.95),"")</f>
        <v/>
      </c>
      <c r="N39" s="143" t="str">
        <f t="array" ref="N39">IFERROR(PERCENTILE(IF($B$3:$B$28=$B39,IF($D$3:$D$28=N$31,IF($F$3:$F$28&lt;&gt;"",$F$3:$F$28))),0.95),"")</f>
        <v/>
      </c>
      <c r="O39" s="143" t="str">
        <f t="array" ref="O39">IFERROR(PERCENTILE(IF($B$3:$B$28=$B39,IF($D$3:$D$28=O$31,IF($F$3:$F$28&lt;&gt;"",$F$3:$F$28))),0.95),"")</f>
        <v/>
      </c>
      <c r="P39" s="143">
        <f t="array" ref="P39">IFERROR(PERCENTILE(IF($B$3:$B$28=$B39,IF($D$3:$D$28=P$31,IF($F$3:$F$28&lt;&gt;"",$F$3:$F$28))),0.95),"")</f>
        <v>0.19</v>
      </c>
      <c r="Q39" s="143" t="str">
        <f t="array" ref="Q39">IFERROR(PERCENTILE(IF($B$3:$B$28=$B39,IF($D$3:$D$28=Q$31,IF($F$3:$F$28&lt;&gt;"",$F$3:$F$28))),0.95),"")</f>
        <v/>
      </c>
      <c r="R39" s="143" t="str">
        <f t="array" ref="R39">IFERROR(PERCENTILE(IF($B$3:$B$28=$B39,IF($D$3:$D$28=R$31,IF($F$3:$F$28&lt;&gt;"",$F$3:$F$28))),0.95),"")</f>
        <v/>
      </c>
      <c r="S39" s="143" t="str">
        <f t="array" ref="S39">IFERROR(PERCENTILE(IF($B$3:$B$28=$B39,IF($D$3:$D$28=S$31,IF($F$3:$F$28&lt;&gt;"",$F$3:$F$28))),0.95),"")</f>
        <v/>
      </c>
      <c r="T39" s="143" t="str">
        <f t="array" ref="T39">IFERROR(PERCENTILE(IF($B$3:$B$28=$B39,IF($D$3:$D$28=T$31,IF($F$3:$F$28&lt;&gt;"",$F$3:$F$28))),0.95),"")</f>
        <v/>
      </c>
      <c r="U39" s="143" t="str">
        <f t="array" ref="U39">IFERROR(PERCENTILE(IF($B$3:$B$28=$B39,IF($D$3:$D$28=U$31,IF($F$3:$F$28&lt;&gt;"",$F$3:$F$28))),0.95),"")</f>
        <v/>
      </c>
      <c r="V39" s="143" t="str">
        <f t="array" ref="V39">IFERROR(PERCENTILE(IF($B$3:$B$28=$B39,IF($D$3:$D$28=V$31,IF($F$3:$F$28&lt;&gt;"",$F$3:$F$28))),0.95),"")</f>
        <v/>
      </c>
      <c r="W39" s="143" t="str">
        <f t="array" ref="W39">IFERROR(PERCENTILE(IF($B$3:$B$28=$B39,IF($D$3:$D$28=W$31,IF($F$3:$F$28&lt;&gt;"",$F$3:$F$28))),0.95),"")</f>
        <v/>
      </c>
      <c r="X39" s="143" t="str">
        <f t="array" ref="X39">IFERROR(PERCENTILE(IF($B$3:$B$28=$B39,IF($D$3:$D$28=X$31,IF($F$3:$F$28&lt;&gt;"",$F$3:$F$28))),0.95),"")</f>
        <v/>
      </c>
      <c r="Y39" s="143" t="str">
        <f t="array" ref="Y39">IFERROR(PERCENTILE(IF($B$3:$B$28=$B39,IF($D$3:$D$28=Y$31,IF($F$3:$F$28&lt;&gt;"",$F$3:$F$28))),0.95),"")</f>
        <v/>
      </c>
      <c r="Z39" s="143" t="str">
        <f t="array" ref="Z39">IFERROR(PERCENTILE(IF($B$3:$B$28=$B39,IF($D$3:$D$28=Z$31,IF($F$3:$F$28&lt;&gt;"",$F$3:$F$28))),0.95),"")</f>
        <v/>
      </c>
      <c r="AA39" s="143" t="str">
        <f t="array" ref="AA39">IFERROR(PERCENTILE(IF($B$3:$B$28=$B39,IF($D$3:$D$28=AA$31,IF($F$3:$F$28&lt;&gt;"",$F$3:$F$28))),0.95),"")</f>
        <v/>
      </c>
      <c r="AB39" s="143" t="str">
        <f t="array" ref="AB39">IFERROR(PERCENTILE(IF($B$3:$B$28=$B39,IF($D$3:$D$28=AB$31,IF($F$3:$F$28&lt;&gt;"",$F$3:$F$28))),0.95),"")</f>
        <v/>
      </c>
      <c r="AC39" s="143">
        <f t="array" ref="AC39">IFERROR(PERCENTILE(IF($B$3:$B$28=$B39,IF($D$3:$D$28=AC$31,IF($F$3:$F$28&lt;&gt;"",$F$3:$F$28))),0.95),"")</f>
        <v>0.5</v>
      </c>
      <c r="AD39" s="143" t="str">
        <f t="array" ref="AD39">IFERROR(PERCENTILE(IF($B$3:$B$28=$B39,IF($D$3:$D$28=AD$31,IF($F$3:$F$28&lt;&gt;"",$F$3:$F$28))),0.95),"")</f>
        <v/>
      </c>
      <c r="AE39" s="143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4">
        <f t="shared" si="2"/>
        <v>0</v>
      </c>
      <c r="B40" s="103" t="str">
        <f t="array" ref="B40">IFERROR(INDEX($B$3:$B$28, MATCH(0,IF(ISBLANK($B$3:$B$28),1,COUNTIF($B$32:B39, $B$3:$B$28)), 0)),"")</f>
        <v>Ludhiyana</v>
      </c>
      <c r="C40" s="104"/>
      <c r="D40" s="104"/>
      <c r="E40" s="104"/>
      <c r="F40" s="105"/>
      <c r="G40" s="143" t="str">
        <f t="array" ref="G40">IFERROR(PERCENTILE(IF($B$3:$B$28=$B40,IF($D$3:$D$28=G$31,IF($F$3:$F$28&lt;&gt;"",$F$3:$F$28))),0.95),"")</f>
        <v/>
      </c>
      <c r="H40" s="143" t="str">
        <f t="array" ref="H40">IFERROR(PERCENTILE(IF($B$3:$B$28=$B40,IF($D$3:$D$28=H$31,IF($F$3:$F$28&lt;&gt;"",$F$3:$F$28))),0.95),"")</f>
        <v/>
      </c>
      <c r="I40" s="143" t="str">
        <f t="array" ref="I40">IFERROR(PERCENTILE(IF($B$3:$B$28=$B40,IF($D$3:$D$28=I$31,IF($F$3:$F$28&lt;&gt;"",$F$3:$F$28))),0.95),"")</f>
        <v/>
      </c>
      <c r="J40" s="143" t="str">
        <f t="array" ref="J40">IFERROR(PERCENTILE(IF($B$3:$B$28=$B40,IF($D$3:$D$28=J$31,IF($F$3:$F$28&lt;&gt;"",$F$3:$F$28))),0.95),"")</f>
        <v/>
      </c>
      <c r="K40" s="143" t="str">
        <f t="array" ref="K40">IFERROR(PERCENTILE(IF($B$3:$B$28=$B40,IF($D$3:$D$28=K$31,IF($F$3:$F$28&lt;&gt;"",$F$3:$F$28))),0.95),"")</f>
        <v/>
      </c>
      <c r="L40" s="143" t="str">
        <f t="array" ref="L40">IFERROR(PERCENTILE(IF($B$3:$B$28=$B40,IF($D$3:$D$28=L$31,IF($F$3:$F$28&lt;&gt;"",$F$3:$F$28))),0.95),"")</f>
        <v/>
      </c>
      <c r="M40" s="143" t="str">
        <f t="array" ref="M40">IFERROR(PERCENTILE(IF($B$3:$B$28=$B40,IF($D$3:$D$28=M$31,IF($F$3:$F$28&lt;&gt;"",$F$3:$F$28))),0.95),"")</f>
        <v/>
      </c>
      <c r="N40" s="143" t="str">
        <f t="array" ref="N40">IFERROR(PERCENTILE(IF($B$3:$B$28=$B40,IF($D$3:$D$28=N$31,IF($F$3:$F$28&lt;&gt;"",$F$3:$F$28))),0.95),"")</f>
        <v/>
      </c>
      <c r="O40" s="143" t="str">
        <f t="array" ref="O40">IFERROR(PERCENTILE(IF($B$3:$B$28=$B40,IF($D$3:$D$28=O$31,IF($F$3:$F$28&lt;&gt;"",$F$3:$F$28))),0.95),"")</f>
        <v/>
      </c>
      <c r="P40" s="143" t="str">
        <f t="array" ref="P40">IFERROR(PERCENTILE(IF($B$3:$B$28=$B40,IF($D$3:$D$28=P$31,IF($F$3:$F$28&lt;&gt;"",$F$3:$F$28))),0.95),"")</f>
        <v/>
      </c>
      <c r="Q40" s="143">
        <f t="array" ref="Q40">IFERROR(PERCENTILE(IF($B$3:$B$28=$B40,IF($D$3:$D$28=Q$31,IF($F$3:$F$28&lt;&gt;"",$F$3:$F$28))),0.95),"")</f>
        <v>0.5</v>
      </c>
      <c r="R40" s="143" t="str">
        <f t="array" ref="R40">IFERROR(PERCENTILE(IF($B$3:$B$28=$B40,IF($D$3:$D$28=R$31,IF($F$3:$F$28&lt;&gt;"",$F$3:$F$28))),0.95),"")</f>
        <v/>
      </c>
      <c r="S40" s="143" t="str">
        <f t="array" ref="S40">IFERROR(PERCENTILE(IF($B$3:$B$28=$B40,IF($D$3:$D$28=S$31,IF($F$3:$F$28&lt;&gt;"",$F$3:$F$28))),0.95),"")</f>
        <v/>
      </c>
      <c r="T40" s="143" t="str">
        <f t="array" ref="T40">IFERROR(PERCENTILE(IF($B$3:$B$28=$B40,IF($D$3:$D$28=T$31,IF($F$3:$F$28&lt;&gt;"",$F$3:$F$28))),0.95),"")</f>
        <v/>
      </c>
      <c r="U40" s="143" t="str">
        <f t="array" ref="U40">IFERROR(PERCENTILE(IF($B$3:$B$28=$B40,IF($D$3:$D$28=U$31,IF($F$3:$F$28&lt;&gt;"",$F$3:$F$28))),0.95),"")</f>
        <v/>
      </c>
      <c r="V40" s="143" t="str">
        <f t="array" ref="V40">IFERROR(PERCENTILE(IF($B$3:$B$28=$B40,IF($D$3:$D$28=V$31,IF($F$3:$F$28&lt;&gt;"",$F$3:$F$28))),0.95),"")</f>
        <v/>
      </c>
      <c r="W40" s="143" t="str">
        <f t="array" ref="W40">IFERROR(PERCENTILE(IF($B$3:$B$28=$B40,IF($D$3:$D$28=W$31,IF($F$3:$F$28&lt;&gt;"",$F$3:$F$28))),0.95),"")</f>
        <v/>
      </c>
      <c r="X40" s="143" t="str">
        <f t="array" ref="X40">IFERROR(PERCENTILE(IF($B$3:$B$28=$B40,IF($D$3:$D$28=X$31,IF($F$3:$F$28&lt;&gt;"",$F$3:$F$28))),0.95),"")</f>
        <v/>
      </c>
      <c r="Y40" s="143" t="str">
        <f t="array" ref="Y40">IFERROR(PERCENTILE(IF($B$3:$B$28=$B40,IF($D$3:$D$28=Y$31,IF($F$3:$F$28&lt;&gt;"",$F$3:$F$28))),0.95),"")</f>
        <v/>
      </c>
      <c r="Z40" s="143" t="str">
        <f t="array" ref="Z40">IFERROR(PERCENTILE(IF($B$3:$B$28=$B40,IF($D$3:$D$28=Z$31,IF($F$3:$F$28&lt;&gt;"",$F$3:$F$28))),0.95),"")</f>
        <v/>
      </c>
      <c r="AA40" s="143" t="str">
        <f t="array" ref="AA40">IFERROR(PERCENTILE(IF($B$3:$B$28=$B40,IF($D$3:$D$28=AA$31,IF($F$3:$F$28&lt;&gt;"",$F$3:$F$28))),0.95),"")</f>
        <v/>
      </c>
      <c r="AB40" s="143" t="str">
        <f t="array" ref="AB40">IFERROR(PERCENTILE(IF($B$3:$B$28=$B40,IF($D$3:$D$28=AB$31,IF($F$3:$F$28&lt;&gt;"",$F$3:$F$28))),0.95),"")</f>
        <v/>
      </c>
      <c r="AC40" s="143" t="str">
        <f t="array" ref="AC40">IFERROR(PERCENTILE(IF($B$3:$B$28=$B40,IF($D$3:$D$28=AC$31,IF($F$3:$F$28&lt;&gt;"",$F$3:$F$28))),0.95),"")</f>
        <v/>
      </c>
      <c r="AD40" s="143">
        <f t="array" ref="AD40">IFERROR(PERCENTILE(IF($B$3:$B$28=$B40,IF($D$3:$D$28=AD$31,IF($F$3:$F$28&lt;&gt;"",$F$3:$F$28))),0.95),"")</f>
        <v>0.5</v>
      </c>
      <c r="AE40" s="143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4">
        <f t="shared" si="2"/>
        <v>0</v>
      </c>
      <c r="B41" s="103" t="str">
        <f t="array" ref="B41">IFERROR(INDEX($B$3:$B$28, MATCH(0,IF(ISBLANK($B$3:$B$28),1,COUNTIF($B$32:B40, $B$3:$B$28)), 0)),"")</f>
        <v>Uttar Pradesh</v>
      </c>
      <c r="C41" s="104"/>
      <c r="D41" s="104"/>
      <c r="E41" s="104"/>
      <c r="F41" s="105"/>
      <c r="G41" s="143" t="str">
        <f t="array" ref="G41">IFERROR(PERCENTILE(IF($B$3:$B$28=$B41,IF($D$3:$D$28=G$31,IF($F$3:$F$28&lt;&gt;"",$F$3:$F$28))),0.95),"")</f>
        <v/>
      </c>
      <c r="H41" s="143" t="str">
        <f t="array" ref="H41">IFERROR(PERCENTILE(IF($B$3:$B$28=$B41,IF($D$3:$D$28=H$31,IF($F$3:$F$28&lt;&gt;"",$F$3:$F$28))),0.95),"")</f>
        <v/>
      </c>
      <c r="I41" s="143" t="str">
        <f t="array" ref="I41">IFERROR(PERCENTILE(IF($B$3:$B$28=$B41,IF($D$3:$D$28=I$31,IF($F$3:$F$28&lt;&gt;"",$F$3:$F$28))),0.95),"")</f>
        <v/>
      </c>
      <c r="J41" s="143" t="str">
        <f t="array" ref="J41">IFERROR(PERCENTILE(IF($B$3:$B$28=$B41,IF($D$3:$D$28=J$31,IF($F$3:$F$28&lt;&gt;"",$F$3:$F$28))),0.95),"")</f>
        <v/>
      </c>
      <c r="K41" s="143" t="str">
        <f t="array" ref="K41">IFERROR(PERCENTILE(IF($B$3:$B$28=$B41,IF($D$3:$D$28=K$31,IF($F$3:$F$28&lt;&gt;"",$F$3:$F$28))),0.95),"")</f>
        <v/>
      </c>
      <c r="L41" s="143" t="str">
        <f t="array" ref="L41">IFERROR(PERCENTILE(IF($B$3:$B$28=$B41,IF($D$3:$D$28=L$31,IF($F$3:$F$28&lt;&gt;"",$F$3:$F$28))),0.95),"")</f>
        <v/>
      </c>
      <c r="M41" s="143" t="str">
        <f t="array" ref="M41">IFERROR(PERCENTILE(IF($B$3:$B$28=$B41,IF($D$3:$D$28=M$31,IF($F$3:$F$28&lt;&gt;"",$F$3:$F$28))),0.95),"")</f>
        <v/>
      </c>
      <c r="N41" s="143" t="str">
        <f t="array" ref="N41">IFERROR(PERCENTILE(IF($B$3:$B$28=$B41,IF($D$3:$D$28=N$31,IF($F$3:$F$28&lt;&gt;"",$F$3:$F$28))),0.95),"")</f>
        <v/>
      </c>
      <c r="O41" s="143" t="str">
        <f t="array" ref="O41">IFERROR(PERCENTILE(IF($B$3:$B$28=$B41,IF($D$3:$D$28=O$31,IF($F$3:$F$28&lt;&gt;"",$F$3:$F$28))),0.95),"")</f>
        <v/>
      </c>
      <c r="P41" s="143" t="str">
        <f t="array" ref="P41">IFERROR(PERCENTILE(IF($B$3:$B$28=$B41,IF($D$3:$D$28=P$31,IF($F$3:$F$28&lt;&gt;"",$F$3:$F$28))),0.95),"")</f>
        <v/>
      </c>
      <c r="Q41" s="143" t="str">
        <f t="array" ref="Q41">IFERROR(PERCENTILE(IF($B$3:$B$28=$B41,IF($D$3:$D$28=Q$31,IF($F$3:$F$28&lt;&gt;"",$F$3:$F$28))),0.95),"")</f>
        <v/>
      </c>
      <c r="R41" s="143">
        <f t="array" ref="R41">IFERROR(PERCENTILE(IF($B$3:$B$28=$B41,IF($D$3:$D$28=R$31,IF($F$3:$F$28&lt;&gt;"",$F$3:$F$28))),0.95),"")</f>
        <v>0.5</v>
      </c>
      <c r="S41" s="143" t="str">
        <f t="array" ref="S41">IFERROR(PERCENTILE(IF($B$3:$B$28=$B41,IF($D$3:$D$28=S$31,IF($F$3:$F$28&lt;&gt;"",$F$3:$F$28))),0.95),"")</f>
        <v/>
      </c>
      <c r="T41" s="143" t="str">
        <f t="array" ref="T41">IFERROR(PERCENTILE(IF($B$3:$B$28=$B41,IF($D$3:$D$28=T$31,IF($F$3:$F$28&lt;&gt;"",$F$3:$F$28))),0.95),"")</f>
        <v/>
      </c>
      <c r="U41" s="143" t="str">
        <f t="array" ref="U41">IFERROR(PERCENTILE(IF($B$3:$B$28=$B41,IF($D$3:$D$28=U$31,IF($F$3:$F$28&lt;&gt;"",$F$3:$F$28))),0.95),"")</f>
        <v/>
      </c>
      <c r="V41" s="143" t="str">
        <f t="array" ref="V41">IFERROR(PERCENTILE(IF($B$3:$B$28=$B41,IF($D$3:$D$28=V$31,IF($F$3:$F$28&lt;&gt;"",$F$3:$F$28))),0.95),"")</f>
        <v/>
      </c>
      <c r="W41" s="143" t="str">
        <f t="array" ref="W41">IFERROR(PERCENTILE(IF($B$3:$B$28=$B41,IF($D$3:$D$28=W$31,IF($F$3:$F$28&lt;&gt;"",$F$3:$F$28))),0.95),"")</f>
        <v/>
      </c>
      <c r="X41" s="143" t="str">
        <f t="array" ref="X41">IFERROR(PERCENTILE(IF($B$3:$B$28=$B41,IF($D$3:$D$28=X$31,IF($F$3:$F$28&lt;&gt;"",$F$3:$F$28))),0.95),"")</f>
        <v/>
      </c>
      <c r="Y41" s="143" t="str">
        <f t="array" ref="Y41">IFERROR(PERCENTILE(IF($B$3:$B$28=$B41,IF($D$3:$D$28=Y$31,IF($F$3:$F$28&lt;&gt;"",$F$3:$F$28))),0.95),"")</f>
        <v/>
      </c>
      <c r="Z41" s="143" t="str">
        <f t="array" ref="Z41">IFERROR(PERCENTILE(IF($B$3:$B$28=$B41,IF($D$3:$D$28=Z$31,IF($F$3:$F$28&lt;&gt;"",$F$3:$F$28))),0.95),"")</f>
        <v/>
      </c>
      <c r="AA41" s="143" t="str">
        <f t="array" ref="AA41">IFERROR(PERCENTILE(IF($B$3:$B$28=$B41,IF($D$3:$D$28=AA$31,IF($F$3:$F$28&lt;&gt;"",$F$3:$F$28))),0.95),"")</f>
        <v/>
      </c>
      <c r="AB41" s="143" t="str">
        <f t="array" ref="AB41">IFERROR(PERCENTILE(IF($B$3:$B$28=$B41,IF($D$3:$D$28=AB$31,IF($F$3:$F$28&lt;&gt;"",$F$3:$F$28))),0.95),"")</f>
        <v/>
      </c>
      <c r="AC41" s="143" t="str">
        <f t="array" ref="AC41">IFERROR(PERCENTILE(IF($B$3:$B$28=$B41,IF($D$3:$D$28=AC$31,IF($F$3:$F$28&lt;&gt;"",$F$3:$F$28))),0.95),"")</f>
        <v/>
      </c>
      <c r="AD41" s="143" t="str">
        <f t="array" ref="AD41">IFERROR(PERCENTILE(IF($B$3:$B$28=$B41,IF($D$3:$D$28=AD$31,IF($F$3:$F$28&lt;&gt;"",$F$3:$F$28))),0.95),"")</f>
        <v/>
      </c>
      <c r="AE41" s="143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4">
        <f t="shared" si="2"/>
        <v>0</v>
      </c>
      <c r="B42" s="103" t="str">
        <f t="array" ref="B42">IFERROR(INDEX($B$3:$B$28, MATCH(0,IF(ISBLANK($B$3:$B$28),1,COUNTIF($B$32:B41, $B$3:$B$28)), 0)),"")</f>
        <v>Sikkim</v>
      </c>
      <c r="C42" s="104"/>
      <c r="D42" s="104"/>
      <c r="E42" s="104"/>
      <c r="F42" s="105"/>
      <c r="G42" s="143" t="str">
        <f t="array" ref="G42">IFERROR(PERCENTILE(IF($B$3:$B$28=$B42,IF($D$3:$D$28=G$31,IF($F$3:$F$28&lt;&gt;"",$F$3:$F$28))),0.95),"")</f>
        <v/>
      </c>
      <c r="H42" s="143" t="str">
        <f t="array" ref="H42">IFERROR(PERCENTILE(IF($B$3:$B$28=$B42,IF($D$3:$D$28=H$31,IF($F$3:$F$28&lt;&gt;"",$F$3:$F$28))),0.95),"")</f>
        <v/>
      </c>
      <c r="I42" s="143" t="str">
        <f t="array" ref="I42">IFERROR(PERCENTILE(IF($B$3:$B$28=$B42,IF($D$3:$D$28=I$31,IF($F$3:$F$28&lt;&gt;"",$F$3:$F$28))),0.95),"")</f>
        <v/>
      </c>
      <c r="J42" s="143" t="str">
        <f t="array" ref="J42">IFERROR(PERCENTILE(IF($B$3:$B$28=$B42,IF($D$3:$D$28=J$31,IF($F$3:$F$28&lt;&gt;"",$F$3:$F$28))),0.95),"")</f>
        <v/>
      </c>
      <c r="K42" s="143" t="str">
        <f t="array" ref="K42">IFERROR(PERCENTILE(IF($B$3:$B$28=$B42,IF($D$3:$D$28=K$31,IF($F$3:$F$28&lt;&gt;"",$F$3:$F$28))),0.95),"")</f>
        <v/>
      </c>
      <c r="L42" s="143" t="str">
        <f t="array" ref="L42">IFERROR(PERCENTILE(IF($B$3:$B$28=$B42,IF($D$3:$D$28=L$31,IF($F$3:$F$28&lt;&gt;"",$F$3:$F$28))),0.95),"")</f>
        <v/>
      </c>
      <c r="M42" s="143" t="str">
        <f t="array" ref="M42">IFERROR(PERCENTILE(IF($B$3:$B$28=$B42,IF($D$3:$D$28=M$31,IF($F$3:$F$28&lt;&gt;"",$F$3:$F$28))),0.95),"")</f>
        <v/>
      </c>
      <c r="N42" s="143" t="str">
        <f t="array" ref="N42">IFERROR(PERCENTILE(IF($B$3:$B$28=$B42,IF($D$3:$D$28=N$31,IF($F$3:$F$28&lt;&gt;"",$F$3:$F$28))),0.95),"")</f>
        <v/>
      </c>
      <c r="O42" s="143" t="str">
        <f t="array" ref="O42">IFERROR(PERCENTILE(IF($B$3:$B$28=$B42,IF($D$3:$D$28=O$31,IF($F$3:$F$28&lt;&gt;"",$F$3:$F$28))),0.95),"")</f>
        <v/>
      </c>
      <c r="P42" s="143" t="str">
        <f t="array" ref="P42">IFERROR(PERCENTILE(IF($B$3:$B$28=$B42,IF($D$3:$D$28=P$31,IF($F$3:$F$28&lt;&gt;"",$F$3:$F$28))),0.95),"")</f>
        <v/>
      </c>
      <c r="Q42" s="143" t="str">
        <f t="array" ref="Q42">IFERROR(PERCENTILE(IF($B$3:$B$28=$B42,IF($D$3:$D$28=Q$31,IF($F$3:$F$28&lt;&gt;"",$F$3:$F$28))),0.95),"")</f>
        <v/>
      </c>
      <c r="R42" s="143" t="str">
        <f t="array" ref="R42">IFERROR(PERCENTILE(IF($B$3:$B$28=$B42,IF($D$3:$D$28=R$31,IF($F$3:$F$28&lt;&gt;"",$F$3:$F$28))),0.95),"")</f>
        <v/>
      </c>
      <c r="S42" s="143">
        <f t="array" ref="S42">IFERROR(PERCENTILE(IF($B$3:$B$28=$B42,IF($D$3:$D$28=S$31,IF($F$3:$F$28&lt;&gt;"",$F$3:$F$28))),0.95),"")</f>
        <v>0.5</v>
      </c>
      <c r="T42" s="143" t="str">
        <f t="array" ref="T42">IFERROR(PERCENTILE(IF($B$3:$B$28=$B42,IF($D$3:$D$28=T$31,IF($F$3:$F$28&lt;&gt;"",$F$3:$F$28))),0.95),"")</f>
        <v/>
      </c>
      <c r="U42" s="143" t="str">
        <f t="array" ref="U42">IFERROR(PERCENTILE(IF($B$3:$B$28=$B42,IF($D$3:$D$28=U$31,IF($F$3:$F$28&lt;&gt;"",$F$3:$F$28))),0.95),"")</f>
        <v/>
      </c>
      <c r="V42" s="143" t="str">
        <f t="array" ref="V42">IFERROR(PERCENTILE(IF($B$3:$B$28=$B42,IF($D$3:$D$28=V$31,IF($F$3:$F$28&lt;&gt;"",$F$3:$F$28))),0.95),"")</f>
        <v/>
      </c>
      <c r="W42" s="143" t="str">
        <f t="array" ref="W42">IFERROR(PERCENTILE(IF($B$3:$B$28=$B42,IF($D$3:$D$28=W$31,IF($F$3:$F$28&lt;&gt;"",$F$3:$F$28))),0.95),"")</f>
        <v/>
      </c>
      <c r="X42" s="143" t="str">
        <f t="array" ref="X42">IFERROR(PERCENTILE(IF($B$3:$B$28=$B42,IF($D$3:$D$28=X$31,IF($F$3:$F$28&lt;&gt;"",$F$3:$F$28))),0.95),"")</f>
        <v/>
      </c>
      <c r="Y42" s="143" t="str">
        <f t="array" ref="Y42">IFERROR(PERCENTILE(IF($B$3:$B$28=$B42,IF($D$3:$D$28=Y$31,IF($F$3:$F$28&lt;&gt;"",$F$3:$F$28))),0.95),"")</f>
        <v/>
      </c>
      <c r="Z42" s="143" t="str">
        <f t="array" ref="Z42">IFERROR(PERCENTILE(IF($B$3:$B$28=$B42,IF($D$3:$D$28=Z$31,IF($F$3:$F$28&lt;&gt;"",$F$3:$F$28))),0.95),"")</f>
        <v/>
      </c>
      <c r="AA42" s="143" t="str">
        <f t="array" ref="AA42">IFERROR(PERCENTILE(IF($B$3:$B$28=$B42,IF($D$3:$D$28=AA$31,IF($F$3:$F$28&lt;&gt;"",$F$3:$F$28))),0.95),"")</f>
        <v/>
      </c>
      <c r="AB42" s="143" t="str">
        <f t="array" ref="AB42">IFERROR(PERCENTILE(IF($B$3:$B$28=$B42,IF($D$3:$D$28=AB$31,IF($F$3:$F$28&lt;&gt;"",$F$3:$F$28))),0.95),"")</f>
        <v/>
      </c>
      <c r="AC42" s="143" t="str">
        <f t="array" ref="AC42">IFERROR(PERCENTILE(IF($B$3:$B$28=$B42,IF($D$3:$D$28=AC$31,IF($F$3:$F$28&lt;&gt;"",$F$3:$F$28))),0.95),"")</f>
        <v/>
      </c>
      <c r="AD42" s="143" t="str">
        <f t="array" ref="AD42">IFERROR(PERCENTILE(IF($B$3:$B$28=$B42,IF($D$3:$D$28=AD$31,IF($F$3:$F$28&lt;&gt;"",$F$3:$F$28))),0.95),"")</f>
        <v/>
      </c>
      <c r="AE42" s="143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</row>
    <row r="44" spans="1:31" ht="9" customHeight="1" x14ac:dyDescent="0.25">
      <c r="A44" s="84" t="s">
        <v>551</v>
      </c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</row>
    <row r="45" spans="1:31" ht="15" hidden="1" customHeight="1" x14ac:dyDescent="0.25">
      <c r="G45" s="106">
        <f t="shared" ref="G45:AE45" si="3">G31</f>
        <v>44012</v>
      </c>
      <c r="H45" s="106">
        <f t="shared" si="3"/>
        <v>43982</v>
      </c>
      <c r="I45" s="106">
        <f t="shared" si="3"/>
        <v>43951</v>
      </c>
      <c r="J45" s="106">
        <f t="shared" si="3"/>
        <v>43921</v>
      </c>
      <c r="K45" s="106">
        <f t="shared" si="3"/>
        <v>43889</v>
      </c>
      <c r="L45" s="106">
        <f t="shared" si="3"/>
        <v>43861</v>
      </c>
      <c r="M45" s="106">
        <f t="shared" si="3"/>
        <v>43830</v>
      </c>
      <c r="N45" s="106">
        <f t="shared" si="3"/>
        <v>43799</v>
      </c>
      <c r="O45" s="106">
        <f t="shared" si="3"/>
        <v>43769</v>
      </c>
      <c r="P45" s="106">
        <f t="shared" si="3"/>
        <v>43738</v>
      </c>
      <c r="Q45" s="106">
        <f t="shared" si="3"/>
        <v>43708</v>
      </c>
      <c r="R45" s="106">
        <f t="shared" si="3"/>
        <v>43677</v>
      </c>
      <c r="S45" s="106">
        <f t="shared" si="3"/>
        <v>43646</v>
      </c>
      <c r="T45" s="106">
        <f t="shared" si="3"/>
        <v>43616</v>
      </c>
      <c r="U45" s="106">
        <f t="shared" si="3"/>
        <v>43585</v>
      </c>
      <c r="V45" s="106">
        <f t="shared" si="3"/>
        <v>43555</v>
      </c>
      <c r="W45" s="106">
        <f t="shared" si="3"/>
        <v>43524</v>
      </c>
      <c r="X45" s="106">
        <f t="shared" si="3"/>
        <v>43496</v>
      </c>
      <c r="Y45" s="106">
        <f t="shared" si="3"/>
        <v>43465</v>
      </c>
      <c r="Z45" s="106">
        <f t="shared" si="3"/>
        <v>43434</v>
      </c>
      <c r="AA45" s="106">
        <f t="shared" si="3"/>
        <v>43404</v>
      </c>
      <c r="AB45" s="106">
        <f t="shared" si="3"/>
        <v>43373</v>
      </c>
      <c r="AC45" s="106">
        <f t="shared" si="3"/>
        <v>43343</v>
      </c>
      <c r="AD45" s="106">
        <f t="shared" si="3"/>
        <v>43312</v>
      </c>
      <c r="AE45" s="106">
        <f t="shared" si="3"/>
        <v>43281</v>
      </c>
    </row>
    <row r="46" spans="1:31" ht="20.25" customHeight="1" x14ac:dyDescent="0.25">
      <c r="B46" s="107" t="s">
        <v>588</v>
      </c>
      <c r="C46" s="108"/>
      <c r="D46" s="108"/>
      <c r="E46" s="108"/>
      <c r="F46" s="109"/>
      <c r="G46" s="145">
        <f t="shared" ref="G46:AE46" si="4">IFERROR(AVERAGE(G33:G44),0)</f>
        <v>0.62</v>
      </c>
      <c r="H46" s="145">
        <f t="shared" si="4"/>
        <v>0.19</v>
      </c>
      <c r="I46" s="145">
        <f t="shared" si="4"/>
        <v>0.44</v>
      </c>
      <c r="J46" s="145">
        <f t="shared" si="4"/>
        <v>0.73</v>
      </c>
      <c r="K46" s="145">
        <f t="shared" si="4"/>
        <v>0.99</v>
      </c>
      <c r="L46" s="145">
        <f t="shared" si="4"/>
        <v>0.11</v>
      </c>
      <c r="M46" s="145">
        <f t="shared" si="4"/>
        <v>0.25</v>
      </c>
      <c r="N46" s="145">
        <f t="shared" si="4"/>
        <v>0.25</v>
      </c>
      <c r="O46" s="145">
        <f t="shared" si="4"/>
        <v>0.33</v>
      </c>
      <c r="P46" s="145">
        <f t="shared" si="4"/>
        <v>0.19</v>
      </c>
      <c r="Q46" s="145">
        <f t="shared" si="4"/>
        <v>0.5</v>
      </c>
      <c r="R46" s="145">
        <f t="shared" si="4"/>
        <v>0.5</v>
      </c>
      <c r="S46" s="145">
        <f t="shared" si="4"/>
        <v>0.5</v>
      </c>
      <c r="T46" s="145">
        <f t="shared" si="4"/>
        <v>0.19</v>
      </c>
      <c r="U46" s="145">
        <f t="shared" si="4"/>
        <v>0.44</v>
      </c>
      <c r="V46" s="145">
        <f t="shared" si="4"/>
        <v>0.73</v>
      </c>
      <c r="W46" s="145">
        <f t="shared" si="4"/>
        <v>0.99</v>
      </c>
      <c r="X46" s="145">
        <f t="shared" si="4"/>
        <v>0.11</v>
      </c>
      <c r="Y46" s="145">
        <f t="shared" si="4"/>
        <v>0.25</v>
      </c>
      <c r="Z46" s="145">
        <f t="shared" si="4"/>
        <v>0.25</v>
      </c>
      <c r="AA46" s="145">
        <f t="shared" si="4"/>
        <v>0.33</v>
      </c>
      <c r="AB46" s="145">
        <f t="shared" si="4"/>
        <v>0.19</v>
      </c>
      <c r="AC46" s="145">
        <f t="shared" si="4"/>
        <v>0.5</v>
      </c>
      <c r="AD46" s="145">
        <f t="shared" si="4"/>
        <v>0.5</v>
      </c>
      <c r="AE46" s="145">
        <f t="shared" si="4"/>
        <v>0.5</v>
      </c>
    </row>
    <row r="47" spans="1:31" ht="24.75" customHeight="1" x14ac:dyDescent="0.25"/>
    <row r="48" spans="1:31" ht="28.5" hidden="1" customHeight="1" x14ac:dyDescent="0.25">
      <c r="A48" s="84">
        <v>10</v>
      </c>
      <c r="B48" s="110" t="s">
        <v>589</v>
      </c>
      <c r="C48" s="110" t="s">
        <v>590</v>
      </c>
      <c r="D48" s="110" t="s">
        <v>591</v>
      </c>
      <c r="E48" s="111"/>
    </row>
    <row r="49" spans="1:5" ht="15" hidden="1" customHeight="1" x14ac:dyDescent="0.25">
      <c r="A49" s="112">
        <f>IFERROR(IF(D49="",1,0),1)</f>
        <v>0</v>
      </c>
      <c r="B49" s="113">
        <f>INDEX(Dates,1,E49)</f>
        <v>44012</v>
      </c>
      <c r="C49" s="113">
        <f t="shared" ref="C49" si="5">B49</f>
        <v>44012</v>
      </c>
      <c r="D49" s="114">
        <f>HLOOKUP(B49,ReadingTable,2,FALSE)</f>
        <v>0.62</v>
      </c>
      <c r="E49" s="115">
        <f>IF(E48="",7,E48+1)</f>
        <v>7</v>
      </c>
    </row>
    <row r="50" spans="1:5" hidden="1" x14ac:dyDescent="0.25"/>
    <row r="51" spans="1:5" ht="24" hidden="1" x14ac:dyDescent="0.25">
      <c r="B51" s="116" t="s">
        <v>586</v>
      </c>
      <c r="C51" s="116" t="s">
        <v>592</v>
      </c>
    </row>
    <row r="52" spans="1:5" hidden="1" x14ac:dyDescent="0.25">
      <c r="B52" s="117">
        <f t="array" ref="B52">SUM(IF($D$3:$D$28&lt;&gt;"",1/COUNTIF($D$3:$D$28, $D$3:$D$28), 0))</f>
        <v>25</v>
      </c>
      <c r="C52" s="11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0" t="s">
        <v>597</v>
      </c>
    </row>
    <row r="55" spans="1:5" ht="15" hidden="1" x14ac:dyDescent="0.25">
      <c r="A55" s="28"/>
      <c r="B55" s="47"/>
      <c r="C55" s="47"/>
      <c r="D55" s="83"/>
      <c r="E55" s="118"/>
    </row>
  </sheetData>
  <sheetProtection algorithmName="SHA-512" hashValue="Su7nD8inOLuDkRPnvpOWLt6a71BcBL+NlMbYiV1HAf/O60tcYdSZO5nDs0OUI5YysA6OPJ/c3XAYmy1Z+XxWMg==" saltValue="bcpD0ZD08Wd4nn3akaBh6g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>
      <selection activeCell="G5" sqref="G5"/>
    </sheetView>
  </sheetViews>
  <sheetFormatPr defaultColWidth="9.140625" defaultRowHeight="15" x14ac:dyDescent="0.25"/>
  <cols>
    <col min="1" max="1" width="2.42578125" style="8" customWidth="1"/>
    <col min="2" max="4" width="20.7109375" style="45" customWidth="1"/>
    <col min="5" max="5" width="3.7109375" style="45" customWidth="1"/>
    <col min="6" max="16384" width="9.140625" style="45"/>
  </cols>
  <sheetData>
    <row r="1" spans="1:5" x14ac:dyDescent="0.25">
      <c r="A1" s="6" t="s">
        <v>603</v>
      </c>
      <c r="B1" s="44"/>
      <c r="C1" s="44"/>
      <c r="D1" s="44"/>
      <c r="E1" s="44"/>
    </row>
    <row r="2" spans="1:5" x14ac:dyDescent="0.25">
      <c r="A2" s="6" t="s">
        <v>603</v>
      </c>
      <c r="B2" s="265" t="s">
        <v>570</v>
      </c>
      <c r="C2" s="266"/>
      <c r="D2" s="40" t="s">
        <v>629</v>
      </c>
      <c r="E2" s="44"/>
    </row>
    <row r="3" spans="1:5" x14ac:dyDescent="0.25">
      <c r="A3" s="6" t="s">
        <v>603</v>
      </c>
      <c r="B3" s="263" t="s">
        <v>700</v>
      </c>
      <c r="C3" s="264"/>
      <c r="D3" s="40" t="s">
        <v>630</v>
      </c>
      <c r="E3" s="44"/>
    </row>
    <row r="4" spans="1:5" x14ac:dyDescent="0.25">
      <c r="A4" s="6" t="s">
        <v>603</v>
      </c>
      <c r="B4" s="43" t="s">
        <v>571</v>
      </c>
      <c r="C4" s="27"/>
      <c r="D4" s="40" t="s">
        <v>604</v>
      </c>
      <c r="E4" s="44"/>
    </row>
    <row r="5" spans="1:5" s="3" customFormat="1" ht="20.45" customHeight="1" x14ac:dyDescent="0.25">
      <c r="A5" s="6"/>
      <c r="B5" s="216" t="s">
        <v>635</v>
      </c>
      <c r="C5" s="152"/>
      <c r="D5" s="215"/>
      <c r="E5" s="1"/>
    </row>
    <row r="6" spans="1:5" ht="33.75" customHeight="1" x14ac:dyDescent="0.25">
      <c r="A6" s="6">
        <v>34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4"/>
    </row>
    <row r="7" spans="1:5" ht="15" customHeight="1" x14ac:dyDescent="0.25">
      <c r="A7" s="50">
        <f>IFERROR(IF(D7="",1,0),1)</f>
        <v>0</v>
      </c>
      <c r="B7" s="65">
        <f t="shared" ref="B7:B31" si="0">INDEX(DatesVOC,1,E7)</f>
        <v>44012</v>
      </c>
      <c r="C7" s="65">
        <f t="shared" ref="C7" si="1">B7</f>
        <v>44012</v>
      </c>
      <c r="D7" s="66">
        <f t="array" ref="D7">HLOOKUP(B7,ReadingTableVOC,2,FALSE)</f>
        <v>2654</v>
      </c>
      <c r="E7" s="81">
        <f>IF(E6="",8,E6+1)</f>
        <v>8</v>
      </c>
    </row>
    <row r="8" spans="1:5" ht="15" customHeight="1" x14ac:dyDescent="0.25">
      <c r="A8" s="50">
        <f t="shared" ref="A8:A31" si="2">IFERROR(IF(D8="",1,0),1)</f>
        <v>0</v>
      </c>
      <c r="B8" s="65">
        <f t="shared" si="0"/>
        <v>43982</v>
      </c>
      <c r="C8" s="65">
        <f t="shared" ref="C8:C31" si="3">B8</f>
        <v>43982</v>
      </c>
      <c r="D8" s="66">
        <f t="array" ref="D8">HLOOKUP(B8,ReadingTableVOC,2,FALSE)</f>
        <v>1173</v>
      </c>
      <c r="E8" s="81">
        <f t="shared" ref="E8:E31" si="4">IF(E7="",8,E7+1)</f>
        <v>9</v>
      </c>
    </row>
    <row r="9" spans="1:5" ht="15" customHeight="1" x14ac:dyDescent="0.25">
      <c r="A9" s="50">
        <f t="shared" si="2"/>
        <v>0</v>
      </c>
      <c r="B9" s="65">
        <f t="shared" si="0"/>
        <v>43951</v>
      </c>
      <c r="C9" s="65">
        <f t="shared" si="3"/>
        <v>43951</v>
      </c>
      <c r="D9" s="66">
        <f t="array" ref="D9">HLOOKUP(B9,ReadingTableVOC,2,FALSE)</f>
        <v>1098</v>
      </c>
      <c r="E9" s="81">
        <f t="shared" si="4"/>
        <v>10</v>
      </c>
    </row>
    <row r="10" spans="1:5" ht="15" customHeight="1" x14ac:dyDescent="0.25">
      <c r="A10" s="50">
        <f t="shared" si="2"/>
        <v>0</v>
      </c>
      <c r="B10" s="65">
        <f t="shared" si="0"/>
        <v>43921</v>
      </c>
      <c r="C10" s="65">
        <f t="shared" si="3"/>
        <v>43921</v>
      </c>
      <c r="D10" s="66">
        <f t="array" ref="D10">HLOOKUP(B10,ReadingTableVOC,2,FALSE)</f>
        <v>986</v>
      </c>
      <c r="E10" s="81">
        <f t="shared" si="4"/>
        <v>11</v>
      </c>
    </row>
    <row r="11" spans="1:5" ht="15" customHeight="1" x14ac:dyDescent="0.25">
      <c r="A11" s="50">
        <f t="shared" si="2"/>
        <v>0</v>
      </c>
      <c r="B11" s="65">
        <f t="shared" si="0"/>
        <v>43889</v>
      </c>
      <c r="C11" s="65">
        <f t="shared" si="3"/>
        <v>43889</v>
      </c>
      <c r="D11" s="66">
        <f t="array" ref="D11">HLOOKUP(B11,ReadingTableVOC,2,FALSE)</f>
        <v>1212</v>
      </c>
      <c r="E11" s="81">
        <f t="shared" si="4"/>
        <v>12</v>
      </c>
    </row>
    <row r="12" spans="1:5" ht="15" customHeight="1" x14ac:dyDescent="0.25">
      <c r="A12" s="50">
        <f t="shared" si="2"/>
        <v>0</v>
      </c>
      <c r="B12" s="65">
        <f t="shared" si="0"/>
        <v>43861</v>
      </c>
      <c r="C12" s="65">
        <f t="shared" si="3"/>
        <v>43861</v>
      </c>
      <c r="D12" s="66">
        <f t="array" ref="D12">HLOOKUP(B12,ReadingTableVOC,2,FALSE)</f>
        <v>1993</v>
      </c>
      <c r="E12" s="81">
        <f t="shared" si="4"/>
        <v>13</v>
      </c>
    </row>
    <row r="13" spans="1:5" ht="15" customHeight="1" x14ac:dyDescent="0.25">
      <c r="A13" s="50">
        <f t="shared" si="2"/>
        <v>0</v>
      </c>
      <c r="B13" s="65">
        <f t="shared" si="0"/>
        <v>43830</v>
      </c>
      <c r="C13" s="65">
        <f t="shared" si="3"/>
        <v>43830</v>
      </c>
      <c r="D13" s="66">
        <f t="array" ref="D13">HLOOKUP(B13,ReadingTableVOC,2,FALSE)</f>
        <v>2323</v>
      </c>
      <c r="E13" s="81">
        <f t="shared" si="4"/>
        <v>14</v>
      </c>
    </row>
    <row r="14" spans="1:5" ht="15" customHeight="1" x14ac:dyDescent="0.25">
      <c r="A14" s="50">
        <f t="shared" si="2"/>
        <v>0</v>
      </c>
      <c r="B14" s="65">
        <f t="shared" si="0"/>
        <v>43799</v>
      </c>
      <c r="C14" s="65">
        <f t="shared" si="3"/>
        <v>43799</v>
      </c>
      <c r="D14" s="66">
        <f t="array" ref="D14">HLOOKUP(B14,ReadingTableVOC,2,FALSE)</f>
        <v>2566</v>
      </c>
      <c r="E14" s="81">
        <f t="shared" si="4"/>
        <v>15</v>
      </c>
    </row>
    <row r="15" spans="1:5" ht="15" customHeight="1" x14ac:dyDescent="0.25">
      <c r="A15" s="50">
        <f t="shared" si="2"/>
        <v>0</v>
      </c>
      <c r="B15" s="65">
        <f t="shared" si="0"/>
        <v>43769</v>
      </c>
      <c r="C15" s="65">
        <f t="shared" si="3"/>
        <v>43769</v>
      </c>
      <c r="D15" s="66">
        <f t="array" ref="D15">HLOOKUP(B15,ReadingTableVOC,2,FALSE)</f>
        <v>2577</v>
      </c>
      <c r="E15" s="81">
        <f t="shared" si="4"/>
        <v>16</v>
      </c>
    </row>
    <row r="16" spans="1:5" ht="15" customHeight="1" x14ac:dyDescent="0.25">
      <c r="A16" s="50">
        <f t="shared" si="2"/>
        <v>0</v>
      </c>
      <c r="B16" s="65">
        <f t="shared" si="0"/>
        <v>43738</v>
      </c>
      <c r="C16" s="65">
        <f t="shared" si="3"/>
        <v>43738</v>
      </c>
      <c r="D16" s="66">
        <f t="array" ref="D16">HLOOKUP(B16,ReadingTableVOC,2,FALSE)</f>
        <v>2756</v>
      </c>
      <c r="E16" s="81">
        <f t="shared" si="4"/>
        <v>17</v>
      </c>
    </row>
    <row r="17" spans="1:5" ht="15" customHeight="1" x14ac:dyDescent="0.25">
      <c r="A17" s="50">
        <f t="shared" si="2"/>
        <v>0</v>
      </c>
      <c r="B17" s="65">
        <f t="shared" si="0"/>
        <v>43708</v>
      </c>
      <c r="C17" s="65">
        <f t="shared" si="3"/>
        <v>43708</v>
      </c>
      <c r="D17" s="66">
        <f t="array" ref="D17">HLOOKUP(B17,ReadingTableVOC,2,FALSE)</f>
        <v>2677</v>
      </c>
      <c r="E17" s="81">
        <f t="shared" si="4"/>
        <v>18</v>
      </c>
    </row>
    <row r="18" spans="1:5" ht="15" customHeight="1" x14ac:dyDescent="0.25">
      <c r="A18" s="50">
        <f t="shared" si="2"/>
        <v>0</v>
      </c>
      <c r="B18" s="65">
        <f t="shared" si="0"/>
        <v>43677</v>
      </c>
      <c r="C18" s="65">
        <f t="shared" si="3"/>
        <v>43677</v>
      </c>
      <c r="D18" s="66">
        <f t="array" ref="D18">HLOOKUP(B18,ReadingTableVOC,2,FALSE)</f>
        <v>1232</v>
      </c>
      <c r="E18" s="81">
        <f t="shared" si="4"/>
        <v>19</v>
      </c>
    </row>
    <row r="19" spans="1:5" ht="15" customHeight="1" x14ac:dyDescent="0.25">
      <c r="A19" s="50">
        <f t="shared" si="2"/>
        <v>0</v>
      </c>
      <c r="B19" s="65">
        <f t="shared" si="0"/>
        <v>43646</v>
      </c>
      <c r="C19" s="65">
        <f t="shared" si="3"/>
        <v>43646</v>
      </c>
      <c r="D19" s="66">
        <f t="array" ref="D19">HLOOKUP(B19,ReadingTableVOC,2,FALSE)</f>
        <v>3221</v>
      </c>
      <c r="E19" s="81">
        <f t="shared" si="4"/>
        <v>20</v>
      </c>
    </row>
    <row r="20" spans="1:5" ht="15" customHeight="1" x14ac:dyDescent="0.25">
      <c r="A20" s="50">
        <f t="shared" si="2"/>
        <v>0</v>
      </c>
      <c r="B20" s="65">
        <f t="shared" si="0"/>
        <v>43616</v>
      </c>
      <c r="C20" s="65">
        <f t="shared" si="3"/>
        <v>43616</v>
      </c>
      <c r="D20" s="66">
        <f t="array" ref="D20">HLOOKUP(B20,ReadingTableVOC,2,FALSE)</f>
        <v>1173</v>
      </c>
      <c r="E20" s="81">
        <f t="shared" si="4"/>
        <v>21</v>
      </c>
    </row>
    <row r="21" spans="1:5" ht="15" customHeight="1" x14ac:dyDescent="0.25">
      <c r="A21" s="50">
        <f t="shared" si="2"/>
        <v>0</v>
      </c>
      <c r="B21" s="65">
        <f t="shared" si="0"/>
        <v>43585</v>
      </c>
      <c r="C21" s="65">
        <f t="shared" si="3"/>
        <v>43585</v>
      </c>
      <c r="D21" s="66">
        <f t="array" ref="D21">HLOOKUP(B21,ReadingTableVOC,2,FALSE)</f>
        <v>1098</v>
      </c>
      <c r="E21" s="81">
        <f t="shared" si="4"/>
        <v>22</v>
      </c>
    </row>
    <row r="22" spans="1:5" ht="15" customHeight="1" x14ac:dyDescent="0.25">
      <c r="A22" s="50">
        <f t="shared" si="2"/>
        <v>0</v>
      </c>
      <c r="B22" s="65">
        <f t="shared" si="0"/>
        <v>43555</v>
      </c>
      <c r="C22" s="65">
        <f t="shared" si="3"/>
        <v>43555</v>
      </c>
      <c r="D22" s="66">
        <f t="array" ref="D22">HLOOKUP(B22,ReadingTableVOC,2,FALSE)</f>
        <v>986</v>
      </c>
      <c r="E22" s="81">
        <f t="shared" si="4"/>
        <v>23</v>
      </c>
    </row>
    <row r="23" spans="1:5" ht="15" customHeight="1" x14ac:dyDescent="0.25">
      <c r="A23" s="50">
        <f t="shared" si="2"/>
        <v>0</v>
      </c>
      <c r="B23" s="65">
        <f t="shared" si="0"/>
        <v>43524</v>
      </c>
      <c r="C23" s="65">
        <f t="shared" si="3"/>
        <v>43524</v>
      </c>
      <c r="D23" s="66">
        <f t="array" ref="D23">HLOOKUP(B23,ReadingTableVOC,2,FALSE)</f>
        <v>1212</v>
      </c>
      <c r="E23" s="81">
        <f t="shared" si="4"/>
        <v>24</v>
      </c>
    </row>
    <row r="24" spans="1:5" ht="15" customHeight="1" x14ac:dyDescent="0.25">
      <c r="A24" s="50">
        <f t="shared" si="2"/>
        <v>0</v>
      </c>
      <c r="B24" s="65">
        <f t="shared" si="0"/>
        <v>43496</v>
      </c>
      <c r="C24" s="65">
        <f t="shared" si="3"/>
        <v>43496</v>
      </c>
      <c r="D24" s="66">
        <f t="array" ref="D24">HLOOKUP(B24,ReadingTableVOC,2,FALSE)</f>
        <v>1993</v>
      </c>
      <c r="E24" s="81">
        <f t="shared" si="4"/>
        <v>25</v>
      </c>
    </row>
    <row r="25" spans="1:5" ht="15" customHeight="1" x14ac:dyDescent="0.25">
      <c r="A25" s="50">
        <f t="shared" si="2"/>
        <v>0</v>
      </c>
      <c r="B25" s="65">
        <f t="shared" si="0"/>
        <v>43465</v>
      </c>
      <c r="C25" s="65">
        <f t="shared" si="3"/>
        <v>43465</v>
      </c>
      <c r="D25" s="66">
        <f t="array" ref="D25">HLOOKUP(B25,ReadingTableVOC,2,FALSE)</f>
        <v>2323</v>
      </c>
      <c r="E25" s="81">
        <f t="shared" si="4"/>
        <v>26</v>
      </c>
    </row>
    <row r="26" spans="1:5" ht="15" customHeight="1" x14ac:dyDescent="0.25">
      <c r="A26" s="50">
        <f t="shared" si="2"/>
        <v>0</v>
      </c>
      <c r="B26" s="65">
        <f t="shared" si="0"/>
        <v>43434</v>
      </c>
      <c r="C26" s="65">
        <f t="shared" si="3"/>
        <v>43434</v>
      </c>
      <c r="D26" s="66">
        <f t="array" ref="D26">HLOOKUP(B26,ReadingTableVOC,2,FALSE)</f>
        <v>2566</v>
      </c>
      <c r="E26" s="81">
        <f t="shared" si="4"/>
        <v>27</v>
      </c>
    </row>
    <row r="27" spans="1:5" ht="15" customHeight="1" x14ac:dyDescent="0.25">
      <c r="A27" s="50">
        <f t="shared" si="2"/>
        <v>0</v>
      </c>
      <c r="B27" s="65">
        <f t="shared" si="0"/>
        <v>43404</v>
      </c>
      <c r="C27" s="65">
        <f t="shared" si="3"/>
        <v>43404</v>
      </c>
      <c r="D27" s="66">
        <f t="array" ref="D27">HLOOKUP(B27,ReadingTableVOC,2,FALSE)</f>
        <v>2577</v>
      </c>
      <c r="E27" s="81">
        <f t="shared" si="4"/>
        <v>28</v>
      </c>
    </row>
    <row r="28" spans="1:5" ht="15" customHeight="1" x14ac:dyDescent="0.25">
      <c r="A28" s="50">
        <f t="shared" si="2"/>
        <v>0</v>
      </c>
      <c r="B28" s="65">
        <f t="shared" si="0"/>
        <v>43373</v>
      </c>
      <c r="C28" s="65">
        <f t="shared" si="3"/>
        <v>43373</v>
      </c>
      <c r="D28" s="66">
        <f t="array" ref="D28">HLOOKUP(B28,ReadingTableVOC,2,FALSE)</f>
        <v>2756</v>
      </c>
      <c r="E28" s="81">
        <f t="shared" si="4"/>
        <v>29</v>
      </c>
    </row>
    <row r="29" spans="1:5" ht="15" customHeight="1" x14ac:dyDescent="0.25">
      <c r="A29" s="50">
        <f t="shared" si="2"/>
        <v>0</v>
      </c>
      <c r="B29" s="65">
        <f t="shared" si="0"/>
        <v>43343</v>
      </c>
      <c r="C29" s="65">
        <f t="shared" si="3"/>
        <v>43343</v>
      </c>
      <c r="D29" s="66">
        <f t="array" ref="D29">HLOOKUP(B29,ReadingTableVOC,2,FALSE)</f>
        <v>2677</v>
      </c>
      <c r="E29" s="81">
        <f t="shared" si="4"/>
        <v>30</v>
      </c>
    </row>
    <row r="30" spans="1:5" ht="15" customHeight="1" x14ac:dyDescent="0.25">
      <c r="A30" s="50">
        <f t="shared" si="2"/>
        <v>0</v>
      </c>
      <c r="B30" s="65">
        <f t="shared" si="0"/>
        <v>43312</v>
      </c>
      <c r="C30" s="65">
        <f t="shared" si="3"/>
        <v>43312</v>
      </c>
      <c r="D30" s="66">
        <f t="array" ref="D30">HLOOKUP(B30,ReadingTableVOC,2,FALSE)</f>
        <v>1232</v>
      </c>
      <c r="E30" s="81">
        <f t="shared" si="4"/>
        <v>31</v>
      </c>
    </row>
    <row r="31" spans="1:5" ht="15" customHeight="1" x14ac:dyDescent="0.25">
      <c r="A31" s="50">
        <f t="shared" si="2"/>
        <v>0</v>
      </c>
      <c r="B31" s="65">
        <f t="shared" si="0"/>
        <v>43281</v>
      </c>
      <c r="C31" s="65">
        <f t="shared" si="3"/>
        <v>43281</v>
      </c>
      <c r="D31" s="66">
        <f t="array" ref="D31">HLOOKUP(B31,ReadingTableVOC,2,FALSE)</f>
        <v>3221</v>
      </c>
      <c r="E31" s="81">
        <f t="shared" si="4"/>
        <v>32</v>
      </c>
    </row>
    <row r="32" spans="1:5" ht="15" customHeight="1" x14ac:dyDescent="0.25">
      <c r="A32" s="6" t="s">
        <v>551</v>
      </c>
      <c r="B32" s="46"/>
      <c r="C32" s="46"/>
      <c r="D32" s="46"/>
      <c r="E32" s="44"/>
    </row>
    <row r="33" spans="1:5" ht="15" hidden="1" customHeight="1" x14ac:dyDescent="0.25">
      <c r="A33" s="6"/>
      <c r="B33" s="46"/>
      <c r="C33" s="46"/>
      <c r="D33" s="46"/>
      <c r="E33" s="44"/>
    </row>
    <row r="34" spans="1:5" ht="33.6" customHeight="1" x14ac:dyDescent="0.25">
      <c r="A34" s="6" t="s">
        <v>551</v>
      </c>
      <c r="B34" s="46"/>
      <c r="C34" s="46"/>
      <c r="D34" s="46"/>
      <c r="E34" s="44"/>
    </row>
  </sheetData>
  <sheetProtection algorithmName="SHA-512" hashValue="EGwPvS4OP9oxekBzrC+tp5bfJSuhreUVSwvHgOD1ZgVjlQHGXMMWaZpj8ipM8NPihF7rLoQvkXlkumVGiRcyhA==" saltValue="lRGPvHueJI+xdmnEny/Y2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27" activePane="bottomLeft" state="frozen"/>
      <selection pane="bottomLeft"/>
    </sheetView>
  </sheetViews>
  <sheetFormatPr defaultColWidth="14.7109375" defaultRowHeight="12.75" x14ac:dyDescent="0.25"/>
  <cols>
    <col min="1" max="1" width="4.28515625" style="51" customWidth="1"/>
    <col min="2" max="2" width="18.7109375" style="52" customWidth="1"/>
    <col min="3" max="16384" width="14.7109375" style="52"/>
  </cols>
  <sheetData>
    <row r="1" spans="1:8" ht="36" customHeight="1" x14ac:dyDescent="0.25">
      <c r="A1" s="51" t="s">
        <v>603</v>
      </c>
      <c r="B1" s="53" t="s">
        <v>633</v>
      </c>
    </row>
    <row r="2" spans="1:8" ht="33.75" customHeight="1" x14ac:dyDescent="0.25">
      <c r="A2" s="51" t="s">
        <v>603</v>
      </c>
      <c r="B2" s="54" t="s">
        <v>583</v>
      </c>
      <c r="C2" s="55" t="s">
        <v>709</v>
      </c>
      <c r="D2" s="56" t="s">
        <v>584</v>
      </c>
      <c r="E2" s="57" t="s">
        <v>598</v>
      </c>
      <c r="F2" s="119" t="s">
        <v>599</v>
      </c>
      <c r="G2" s="58" t="s">
        <v>602</v>
      </c>
    </row>
    <row r="3" spans="1:8" x14ac:dyDescent="0.25">
      <c r="B3" s="121" t="s">
        <v>711</v>
      </c>
      <c r="C3" s="248">
        <v>43983</v>
      </c>
      <c r="D3" s="141">
        <v>44012</v>
      </c>
      <c r="E3" s="150">
        <v>0.375</v>
      </c>
      <c r="F3" s="151">
        <v>0.5</v>
      </c>
      <c r="G3" s="142">
        <v>2654</v>
      </c>
    </row>
    <row r="4" spans="1:8" x14ac:dyDescent="0.25">
      <c r="B4" s="121" t="s">
        <v>712</v>
      </c>
      <c r="C4" s="248">
        <v>43952</v>
      </c>
      <c r="D4" s="141">
        <v>43982</v>
      </c>
      <c r="E4" s="150">
        <v>0.41666666666666669</v>
      </c>
      <c r="F4" s="151">
        <v>0.5</v>
      </c>
      <c r="G4" s="142">
        <v>1173</v>
      </c>
      <c r="H4" s="59"/>
    </row>
    <row r="5" spans="1:8" x14ac:dyDescent="0.25">
      <c r="B5" s="121" t="s">
        <v>713</v>
      </c>
      <c r="C5" s="248">
        <v>43922</v>
      </c>
      <c r="D5" s="141">
        <v>43951</v>
      </c>
      <c r="E5" s="150">
        <v>0.45833333333333331</v>
      </c>
      <c r="F5" s="151">
        <v>0.5</v>
      </c>
      <c r="G5" s="142">
        <v>1098</v>
      </c>
      <c r="H5" s="59"/>
    </row>
    <row r="6" spans="1:8" x14ac:dyDescent="0.25">
      <c r="B6" s="121" t="s">
        <v>714</v>
      </c>
      <c r="C6" s="248">
        <v>43891</v>
      </c>
      <c r="D6" s="141">
        <v>43921</v>
      </c>
      <c r="E6" s="150">
        <v>0.10416666666666667</v>
      </c>
      <c r="F6" s="151">
        <v>0.18958333333333333</v>
      </c>
      <c r="G6" s="142">
        <v>986</v>
      </c>
      <c r="H6" s="59"/>
    </row>
    <row r="7" spans="1:8" x14ac:dyDescent="0.25">
      <c r="B7" s="121" t="s">
        <v>715</v>
      </c>
      <c r="C7" s="248">
        <v>43862</v>
      </c>
      <c r="D7" s="141">
        <v>43889</v>
      </c>
      <c r="E7" s="150">
        <v>0.14583333333333334</v>
      </c>
      <c r="F7" s="151">
        <v>0.3298611111111111</v>
      </c>
      <c r="G7" s="142">
        <v>1212</v>
      </c>
      <c r="H7" s="59"/>
    </row>
    <row r="8" spans="1:8" x14ac:dyDescent="0.25">
      <c r="B8" s="121" t="s">
        <v>712</v>
      </c>
      <c r="C8" s="248">
        <v>43831</v>
      </c>
      <c r="D8" s="141">
        <v>43861</v>
      </c>
      <c r="E8" s="150">
        <v>8.3333333333333329E-2</v>
      </c>
      <c r="F8" s="151">
        <v>0.25</v>
      </c>
      <c r="G8" s="142">
        <v>1993</v>
      </c>
      <c r="H8" s="59"/>
    </row>
    <row r="9" spans="1:8" x14ac:dyDescent="0.25">
      <c r="B9" s="121" t="s">
        <v>713</v>
      </c>
      <c r="C9" s="248">
        <v>43800</v>
      </c>
      <c r="D9" s="141">
        <v>43830</v>
      </c>
      <c r="E9" s="150">
        <v>0.125</v>
      </c>
      <c r="F9" s="151">
        <v>0.25</v>
      </c>
      <c r="G9" s="142">
        <v>2323</v>
      </c>
      <c r="H9" s="59"/>
    </row>
    <row r="10" spans="1:8" x14ac:dyDescent="0.25">
      <c r="B10" s="121" t="s">
        <v>711</v>
      </c>
      <c r="C10" s="248">
        <v>43770</v>
      </c>
      <c r="D10" s="141">
        <v>43799</v>
      </c>
      <c r="E10" s="150">
        <v>0.29166666666666669</v>
      </c>
      <c r="F10" s="151">
        <v>0.5</v>
      </c>
      <c r="G10" s="142">
        <v>2566</v>
      </c>
      <c r="H10" s="59"/>
    </row>
    <row r="11" spans="1:8" x14ac:dyDescent="0.25">
      <c r="B11" s="121" t="s">
        <v>716</v>
      </c>
      <c r="C11" s="248">
        <v>43739</v>
      </c>
      <c r="D11" s="141">
        <v>43769</v>
      </c>
      <c r="E11" s="150">
        <v>0.45833333333333331</v>
      </c>
      <c r="F11" s="151">
        <v>0.5</v>
      </c>
      <c r="G11" s="142">
        <v>2577</v>
      </c>
      <c r="H11" s="59"/>
    </row>
    <row r="12" spans="1:8" x14ac:dyDescent="0.25">
      <c r="B12" s="121" t="s">
        <v>717</v>
      </c>
      <c r="C12" s="248">
        <v>43709</v>
      </c>
      <c r="D12" s="141">
        <v>43738</v>
      </c>
      <c r="E12" s="150">
        <v>0.10416666666666667</v>
      </c>
      <c r="F12" s="151">
        <v>0.18958333333333333</v>
      </c>
      <c r="G12" s="142">
        <v>2756</v>
      </c>
      <c r="H12" s="59"/>
    </row>
    <row r="13" spans="1:8" x14ac:dyDescent="0.25">
      <c r="B13" s="121" t="s">
        <v>718</v>
      </c>
      <c r="C13" s="248">
        <v>43678</v>
      </c>
      <c r="D13" s="141">
        <v>43708</v>
      </c>
      <c r="E13" s="150">
        <v>0.14583333333333334</v>
      </c>
      <c r="F13" s="151">
        <v>0.3298611111111111</v>
      </c>
      <c r="G13" s="142">
        <v>2677</v>
      </c>
      <c r="H13" s="59"/>
    </row>
    <row r="14" spans="1:8" x14ac:dyDescent="0.25">
      <c r="B14" s="121" t="s">
        <v>719</v>
      </c>
      <c r="C14" s="248">
        <v>43647</v>
      </c>
      <c r="D14" s="141">
        <v>43677</v>
      </c>
      <c r="E14" s="150">
        <v>8.3333333333333329E-2</v>
      </c>
      <c r="F14" s="151">
        <v>0.25</v>
      </c>
      <c r="G14" s="142">
        <v>1232</v>
      </c>
      <c r="H14" s="59"/>
    </row>
    <row r="15" spans="1:8" x14ac:dyDescent="0.25">
      <c r="B15" s="121" t="s">
        <v>720</v>
      </c>
      <c r="C15" s="248">
        <v>43617</v>
      </c>
      <c r="D15" s="141">
        <v>43646</v>
      </c>
      <c r="E15" s="150">
        <v>0.125</v>
      </c>
      <c r="F15" s="151">
        <v>0.25</v>
      </c>
      <c r="G15" s="142">
        <v>3221</v>
      </c>
      <c r="H15" s="59"/>
    </row>
    <row r="16" spans="1:8" x14ac:dyDescent="0.25">
      <c r="B16" s="121" t="s">
        <v>711</v>
      </c>
      <c r="C16" s="248">
        <v>43586</v>
      </c>
      <c r="D16" s="141">
        <v>43616</v>
      </c>
      <c r="E16" s="150">
        <v>0.375</v>
      </c>
      <c r="F16" s="151">
        <v>0.5</v>
      </c>
      <c r="G16" s="142">
        <v>1173</v>
      </c>
      <c r="H16" s="59"/>
    </row>
    <row r="17" spans="1:32" x14ac:dyDescent="0.25">
      <c r="B17" s="121" t="s">
        <v>712</v>
      </c>
      <c r="C17" s="248">
        <v>43556</v>
      </c>
      <c r="D17" s="141">
        <v>43585</v>
      </c>
      <c r="E17" s="150">
        <v>0.41666666666666669</v>
      </c>
      <c r="F17" s="151">
        <v>0.5</v>
      </c>
      <c r="G17" s="142">
        <v>1098</v>
      </c>
      <c r="H17" s="59"/>
    </row>
    <row r="18" spans="1:32" x14ac:dyDescent="0.25">
      <c r="B18" s="121" t="s">
        <v>713</v>
      </c>
      <c r="C18" s="248">
        <v>43525</v>
      </c>
      <c r="D18" s="141">
        <v>43555</v>
      </c>
      <c r="E18" s="150">
        <v>0.45833333333333331</v>
      </c>
      <c r="F18" s="151">
        <v>0.5</v>
      </c>
      <c r="G18" s="142">
        <v>986</v>
      </c>
      <c r="H18" s="59"/>
    </row>
    <row r="19" spans="1:32" x14ac:dyDescent="0.25">
      <c r="B19" s="121" t="s">
        <v>714</v>
      </c>
      <c r="C19" s="248">
        <v>43497</v>
      </c>
      <c r="D19" s="141">
        <v>43524</v>
      </c>
      <c r="E19" s="150">
        <v>0.10416666666666667</v>
      </c>
      <c r="F19" s="151">
        <v>0.18958333333333333</v>
      </c>
      <c r="G19" s="142">
        <v>1212</v>
      </c>
      <c r="H19" s="59"/>
    </row>
    <row r="20" spans="1:32" x14ac:dyDescent="0.25">
      <c r="B20" s="121" t="s">
        <v>715</v>
      </c>
      <c r="C20" s="248">
        <v>43466</v>
      </c>
      <c r="D20" s="141">
        <v>43496</v>
      </c>
      <c r="E20" s="150">
        <v>0.14583333333333334</v>
      </c>
      <c r="F20" s="151">
        <v>0.3298611111111111</v>
      </c>
      <c r="G20" s="142">
        <v>1993</v>
      </c>
      <c r="H20" s="59"/>
    </row>
    <row r="21" spans="1:32" x14ac:dyDescent="0.25">
      <c r="B21" s="121" t="s">
        <v>712</v>
      </c>
      <c r="C21" s="248">
        <v>43435</v>
      </c>
      <c r="D21" s="141">
        <v>43465</v>
      </c>
      <c r="E21" s="150">
        <v>8.3333333333333329E-2</v>
      </c>
      <c r="F21" s="151">
        <v>0.25</v>
      </c>
      <c r="G21" s="142">
        <v>2323</v>
      </c>
      <c r="H21" s="59"/>
    </row>
    <row r="22" spans="1:32" x14ac:dyDescent="0.25">
      <c r="B22" s="121" t="s">
        <v>713</v>
      </c>
      <c r="C22" s="248">
        <v>43405</v>
      </c>
      <c r="D22" s="141">
        <v>43434</v>
      </c>
      <c r="E22" s="150">
        <v>0.125</v>
      </c>
      <c r="F22" s="151">
        <v>0.25</v>
      </c>
      <c r="G22" s="142">
        <v>2566</v>
      </c>
      <c r="H22" s="59"/>
    </row>
    <row r="23" spans="1:32" x14ac:dyDescent="0.25">
      <c r="B23" s="121" t="s">
        <v>711</v>
      </c>
      <c r="C23" s="248">
        <v>43374</v>
      </c>
      <c r="D23" s="141">
        <v>43404</v>
      </c>
      <c r="E23" s="150">
        <v>0.29166666666666669</v>
      </c>
      <c r="F23" s="151">
        <v>0.5</v>
      </c>
      <c r="G23" s="142">
        <v>2577</v>
      </c>
      <c r="H23" s="59"/>
    </row>
    <row r="24" spans="1:32" x14ac:dyDescent="0.25">
      <c r="B24" s="121" t="s">
        <v>716</v>
      </c>
      <c r="C24" s="248">
        <v>43344</v>
      </c>
      <c r="D24" s="141">
        <v>43373</v>
      </c>
      <c r="E24" s="150">
        <v>0.45833333333333331</v>
      </c>
      <c r="F24" s="151">
        <v>0.5</v>
      </c>
      <c r="G24" s="142">
        <v>2756</v>
      </c>
      <c r="H24" s="59"/>
    </row>
    <row r="25" spans="1:32" x14ac:dyDescent="0.25">
      <c r="B25" s="121" t="s">
        <v>717</v>
      </c>
      <c r="C25" s="248">
        <v>43313</v>
      </c>
      <c r="D25" s="141">
        <v>43343</v>
      </c>
      <c r="E25" s="150">
        <v>0.10416666666666667</v>
      </c>
      <c r="F25" s="151">
        <v>0.18958333333333333</v>
      </c>
      <c r="G25" s="142">
        <v>2677</v>
      </c>
      <c r="H25" s="59"/>
    </row>
    <row r="26" spans="1:32" x14ac:dyDescent="0.25">
      <c r="B26" s="121" t="s">
        <v>718</v>
      </c>
      <c r="C26" s="248">
        <v>43282</v>
      </c>
      <c r="D26" s="141">
        <v>43312</v>
      </c>
      <c r="E26" s="150">
        <v>0.14583333333333334</v>
      </c>
      <c r="F26" s="151">
        <v>0.3298611111111111</v>
      </c>
      <c r="G26" s="142">
        <v>1232</v>
      </c>
      <c r="H26" s="59"/>
    </row>
    <row r="27" spans="1:32" x14ac:dyDescent="0.25">
      <c r="B27" s="121" t="s">
        <v>715</v>
      </c>
      <c r="C27" s="248">
        <v>43252</v>
      </c>
      <c r="D27" s="141">
        <v>43281</v>
      </c>
      <c r="E27" s="150">
        <v>8.3333333333333329E-2</v>
      </c>
      <c r="F27" s="151">
        <v>0.25</v>
      </c>
      <c r="G27" s="142">
        <v>3221</v>
      </c>
      <c r="H27" s="59"/>
    </row>
    <row r="28" spans="1:32" ht="39" customHeight="1" x14ac:dyDescent="0.25"/>
    <row r="29" spans="1:32" s="72" customFormat="1" ht="51" customHeight="1" x14ac:dyDescent="0.2">
      <c r="A29" s="51" t="s">
        <v>593</v>
      </c>
      <c r="B29" s="53" t="s">
        <v>587</v>
      </c>
      <c r="G29" s="73"/>
      <c r="H29" s="82">
        <f t="shared" ref="H29:AF29" si="0">IF(H31="",1,0)</f>
        <v>0</v>
      </c>
      <c r="I29" s="82">
        <f t="shared" si="0"/>
        <v>0</v>
      </c>
      <c r="J29" s="82">
        <f t="shared" si="0"/>
        <v>0</v>
      </c>
      <c r="K29" s="82">
        <f t="shared" si="0"/>
        <v>0</v>
      </c>
      <c r="L29" s="82">
        <f t="shared" si="0"/>
        <v>0</v>
      </c>
      <c r="M29" s="82">
        <f t="shared" si="0"/>
        <v>0</v>
      </c>
      <c r="N29" s="82">
        <f t="shared" si="0"/>
        <v>0</v>
      </c>
      <c r="O29" s="82">
        <f t="shared" si="0"/>
        <v>0</v>
      </c>
      <c r="P29" s="82">
        <f t="shared" si="0"/>
        <v>0</v>
      </c>
      <c r="Q29" s="82">
        <f t="shared" si="0"/>
        <v>0</v>
      </c>
      <c r="R29" s="82">
        <f t="shared" si="0"/>
        <v>0</v>
      </c>
      <c r="S29" s="82">
        <f t="shared" si="0"/>
        <v>0</v>
      </c>
      <c r="T29" s="82">
        <f t="shared" si="0"/>
        <v>0</v>
      </c>
      <c r="U29" s="82">
        <f t="shared" si="0"/>
        <v>0</v>
      </c>
      <c r="V29" s="82">
        <f t="shared" si="0"/>
        <v>0</v>
      </c>
      <c r="W29" s="82">
        <f t="shared" si="0"/>
        <v>0</v>
      </c>
      <c r="X29" s="82">
        <f t="shared" si="0"/>
        <v>0</v>
      </c>
      <c r="Y29" s="82">
        <f t="shared" si="0"/>
        <v>0</v>
      </c>
      <c r="Z29" s="82">
        <f t="shared" si="0"/>
        <v>0</v>
      </c>
      <c r="AA29" s="82">
        <f t="shared" si="0"/>
        <v>0</v>
      </c>
      <c r="AB29" s="82">
        <f t="shared" si="0"/>
        <v>0</v>
      </c>
      <c r="AC29" s="82">
        <f t="shared" si="0"/>
        <v>0</v>
      </c>
      <c r="AD29" s="82">
        <f t="shared" si="0"/>
        <v>0</v>
      </c>
      <c r="AE29" s="82">
        <f t="shared" si="0"/>
        <v>0</v>
      </c>
      <c r="AF29" s="82">
        <f t="shared" si="0"/>
        <v>0</v>
      </c>
    </row>
    <row r="30" spans="1:32" ht="21" customHeight="1" x14ac:dyDescent="0.25">
      <c r="A30" s="51" t="s">
        <v>603</v>
      </c>
      <c r="B30" s="270" t="s">
        <v>583</v>
      </c>
      <c r="C30" s="74"/>
      <c r="D30" s="74"/>
      <c r="E30" s="74"/>
      <c r="F30" s="74"/>
      <c r="G30" s="75"/>
      <c r="H30" s="60" t="s">
        <v>584</v>
      </c>
      <c r="I30" s="60" t="s">
        <v>584</v>
      </c>
      <c r="J30" s="60" t="s">
        <v>584</v>
      </c>
      <c r="K30" s="60" t="s">
        <v>584</v>
      </c>
      <c r="L30" s="60" t="s">
        <v>584</v>
      </c>
      <c r="M30" s="60" t="s">
        <v>584</v>
      </c>
      <c r="N30" s="60" t="s">
        <v>584</v>
      </c>
      <c r="O30" s="60" t="s">
        <v>584</v>
      </c>
      <c r="P30" s="60" t="s">
        <v>584</v>
      </c>
      <c r="Q30" s="60" t="s">
        <v>584</v>
      </c>
      <c r="R30" s="60" t="s">
        <v>584</v>
      </c>
      <c r="S30" s="60" t="s">
        <v>584</v>
      </c>
      <c r="T30" s="60" t="s">
        <v>584</v>
      </c>
      <c r="U30" s="60" t="s">
        <v>584</v>
      </c>
      <c r="V30" s="60" t="s">
        <v>584</v>
      </c>
      <c r="W30" s="60" t="s">
        <v>584</v>
      </c>
      <c r="X30" s="60" t="s">
        <v>584</v>
      </c>
      <c r="Y30" s="60" t="s">
        <v>584</v>
      </c>
      <c r="Z30" s="60" t="s">
        <v>584</v>
      </c>
      <c r="AA30" s="60" t="s">
        <v>584</v>
      </c>
      <c r="AB30" s="60" t="s">
        <v>584</v>
      </c>
      <c r="AC30" s="60" t="s">
        <v>584</v>
      </c>
      <c r="AD30" s="60" t="s">
        <v>584</v>
      </c>
      <c r="AE30" s="60" t="s">
        <v>584</v>
      </c>
      <c r="AF30" s="60" t="s">
        <v>584</v>
      </c>
    </row>
    <row r="31" spans="1:32" ht="15" customHeight="1" x14ac:dyDescent="0.25">
      <c r="A31" s="51" t="s">
        <v>603</v>
      </c>
      <c r="B31" s="271"/>
      <c r="C31" s="76"/>
      <c r="D31" s="76"/>
      <c r="E31" s="76"/>
      <c r="F31" s="76"/>
      <c r="G31" s="77"/>
      <c r="H31" s="230">
        <f t="array" ref="H31">IFERROR(INDEX($D$3:$D$28, MATCH(0,IF(ISBLANK($D$3:$D$28),1,COUNTIF($G$31:G31, $D$3:$D$28)), 0)),"")</f>
        <v>44012</v>
      </c>
      <c r="I31" s="230">
        <f t="array" ref="I31">IFERROR(INDEX($D$3:$D$28, MATCH(0,IF(ISBLANK($D$3:$D$28),1,COUNTIF($G$31:H31, $D$3:$D$28)), 0)),"")</f>
        <v>43982</v>
      </c>
      <c r="J31" s="230">
        <f t="array" ref="J31">IFERROR(INDEX($D$3:$D$28, MATCH(0,IF(ISBLANK($D$3:$D$28),1,COUNTIF($G$31:I31, $D$3:$D$28)), 0)),"")</f>
        <v>43951</v>
      </c>
      <c r="K31" s="230">
        <f t="array" ref="K31">IFERROR(INDEX($D$3:$D$28, MATCH(0,IF(ISBLANK($D$3:$D$28),1,COUNTIF($G$31:J31, $D$3:$D$28)), 0)),"")</f>
        <v>43921</v>
      </c>
      <c r="L31" s="230">
        <f t="array" ref="L31">IFERROR(INDEX($D$3:$D$28, MATCH(0,IF(ISBLANK($D$3:$D$28),1,COUNTIF($G$31:K31, $D$3:$D$28)), 0)),"")</f>
        <v>43889</v>
      </c>
      <c r="M31" s="230">
        <f t="array" ref="M31">IFERROR(INDEX($D$3:$D$28, MATCH(0,IF(ISBLANK($D$3:$D$28),1,COUNTIF($G$31:L31, $D$3:$D$28)), 0)),"")</f>
        <v>43861</v>
      </c>
      <c r="N31" s="230">
        <f t="array" ref="N31">IFERROR(INDEX($D$3:$D$28, MATCH(0,IF(ISBLANK($D$3:$D$28),1,COUNTIF($G$31:M31, $D$3:$D$28)), 0)),"")</f>
        <v>43830</v>
      </c>
      <c r="O31" s="230">
        <f t="array" ref="O31">IFERROR(INDEX($D$3:$D$28, MATCH(0,IF(ISBLANK($D$3:$D$28),1,COUNTIF($G$31:N31, $D$3:$D$28)), 0)),"")</f>
        <v>43799</v>
      </c>
      <c r="P31" s="230">
        <f t="array" ref="P31">IFERROR(INDEX($D$3:$D$28, MATCH(0,IF(ISBLANK($D$3:$D$28),1,COUNTIF($G$31:O31, $D$3:$D$28)), 0)),"")</f>
        <v>43769</v>
      </c>
      <c r="Q31" s="230">
        <f t="array" ref="Q31">IFERROR(INDEX($D$3:$D$28, MATCH(0,IF(ISBLANK($D$3:$D$28),1,COUNTIF($G$31:P31, $D$3:$D$28)), 0)),"")</f>
        <v>43738</v>
      </c>
      <c r="R31" s="230">
        <f t="array" ref="R31">IFERROR(INDEX($D$3:$D$28, MATCH(0,IF(ISBLANK($D$3:$D$28),1,COUNTIF($G$31:Q31, $D$3:$D$28)), 0)),"")</f>
        <v>43708</v>
      </c>
      <c r="S31" s="230">
        <f t="array" ref="S31">IFERROR(INDEX($D$3:$D$28, MATCH(0,IF(ISBLANK($D$3:$D$28),1,COUNTIF($G$31:R31, $D$3:$D$28)), 0)),"")</f>
        <v>43677</v>
      </c>
      <c r="T31" s="230">
        <f t="array" ref="T31">IFERROR(INDEX($D$3:$D$28, MATCH(0,IF(ISBLANK($D$3:$D$28),1,COUNTIF($G$31:S31, $D$3:$D$28)), 0)),"")</f>
        <v>43646</v>
      </c>
      <c r="U31" s="230">
        <f t="array" ref="U31">IFERROR(INDEX($D$3:$D$28, MATCH(0,IF(ISBLANK($D$3:$D$28),1,COUNTIF($G$31:T31, $D$3:$D$28)), 0)),"")</f>
        <v>43616</v>
      </c>
      <c r="V31" s="230">
        <f t="array" ref="V31">IFERROR(INDEX($D$3:$D$28, MATCH(0,IF(ISBLANK($D$3:$D$28),1,COUNTIF($G$31:U31, $D$3:$D$28)), 0)),"")</f>
        <v>43585</v>
      </c>
      <c r="W31" s="230">
        <f t="array" ref="W31">IFERROR(INDEX($D$3:$D$28, MATCH(0,IF(ISBLANK($D$3:$D$28),1,COUNTIF($G$31:V31, $D$3:$D$28)), 0)),"")</f>
        <v>43555</v>
      </c>
      <c r="X31" s="230">
        <f t="array" ref="X31">IFERROR(INDEX($D$3:$D$28, MATCH(0,IF(ISBLANK($D$3:$D$28),1,COUNTIF($G$31:W31, $D$3:$D$28)), 0)),"")</f>
        <v>43524</v>
      </c>
      <c r="Y31" s="230">
        <f t="array" ref="Y31">IFERROR(INDEX($D$3:$D$28, MATCH(0,IF(ISBLANK($D$3:$D$28),1,COUNTIF($G$31:X31, $D$3:$D$28)), 0)),"")</f>
        <v>43496</v>
      </c>
      <c r="Z31" s="230">
        <f t="array" ref="Z31">IFERROR(INDEX($D$3:$D$28, MATCH(0,IF(ISBLANK($D$3:$D$28),1,COUNTIF($G$31:Y31, $D$3:$D$28)), 0)),"")</f>
        <v>43465</v>
      </c>
      <c r="AA31" s="230">
        <f t="array" ref="AA31">IFERROR(INDEX($D$3:$D$28, MATCH(0,IF(ISBLANK($D$3:$D$28),1,COUNTIF($G$31:Z31, $D$3:$D$28)), 0)),"")</f>
        <v>43434</v>
      </c>
      <c r="AB31" s="230">
        <f t="array" ref="AB31">IFERROR(INDEX($D$3:$D$28, MATCH(0,IF(ISBLANK($D$3:$D$28),1,COUNTIF($G$31:AA31, $D$3:$D$28)), 0)),"")</f>
        <v>43404</v>
      </c>
      <c r="AC31" s="230">
        <f t="array" ref="AC31">IFERROR(INDEX($D$3:$D$28, MATCH(0,IF(ISBLANK($D$3:$D$28),1,COUNTIF($G$31:AB31, $D$3:$D$28)), 0)),"")</f>
        <v>43373</v>
      </c>
      <c r="AD31" s="230">
        <f t="array" ref="AD31">IFERROR(INDEX($D$3:$D$28, MATCH(0,IF(ISBLANK($D$3:$D$28),1,COUNTIF($G$31:AC31, $D$3:$D$28)), 0)),"")</f>
        <v>43343</v>
      </c>
      <c r="AE31" s="230">
        <f t="array" ref="AE31">IFERROR(INDEX($D$3:$D$28, MATCH(0,IF(ISBLANK($D$3:$D$28),1,COUNTIF($G$31:AD31, $D$3:$D$28)), 0)),"")</f>
        <v>43312</v>
      </c>
      <c r="AF31" s="230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51" t="s">
        <v>603</v>
      </c>
      <c r="B32" s="272"/>
      <c r="C32" s="78"/>
      <c r="D32" s="78"/>
      <c r="E32" s="78"/>
      <c r="F32" s="78"/>
      <c r="G32" s="79"/>
      <c r="H32" s="120" t="s">
        <v>600</v>
      </c>
      <c r="I32" s="120" t="s">
        <v>600</v>
      </c>
      <c r="J32" s="120" t="s">
        <v>600</v>
      </c>
      <c r="K32" s="120" t="s">
        <v>600</v>
      </c>
      <c r="L32" s="120" t="s">
        <v>600</v>
      </c>
      <c r="M32" s="120" t="s">
        <v>600</v>
      </c>
      <c r="N32" s="120" t="s">
        <v>600</v>
      </c>
      <c r="O32" s="120" t="s">
        <v>600</v>
      </c>
      <c r="P32" s="120" t="s">
        <v>600</v>
      </c>
      <c r="Q32" s="120" t="s">
        <v>600</v>
      </c>
      <c r="R32" s="120" t="s">
        <v>600</v>
      </c>
      <c r="S32" s="120" t="s">
        <v>600</v>
      </c>
      <c r="T32" s="120" t="s">
        <v>600</v>
      </c>
      <c r="U32" s="120" t="s">
        <v>600</v>
      </c>
      <c r="V32" s="120" t="s">
        <v>600</v>
      </c>
      <c r="W32" s="120" t="s">
        <v>600</v>
      </c>
      <c r="X32" s="120" t="s">
        <v>600</v>
      </c>
      <c r="Y32" s="120" t="s">
        <v>600</v>
      </c>
      <c r="Z32" s="120" t="s">
        <v>600</v>
      </c>
      <c r="AA32" s="120" t="s">
        <v>600</v>
      </c>
      <c r="AB32" s="120" t="s">
        <v>600</v>
      </c>
      <c r="AC32" s="120" t="s">
        <v>600</v>
      </c>
      <c r="AD32" s="120" t="s">
        <v>600</v>
      </c>
      <c r="AE32" s="120" t="s">
        <v>600</v>
      </c>
      <c r="AF32" s="120" t="s">
        <v>600</v>
      </c>
    </row>
    <row r="33" spans="1:32" ht="15" customHeight="1" x14ac:dyDescent="0.25">
      <c r="A33" s="51">
        <f>IF(B33="",1,0)</f>
        <v>0</v>
      </c>
      <c r="B33" s="61" t="str">
        <f t="array" ref="B33">IFERROR(INDEX($B$3:$B$28, MATCH(0,IF(ISBLANK($B$3:$B$28),1,COUNTIF($B$32:B32, $B$3:$B$28)), 0)),"")</f>
        <v>Goa</v>
      </c>
      <c r="C33" s="62"/>
      <c r="D33" s="62"/>
      <c r="E33" s="62"/>
      <c r="F33" s="62"/>
      <c r="G33" s="71"/>
      <c r="H33" s="146">
        <f t="array" ref="H33">IFERROR(AVERAGE(IF($B$3:$B$28=$B33,IF($D$3:$D$28=H$31,IF($G$3:$G$28&lt;&gt;"",$G$3:$G$28)))),"")</f>
        <v>2654</v>
      </c>
      <c r="I33" s="146" t="str">
        <f t="array" ref="I33">IFERROR(AVERAGE(IF($B$3:$B$28=$B33,IF($D$3:$D$28=I$31,IF($G$3:$G$28&lt;&gt;"",$G$3:$G$28)))),"")</f>
        <v/>
      </c>
      <c r="J33" s="146" t="str">
        <f t="array" ref="J33">IFERROR(AVERAGE(IF($B$3:$B$28=$B33,IF($D$3:$D$28=J$31,IF($G$3:$G$28&lt;&gt;"",$G$3:$G$28)))),"")</f>
        <v/>
      </c>
      <c r="K33" s="146" t="str">
        <f t="array" ref="K33">IFERROR(AVERAGE(IF($B$3:$B$28=$B33,IF($D$3:$D$28=K$31,IF($G$3:$G$28&lt;&gt;"",$G$3:$G$28)))),"")</f>
        <v/>
      </c>
      <c r="L33" s="146" t="str">
        <f t="array" ref="L33">IFERROR(AVERAGE(IF($B$3:$B$28=$B33,IF($D$3:$D$28=L$31,IF($G$3:$G$28&lt;&gt;"",$G$3:$G$28)))),"")</f>
        <v/>
      </c>
      <c r="M33" s="146" t="str">
        <f t="array" ref="M33">IFERROR(AVERAGE(IF($B$3:$B$28=$B33,IF($D$3:$D$28=M$31,IF($G$3:$G$28&lt;&gt;"",$G$3:$G$28)))),"")</f>
        <v/>
      </c>
      <c r="N33" s="146" t="str">
        <f t="array" ref="N33">IFERROR(AVERAGE(IF($B$3:$B$28=$B33,IF($D$3:$D$28=N$31,IF($G$3:$G$28&lt;&gt;"",$G$3:$G$28)))),"")</f>
        <v/>
      </c>
      <c r="O33" s="146">
        <f t="array" ref="O33">IFERROR(AVERAGE(IF($B$3:$B$28=$B33,IF($D$3:$D$28=O$31,IF($G$3:$G$28&lt;&gt;"",$G$3:$G$28)))),"")</f>
        <v>2566</v>
      </c>
      <c r="P33" s="146" t="str">
        <f t="array" ref="P33">IFERROR(AVERAGE(IF($B$3:$B$28=$B33,IF($D$3:$D$28=P$31,IF($G$3:$G$28&lt;&gt;"",$G$3:$G$28)))),"")</f>
        <v/>
      </c>
      <c r="Q33" s="146" t="str">
        <f t="array" ref="Q33">IFERROR(AVERAGE(IF($B$3:$B$28=$B33,IF($D$3:$D$28=Q$31,IF($G$3:$G$28&lt;&gt;"",$G$3:$G$28)))),"")</f>
        <v/>
      </c>
      <c r="R33" s="146" t="str">
        <f t="array" ref="R33">IFERROR(AVERAGE(IF($B$3:$B$28=$B33,IF($D$3:$D$28=R$31,IF($G$3:$G$28&lt;&gt;"",$G$3:$G$28)))),"")</f>
        <v/>
      </c>
      <c r="S33" s="146" t="str">
        <f t="array" ref="S33">IFERROR(AVERAGE(IF($B$3:$B$28=$B33,IF($D$3:$D$28=S$31,IF($G$3:$G$28&lt;&gt;"",$G$3:$G$28)))),"")</f>
        <v/>
      </c>
      <c r="T33" s="146" t="str">
        <f t="array" ref="T33">IFERROR(AVERAGE(IF($B$3:$B$28=$B33,IF($D$3:$D$28=T$31,IF($G$3:$G$28&lt;&gt;"",$G$3:$G$28)))),"")</f>
        <v/>
      </c>
      <c r="U33" s="146">
        <f t="array" ref="U33">IFERROR(AVERAGE(IF($B$3:$B$28=$B33,IF($D$3:$D$28=U$31,IF($G$3:$G$28&lt;&gt;"",$G$3:$G$28)))),"")</f>
        <v>1173</v>
      </c>
      <c r="V33" s="146" t="str">
        <f t="array" ref="V33">IFERROR(AVERAGE(IF($B$3:$B$28=$B33,IF($D$3:$D$28=V$31,IF($G$3:$G$28&lt;&gt;"",$G$3:$G$28)))),"")</f>
        <v/>
      </c>
      <c r="W33" s="146" t="str">
        <f t="array" ref="W33">IFERROR(AVERAGE(IF($B$3:$B$28=$B33,IF($D$3:$D$28=W$31,IF($G$3:$G$28&lt;&gt;"",$G$3:$G$28)))),"")</f>
        <v/>
      </c>
      <c r="X33" s="146" t="str">
        <f t="array" ref="X33">IFERROR(AVERAGE(IF($B$3:$B$28=$B33,IF($D$3:$D$28=X$31,IF($G$3:$G$28&lt;&gt;"",$G$3:$G$28)))),"")</f>
        <v/>
      </c>
      <c r="Y33" s="146" t="str">
        <f t="array" ref="Y33">IFERROR(AVERAGE(IF($B$3:$B$28=$B33,IF($D$3:$D$28=Y$31,IF($G$3:$G$28&lt;&gt;"",$G$3:$G$28)))),"")</f>
        <v/>
      </c>
      <c r="Z33" s="146" t="str">
        <f t="array" ref="Z33">IFERROR(AVERAGE(IF($B$3:$B$28=$B33,IF($D$3:$D$28=Z$31,IF($G$3:$G$28&lt;&gt;"",$G$3:$G$28)))),"")</f>
        <v/>
      </c>
      <c r="AA33" s="146" t="str">
        <f t="array" ref="AA33">IFERROR(AVERAGE(IF($B$3:$B$28=$B33,IF($D$3:$D$28=AA$31,IF($G$3:$G$28&lt;&gt;"",$G$3:$G$28)))),"")</f>
        <v/>
      </c>
      <c r="AB33" s="146">
        <f t="array" ref="AB33">IFERROR(AVERAGE(IF($B$3:$B$28=$B33,IF($D$3:$D$28=AB$31,IF($G$3:$G$28&lt;&gt;"",$G$3:$G$28)))),"")</f>
        <v>2577</v>
      </c>
      <c r="AC33" s="146" t="str">
        <f t="array" ref="AC33">IFERROR(AVERAGE(IF($B$3:$B$28=$B33,IF($D$3:$D$28=AC$31,IF($G$3:$G$28&lt;&gt;"",$G$3:$G$28)))),"")</f>
        <v/>
      </c>
      <c r="AD33" s="146" t="str">
        <f t="array" ref="AD33">IFERROR(AVERAGE(IF($B$3:$B$28=$B33,IF($D$3:$D$28=AD$31,IF($G$3:$G$28&lt;&gt;"",$G$3:$G$28)))),"")</f>
        <v/>
      </c>
      <c r="AE33" s="146" t="str">
        <f t="array" ref="AE33">IFERROR(AVERAGE(IF($B$3:$B$28=$B33,IF($D$3:$D$28=AE$31,IF($G$3:$G$28&lt;&gt;"",$G$3:$G$28)))),"")</f>
        <v/>
      </c>
      <c r="AF33" s="146" t="str">
        <f t="array" ref="AF33">IFERROR(AVERAGE(IF($B$3:$B$28=$B33,IF($D$3:$D$28=AF$31,IF($G$3:$G$28&lt;&gt;"",$G$3:$G$28)))),"")</f>
        <v/>
      </c>
    </row>
    <row r="34" spans="1:32" ht="15" customHeight="1" x14ac:dyDescent="0.25">
      <c r="A34" s="51">
        <f t="shared" ref="A34" si="1">IF(B34="",1,0)</f>
        <v>0</v>
      </c>
      <c r="B34" s="61" t="str">
        <f t="array" ref="B34">IFERROR(INDEX($B$3:$B$28, MATCH(0,IF(ISBLANK($B$3:$B$28),1,COUNTIF($B$32:B33, $B$3:$B$28)), 0)),"")</f>
        <v>Hyd</v>
      </c>
      <c r="C34" s="62"/>
      <c r="D34" s="62"/>
      <c r="E34" s="62"/>
      <c r="F34" s="62"/>
      <c r="G34" s="71"/>
      <c r="H34" s="146" t="str">
        <f t="array" ref="H34">IFERROR(AVERAGE(IF($B$3:$B$28=$B34,IF($D$3:$D$28=H$31,IF($G$3:$G$28&lt;&gt;"",$G$3:$G$28)))),"")</f>
        <v/>
      </c>
      <c r="I34" s="146">
        <f t="array" ref="I34">IFERROR(AVERAGE(IF($B$3:$B$28=$B34,IF($D$3:$D$28=I$31,IF($G$3:$G$28&lt;&gt;"",$G$3:$G$28)))),"")</f>
        <v>1173</v>
      </c>
      <c r="J34" s="146" t="str">
        <f t="array" ref="J34">IFERROR(AVERAGE(IF($B$3:$B$28=$B34,IF($D$3:$D$28=J$31,IF($G$3:$G$28&lt;&gt;"",$G$3:$G$28)))),"")</f>
        <v/>
      </c>
      <c r="K34" s="146" t="str">
        <f t="array" ref="K34">IFERROR(AVERAGE(IF($B$3:$B$28=$B34,IF($D$3:$D$28=K$31,IF($G$3:$G$28&lt;&gt;"",$G$3:$G$28)))),"")</f>
        <v/>
      </c>
      <c r="L34" s="146" t="str">
        <f t="array" ref="L34">IFERROR(AVERAGE(IF($B$3:$B$28=$B34,IF($D$3:$D$28=L$31,IF($G$3:$G$28&lt;&gt;"",$G$3:$G$28)))),"")</f>
        <v/>
      </c>
      <c r="M34" s="146">
        <f t="array" ref="M34">IFERROR(AVERAGE(IF($B$3:$B$28=$B34,IF($D$3:$D$28=M$31,IF($G$3:$G$28&lt;&gt;"",$G$3:$G$28)))),"")</f>
        <v>1993</v>
      </c>
      <c r="N34" s="146" t="str">
        <f t="array" ref="N34">IFERROR(AVERAGE(IF($B$3:$B$28=$B34,IF($D$3:$D$28=N$31,IF($G$3:$G$28&lt;&gt;"",$G$3:$G$28)))),"")</f>
        <v/>
      </c>
      <c r="O34" s="146" t="str">
        <f t="array" ref="O34">IFERROR(AVERAGE(IF($B$3:$B$28=$B34,IF($D$3:$D$28=O$31,IF($G$3:$G$28&lt;&gt;"",$G$3:$G$28)))),"")</f>
        <v/>
      </c>
      <c r="P34" s="146" t="str">
        <f t="array" ref="P34">IFERROR(AVERAGE(IF($B$3:$B$28=$B34,IF($D$3:$D$28=P$31,IF($G$3:$G$28&lt;&gt;"",$G$3:$G$28)))),"")</f>
        <v/>
      </c>
      <c r="Q34" s="146" t="str">
        <f t="array" ref="Q34">IFERROR(AVERAGE(IF($B$3:$B$28=$B34,IF($D$3:$D$28=Q$31,IF($G$3:$G$28&lt;&gt;"",$G$3:$G$28)))),"")</f>
        <v/>
      </c>
      <c r="R34" s="146" t="str">
        <f t="array" ref="R34">IFERROR(AVERAGE(IF($B$3:$B$28=$B34,IF($D$3:$D$28=R$31,IF($G$3:$G$28&lt;&gt;"",$G$3:$G$28)))),"")</f>
        <v/>
      </c>
      <c r="S34" s="146" t="str">
        <f t="array" ref="S34">IFERROR(AVERAGE(IF($B$3:$B$28=$B34,IF($D$3:$D$28=S$31,IF($G$3:$G$28&lt;&gt;"",$G$3:$G$28)))),"")</f>
        <v/>
      </c>
      <c r="T34" s="146" t="str">
        <f t="array" ref="T34">IFERROR(AVERAGE(IF($B$3:$B$28=$B34,IF($D$3:$D$28=T$31,IF($G$3:$G$28&lt;&gt;"",$G$3:$G$28)))),"")</f>
        <v/>
      </c>
      <c r="U34" s="146" t="str">
        <f t="array" ref="U34">IFERROR(AVERAGE(IF($B$3:$B$28=$B34,IF($D$3:$D$28=U$31,IF($G$3:$G$28&lt;&gt;"",$G$3:$G$28)))),"")</f>
        <v/>
      </c>
      <c r="V34" s="146">
        <f t="array" ref="V34">IFERROR(AVERAGE(IF($B$3:$B$28=$B34,IF($D$3:$D$28=V$31,IF($G$3:$G$28&lt;&gt;"",$G$3:$G$28)))),"")</f>
        <v>1098</v>
      </c>
      <c r="W34" s="146" t="str">
        <f t="array" ref="W34">IFERROR(AVERAGE(IF($B$3:$B$28=$B34,IF($D$3:$D$28=W$31,IF($G$3:$G$28&lt;&gt;"",$G$3:$G$28)))),"")</f>
        <v/>
      </c>
      <c r="X34" s="146" t="str">
        <f t="array" ref="X34">IFERROR(AVERAGE(IF($B$3:$B$28=$B34,IF($D$3:$D$28=X$31,IF($G$3:$G$28&lt;&gt;"",$G$3:$G$28)))),"")</f>
        <v/>
      </c>
      <c r="Y34" s="146" t="str">
        <f t="array" ref="Y34">IFERROR(AVERAGE(IF($B$3:$B$28=$B34,IF($D$3:$D$28=Y$31,IF($G$3:$G$28&lt;&gt;"",$G$3:$G$28)))),"")</f>
        <v/>
      </c>
      <c r="Z34" s="146">
        <f t="array" ref="Z34">IFERROR(AVERAGE(IF($B$3:$B$28=$B34,IF($D$3:$D$28=Z$31,IF($G$3:$G$28&lt;&gt;"",$G$3:$G$28)))),"")</f>
        <v>2323</v>
      </c>
      <c r="AA34" s="146" t="str">
        <f t="array" ref="AA34">IFERROR(AVERAGE(IF($B$3:$B$28=$B34,IF($D$3:$D$28=AA$31,IF($G$3:$G$28&lt;&gt;"",$G$3:$G$28)))),"")</f>
        <v/>
      </c>
      <c r="AB34" s="146" t="str">
        <f t="array" ref="AB34">IFERROR(AVERAGE(IF($B$3:$B$28=$B34,IF($D$3:$D$28=AB$31,IF($G$3:$G$28&lt;&gt;"",$G$3:$G$28)))),"")</f>
        <v/>
      </c>
      <c r="AC34" s="146" t="str">
        <f t="array" ref="AC34">IFERROR(AVERAGE(IF($B$3:$B$28=$B34,IF($D$3:$D$28=AC$31,IF($G$3:$G$28&lt;&gt;"",$G$3:$G$28)))),"")</f>
        <v/>
      </c>
      <c r="AD34" s="146" t="str">
        <f t="array" ref="AD34">IFERROR(AVERAGE(IF($B$3:$B$28=$B34,IF($D$3:$D$28=AD$31,IF($G$3:$G$28&lt;&gt;"",$G$3:$G$28)))),"")</f>
        <v/>
      </c>
      <c r="AE34" s="146" t="str">
        <f t="array" ref="AE34">IFERROR(AVERAGE(IF($B$3:$B$28=$B34,IF($D$3:$D$28=AE$31,IF($G$3:$G$28&lt;&gt;"",$G$3:$G$28)))),"")</f>
        <v/>
      </c>
      <c r="AF34" s="146" t="str">
        <f t="array" ref="AF34">IFERROR(AVERAGE(IF($B$3:$B$28=$B34,IF($D$3:$D$28=AF$31,IF($G$3:$G$28&lt;&gt;"",$G$3:$G$28)))),"")</f>
        <v/>
      </c>
    </row>
    <row r="35" spans="1:32" ht="15" customHeight="1" x14ac:dyDescent="0.25">
      <c r="A35" s="51">
        <f t="shared" ref="A35:A42" si="2">IF(B35="",1,0)</f>
        <v>0</v>
      </c>
      <c r="B35" s="61" t="str">
        <f t="array" ref="B35">IFERROR(INDEX($B$3:$B$28, MATCH(0,IF(ISBLANK($B$3:$B$28),1,COUNTIF($B$32:B34, $B$3:$B$28)), 0)),"")</f>
        <v>Delhi</v>
      </c>
      <c r="C35" s="62"/>
      <c r="D35" s="62"/>
      <c r="E35" s="62"/>
      <c r="F35" s="62"/>
      <c r="G35" s="71"/>
      <c r="H35" s="146" t="str">
        <f t="array" ref="H35">IFERROR(AVERAGE(IF($B$3:$B$28=$B35,IF($D$3:$D$28=H$31,IF($G$3:$G$28&lt;&gt;"",$G$3:$G$28)))),"")</f>
        <v/>
      </c>
      <c r="I35" s="146" t="str">
        <f t="array" ref="I35">IFERROR(AVERAGE(IF($B$3:$B$28=$B35,IF($D$3:$D$28=I$31,IF($G$3:$G$28&lt;&gt;"",$G$3:$G$28)))),"")</f>
        <v/>
      </c>
      <c r="J35" s="146">
        <f t="array" ref="J35">IFERROR(AVERAGE(IF($B$3:$B$28=$B35,IF($D$3:$D$28=J$31,IF($G$3:$G$28&lt;&gt;"",$G$3:$G$28)))),"")</f>
        <v>1098</v>
      </c>
      <c r="K35" s="146" t="str">
        <f t="array" ref="K35">IFERROR(AVERAGE(IF($B$3:$B$28=$B35,IF($D$3:$D$28=K$31,IF($G$3:$G$28&lt;&gt;"",$G$3:$G$28)))),"")</f>
        <v/>
      </c>
      <c r="L35" s="146" t="str">
        <f t="array" ref="L35">IFERROR(AVERAGE(IF($B$3:$B$28=$B35,IF($D$3:$D$28=L$31,IF($G$3:$G$28&lt;&gt;"",$G$3:$G$28)))),"")</f>
        <v/>
      </c>
      <c r="M35" s="146" t="str">
        <f t="array" ref="M35">IFERROR(AVERAGE(IF($B$3:$B$28=$B35,IF($D$3:$D$28=M$31,IF($G$3:$G$28&lt;&gt;"",$G$3:$G$28)))),"")</f>
        <v/>
      </c>
      <c r="N35" s="146">
        <f t="array" ref="N35">IFERROR(AVERAGE(IF($B$3:$B$28=$B35,IF($D$3:$D$28=N$31,IF($G$3:$G$28&lt;&gt;"",$G$3:$G$28)))),"")</f>
        <v>2323</v>
      </c>
      <c r="O35" s="146" t="str">
        <f t="array" ref="O35">IFERROR(AVERAGE(IF($B$3:$B$28=$B35,IF($D$3:$D$28=O$31,IF($G$3:$G$28&lt;&gt;"",$G$3:$G$28)))),"")</f>
        <v/>
      </c>
      <c r="P35" s="146" t="str">
        <f t="array" ref="P35">IFERROR(AVERAGE(IF($B$3:$B$28=$B35,IF($D$3:$D$28=P$31,IF($G$3:$G$28&lt;&gt;"",$G$3:$G$28)))),"")</f>
        <v/>
      </c>
      <c r="Q35" s="146" t="str">
        <f t="array" ref="Q35">IFERROR(AVERAGE(IF($B$3:$B$28=$B35,IF($D$3:$D$28=Q$31,IF($G$3:$G$28&lt;&gt;"",$G$3:$G$28)))),"")</f>
        <v/>
      </c>
      <c r="R35" s="146" t="str">
        <f t="array" ref="R35">IFERROR(AVERAGE(IF($B$3:$B$28=$B35,IF($D$3:$D$28=R$31,IF($G$3:$G$28&lt;&gt;"",$G$3:$G$28)))),"")</f>
        <v/>
      </c>
      <c r="S35" s="146" t="str">
        <f t="array" ref="S35">IFERROR(AVERAGE(IF($B$3:$B$28=$B35,IF($D$3:$D$28=S$31,IF($G$3:$G$28&lt;&gt;"",$G$3:$G$28)))),"")</f>
        <v/>
      </c>
      <c r="T35" s="146" t="str">
        <f t="array" ref="T35">IFERROR(AVERAGE(IF($B$3:$B$28=$B35,IF($D$3:$D$28=T$31,IF($G$3:$G$28&lt;&gt;"",$G$3:$G$28)))),"")</f>
        <v/>
      </c>
      <c r="U35" s="146" t="str">
        <f t="array" ref="U35">IFERROR(AVERAGE(IF($B$3:$B$28=$B35,IF($D$3:$D$28=U$31,IF($G$3:$G$28&lt;&gt;"",$G$3:$G$28)))),"")</f>
        <v/>
      </c>
      <c r="V35" s="146" t="str">
        <f t="array" ref="V35">IFERROR(AVERAGE(IF($B$3:$B$28=$B35,IF($D$3:$D$28=V$31,IF($G$3:$G$28&lt;&gt;"",$G$3:$G$28)))),"")</f>
        <v/>
      </c>
      <c r="W35" s="146">
        <f t="array" ref="W35">IFERROR(AVERAGE(IF($B$3:$B$28=$B35,IF($D$3:$D$28=W$31,IF($G$3:$G$28&lt;&gt;"",$G$3:$G$28)))),"")</f>
        <v>986</v>
      </c>
      <c r="X35" s="146" t="str">
        <f t="array" ref="X35">IFERROR(AVERAGE(IF($B$3:$B$28=$B35,IF($D$3:$D$28=X$31,IF($G$3:$G$28&lt;&gt;"",$G$3:$G$28)))),"")</f>
        <v/>
      </c>
      <c r="Y35" s="146" t="str">
        <f t="array" ref="Y35">IFERROR(AVERAGE(IF($B$3:$B$28=$B35,IF($D$3:$D$28=Y$31,IF($G$3:$G$28&lt;&gt;"",$G$3:$G$28)))),"")</f>
        <v/>
      </c>
      <c r="Z35" s="146" t="str">
        <f t="array" ref="Z35">IFERROR(AVERAGE(IF($B$3:$B$28=$B35,IF($D$3:$D$28=Z$31,IF($G$3:$G$28&lt;&gt;"",$G$3:$G$28)))),"")</f>
        <v/>
      </c>
      <c r="AA35" s="146">
        <f t="array" ref="AA35">IFERROR(AVERAGE(IF($B$3:$B$28=$B35,IF($D$3:$D$28=AA$31,IF($G$3:$G$28&lt;&gt;"",$G$3:$G$28)))),"")</f>
        <v>2566</v>
      </c>
      <c r="AB35" s="146" t="str">
        <f t="array" ref="AB35">IFERROR(AVERAGE(IF($B$3:$B$28=$B35,IF($D$3:$D$28=AB$31,IF($G$3:$G$28&lt;&gt;"",$G$3:$G$28)))),"")</f>
        <v/>
      </c>
      <c r="AC35" s="146" t="str">
        <f t="array" ref="AC35">IFERROR(AVERAGE(IF($B$3:$B$28=$B35,IF($D$3:$D$28=AC$31,IF($G$3:$G$28&lt;&gt;"",$G$3:$G$28)))),"")</f>
        <v/>
      </c>
      <c r="AD35" s="146" t="str">
        <f t="array" ref="AD35">IFERROR(AVERAGE(IF($B$3:$B$28=$B35,IF($D$3:$D$28=AD$31,IF($G$3:$G$28&lt;&gt;"",$G$3:$G$28)))),"")</f>
        <v/>
      </c>
      <c r="AE35" s="146" t="str">
        <f t="array" ref="AE35">IFERROR(AVERAGE(IF($B$3:$B$28=$B35,IF($D$3:$D$28=AE$31,IF($G$3:$G$28&lt;&gt;"",$G$3:$G$28)))),"")</f>
        <v/>
      </c>
      <c r="AF35" s="146" t="str">
        <f t="array" ref="AF35">IFERROR(AVERAGE(IF($B$3:$B$28=$B35,IF($D$3:$D$28=AF$31,IF($G$3:$G$28&lt;&gt;"",$G$3:$G$28)))),"")</f>
        <v/>
      </c>
    </row>
    <row r="36" spans="1:32" ht="15" customHeight="1" x14ac:dyDescent="0.25">
      <c r="A36" s="51">
        <f t="shared" si="2"/>
        <v>0</v>
      </c>
      <c r="B36" s="61" t="str">
        <f t="array" ref="B36">IFERROR(INDEX($B$3:$B$28, MATCH(0,IF(ISBLANK($B$3:$B$28),1,COUNTIF($B$32:B35, $B$3:$B$28)), 0)),"")</f>
        <v>Banglore</v>
      </c>
      <c r="C36" s="62"/>
      <c r="D36" s="62"/>
      <c r="E36" s="62"/>
      <c r="F36" s="62"/>
      <c r="G36" s="71"/>
      <c r="H36" s="146" t="str">
        <f t="array" ref="H36">IFERROR(AVERAGE(IF($B$3:$B$28=$B36,IF($D$3:$D$28=H$31,IF($G$3:$G$28&lt;&gt;"",$G$3:$G$28)))),"")</f>
        <v/>
      </c>
      <c r="I36" s="146" t="str">
        <f t="array" ref="I36">IFERROR(AVERAGE(IF($B$3:$B$28=$B36,IF($D$3:$D$28=I$31,IF($G$3:$G$28&lt;&gt;"",$G$3:$G$28)))),"")</f>
        <v/>
      </c>
      <c r="J36" s="146" t="str">
        <f t="array" ref="J36">IFERROR(AVERAGE(IF($B$3:$B$28=$B36,IF($D$3:$D$28=J$31,IF($G$3:$G$28&lt;&gt;"",$G$3:$G$28)))),"")</f>
        <v/>
      </c>
      <c r="K36" s="146">
        <f t="array" ref="K36">IFERROR(AVERAGE(IF($B$3:$B$28=$B36,IF($D$3:$D$28=K$31,IF($G$3:$G$28&lt;&gt;"",$G$3:$G$28)))),"")</f>
        <v>986</v>
      </c>
      <c r="L36" s="146" t="str">
        <f t="array" ref="L36">IFERROR(AVERAGE(IF($B$3:$B$28=$B36,IF($D$3:$D$28=L$31,IF($G$3:$G$28&lt;&gt;"",$G$3:$G$28)))),"")</f>
        <v/>
      </c>
      <c r="M36" s="146" t="str">
        <f t="array" ref="M36">IFERROR(AVERAGE(IF($B$3:$B$28=$B36,IF($D$3:$D$28=M$31,IF($G$3:$G$28&lt;&gt;"",$G$3:$G$28)))),"")</f>
        <v/>
      </c>
      <c r="N36" s="146" t="str">
        <f t="array" ref="N36">IFERROR(AVERAGE(IF($B$3:$B$28=$B36,IF($D$3:$D$28=N$31,IF($G$3:$G$28&lt;&gt;"",$G$3:$G$28)))),"")</f>
        <v/>
      </c>
      <c r="O36" s="146" t="str">
        <f t="array" ref="O36">IFERROR(AVERAGE(IF($B$3:$B$28=$B36,IF($D$3:$D$28=O$31,IF($G$3:$G$28&lt;&gt;"",$G$3:$G$28)))),"")</f>
        <v/>
      </c>
      <c r="P36" s="146" t="str">
        <f t="array" ref="P36">IFERROR(AVERAGE(IF($B$3:$B$28=$B36,IF($D$3:$D$28=P$31,IF($G$3:$G$28&lt;&gt;"",$G$3:$G$28)))),"")</f>
        <v/>
      </c>
      <c r="Q36" s="146" t="str">
        <f t="array" ref="Q36">IFERROR(AVERAGE(IF($B$3:$B$28=$B36,IF($D$3:$D$28=Q$31,IF($G$3:$G$28&lt;&gt;"",$G$3:$G$28)))),"")</f>
        <v/>
      </c>
      <c r="R36" s="146" t="str">
        <f t="array" ref="R36">IFERROR(AVERAGE(IF($B$3:$B$28=$B36,IF($D$3:$D$28=R$31,IF($G$3:$G$28&lt;&gt;"",$G$3:$G$28)))),"")</f>
        <v/>
      </c>
      <c r="S36" s="146" t="str">
        <f t="array" ref="S36">IFERROR(AVERAGE(IF($B$3:$B$28=$B36,IF($D$3:$D$28=S$31,IF($G$3:$G$28&lt;&gt;"",$G$3:$G$28)))),"")</f>
        <v/>
      </c>
      <c r="T36" s="146" t="str">
        <f t="array" ref="T36">IFERROR(AVERAGE(IF($B$3:$B$28=$B36,IF($D$3:$D$28=T$31,IF($G$3:$G$28&lt;&gt;"",$G$3:$G$28)))),"")</f>
        <v/>
      </c>
      <c r="U36" s="146" t="str">
        <f t="array" ref="U36">IFERROR(AVERAGE(IF($B$3:$B$28=$B36,IF($D$3:$D$28=U$31,IF($G$3:$G$28&lt;&gt;"",$G$3:$G$28)))),"")</f>
        <v/>
      </c>
      <c r="V36" s="146" t="str">
        <f t="array" ref="V36">IFERROR(AVERAGE(IF($B$3:$B$28=$B36,IF($D$3:$D$28=V$31,IF($G$3:$G$28&lt;&gt;"",$G$3:$G$28)))),"")</f>
        <v/>
      </c>
      <c r="W36" s="146" t="str">
        <f t="array" ref="W36">IFERROR(AVERAGE(IF($B$3:$B$28=$B36,IF($D$3:$D$28=W$31,IF($G$3:$G$28&lt;&gt;"",$G$3:$G$28)))),"")</f>
        <v/>
      </c>
      <c r="X36" s="146">
        <f t="array" ref="X36">IFERROR(AVERAGE(IF($B$3:$B$28=$B36,IF($D$3:$D$28=X$31,IF($G$3:$G$28&lt;&gt;"",$G$3:$G$28)))),"")</f>
        <v>1212</v>
      </c>
      <c r="Y36" s="146" t="str">
        <f t="array" ref="Y36">IFERROR(AVERAGE(IF($B$3:$B$28=$B36,IF($D$3:$D$28=Y$31,IF($G$3:$G$28&lt;&gt;"",$G$3:$G$28)))),"")</f>
        <v/>
      </c>
      <c r="Z36" s="146" t="str">
        <f t="array" ref="Z36">IFERROR(AVERAGE(IF($B$3:$B$28=$B36,IF($D$3:$D$28=Z$31,IF($G$3:$G$28&lt;&gt;"",$G$3:$G$28)))),"")</f>
        <v/>
      </c>
      <c r="AA36" s="146" t="str">
        <f t="array" ref="AA36">IFERROR(AVERAGE(IF($B$3:$B$28=$B36,IF($D$3:$D$28=AA$31,IF($G$3:$G$28&lt;&gt;"",$G$3:$G$28)))),"")</f>
        <v/>
      </c>
      <c r="AB36" s="146" t="str">
        <f t="array" ref="AB36">IFERROR(AVERAGE(IF($B$3:$B$28=$B36,IF($D$3:$D$28=AB$31,IF($G$3:$G$28&lt;&gt;"",$G$3:$G$28)))),"")</f>
        <v/>
      </c>
      <c r="AC36" s="146" t="str">
        <f t="array" ref="AC36">IFERROR(AVERAGE(IF($B$3:$B$28=$B36,IF($D$3:$D$28=AC$31,IF($G$3:$G$28&lt;&gt;"",$G$3:$G$28)))),"")</f>
        <v/>
      </c>
      <c r="AD36" s="146" t="str">
        <f t="array" ref="AD36">IFERROR(AVERAGE(IF($B$3:$B$28=$B36,IF($D$3:$D$28=AD$31,IF($G$3:$G$28&lt;&gt;"",$G$3:$G$28)))),"")</f>
        <v/>
      </c>
      <c r="AE36" s="146" t="str">
        <f t="array" ref="AE36">IFERROR(AVERAGE(IF($B$3:$B$28=$B36,IF($D$3:$D$28=AE$31,IF($G$3:$G$28&lt;&gt;"",$G$3:$G$28)))),"")</f>
        <v/>
      </c>
      <c r="AF36" s="146" t="str">
        <f t="array" ref="AF36">IFERROR(AVERAGE(IF($B$3:$B$28=$B36,IF($D$3:$D$28=AF$31,IF($G$3:$G$28&lt;&gt;"",$G$3:$G$28)))),"")</f>
        <v/>
      </c>
    </row>
    <row r="37" spans="1:32" ht="15" customHeight="1" x14ac:dyDescent="0.25">
      <c r="A37" s="51">
        <f t="shared" si="2"/>
        <v>0</v>
      </c>
      <c r="B37" s="61" t="str">
        <f t="array" ref="B37">IFERROR(INDEX($B$3:$B$28, MATCH(0,IF(ISBLANK($B$3:$B$28),1,COUNTIF($B$32:B36, $B$3:$B$28)), 0)),"")</f>
        <v>Chennai</v>
      </c>
      <c r="C37" s="62"/>
      <c r="D37" s="62"/>
      <c r="E37" s="62"/>
      <c r="F37" s="62"/>
      <c r="G37" s="71"/>
      <c r="H37" s="146" t="str">
        <f t="array" ref="H37">IFERROR(AVERAGE(IF($B$3:$B$28=$B37,IF($D$3:$D$28=H$31,IF($G$3:$G$28&lt;&gt;"",$G$3:$G$28)))),"")</f>
        <v/>
      </c>
      <c r="I37" s="146" t="str">
        <f t="array" ref="I37">IFERROR(AVERAGE(IF($B$3:$B$28=$B37,IF($D$3:$D$28=I$31,IF($G$3:$G$28&lt;&gt;"",$G$3:$G$28)))),"")</f>
        <v/>
      </c>
      <c r="J37" s="146" t="str">
        <f t="array" ref="J37">IFERROR(AVERAGE(IF($B$3:$B$28=$B37,IF($D$3:$D$28=J$31,IF($G$3:$G$28&lt;&gt;"",$G$3:$G$28)))),"")</f>
        <v/>
      </c>
      <c r="K37" s="146" t="str">
        <f t="array" ref="K37">IFERROR(AVERAGE(IF($B$3:$B$28=$B37,IF($D$3:$D$28=K$31,IF($G$3:$G$28&lt;&gt;"",$G$3:$G$28)))),"")</f>
        <v/>
      </c>
      <c r="L37" s="146">
        <f t="array" ref="L37">IFERROR(AVERAGE(IF($B$3:$B$28=$B37,IF($D$3:$D$28=L$31,IF($G$3:$G$28&lt;&gt;"",$G$3:$G$28)))),"")</f>
        <v>1212</v>
      </c>
      <c r="M37" s="146" t="str">
        <f t="array" ref="M37">IFERROR(AVERAGE(IF($B$3:$B$28=$B37,IF($D$3:$D$28=M$31,IF($G$3:$G$28&lt;&gt;"",$G$3:$G$28)))),"")</f>
        <v/>
      </c>
      <c r="N37" s="146" t="str">
        <f t="array" ref="N37">IFERROR(AVERAGE(IF($B$3:$B$28=$B37,IF($D$3:$D$28=N$31,IF($G$3:$G$28&lt;&gt;"",$G$3:$G$28)))),"")</f>
        <v/>
      </c>
      <c r="O37" s="146" t="str">
        <f t="array" ref="O37">IFERROR(AVERAGE(IF($B$3:$B$28=$B37,IF($D$3:$D$28=O$31,IF($G$3:$G$28&lt;&gt;"",$G$3:$G$28)))),"")</f>
        <v/>
      </c>
      <c r="P37" s="146" t="str">
        <f t="array" ref="P37">IFERROR(AVERAGE(IF($B$3:$B$28=$B37,IF($D$3:$D$28=P$31,IF($G$3:$G$28&lt;&gt;"",$G$3:$G$28)))),"")</f>
        <v/>
      </c>
      <c r="Q37" s="146" t="str">
        <f t="array" ref="Q37">IFERROR(AVERAGE(IF($B$3:$B$28=$B37,IF($D$3:$D$28=Q$31,IF($G$3:$G$28&lt;&gt;"",$G$3:$G$28)))),"")</f>
        <v/>
      </c>
      <c r="R37" s="146" t="str">
        <f t="array" ref="R37">IFERROR(AVERAGE(IF($B$3:$B$28=$B37,IF($D$3:$D$28=R$31,IF($G$3:$G$28&lt;&gt;"",$G$3:$G$28)))),"")</f>
        <v/>
      </c>
      <c r="S37" s="146" t="str">
        <f t="array" ref="S37">IFERROR(AVERAGE(IF($B$3:$B$28=$B37,IF($D$3:$D$28=S$31,IF($G$3:$G$28&lt;&gt;"",$G$3:$G$28)))),"")</f>
        <v/>
      </c>
      <c r="T37" s="146" t="str">
        <f t="array" ref="T37">IFERROR(AVERAGE(IF($B$3:$B$28=$B37,IF($D$3:$D$28=T$31,IF($G$3:$G$28&lt;&gt;"",$G$3:$G$28)))),"")</f>
        <v/>
      </c>
      <c r="U37" s="146" t="str">
        <f t="array" ref="U37">IFERROR(AVERAGE(IF($B$3:$B$28=$B37,IF($D$3:$D$28=U$31,IF($G$3:$G$28&lt;&gt;"",$G$3:$G$28)))),"")</f>
        <v/>
      </c>
      <c r="V37" s="146" t="str">
        <f t="array" ref="V37">IFERROR(AVERAGE(IF($B$3:$B$28=$B37,IF($D$3:$D$28=V$31,IF($G$3:$G$28&lt;&gt;"",$G$3:$G$28)))),"")</f>
        <v/>
      </c>
      <c r="W37" s="146" t="str">
        <f t="array" ref="W37">IFERROR(AVERAGE(IF($B$3:$B$28=$B37,IF($D$3:$D$28=W$31,IF($G$3:$G$28&lt;&gt;"",$G$3:$G$28)))),"")</f>
        <v/>
      </c>
      <c r="X37" s="146" t="str">
        <f t="array" ref="X37">IFERROR(AVERAGE(IF($B$3:$B$28=$B37,IF($D$3:$D$28=X$31,IF($G$3:$G$28&lt;&gt;"",$G$3:$G$28)))),"")</f>
        <v/>
      </c>
      <c r="Y37" s="146">
        <f t="array" ref="Y37">IFERROR(AVERAGE(IF($B$3:$B$28=$B37,IF($D$3:$D$28=Y$31,IF($G$3:$G$28&lt;&gt;"",$G$3:$G$28)))),"")</f>
        <v>1993</v>
      </c>
      <c r="Z37" s="146" t="str">
        <f t="array" ref="Z37">IFERROR(AVERAGE(IF($B$3:$B$28=$B37,IF($D$3:$D$28=Z$31,IF($G$3:$G$28&lt;&gt;"",$G$3:$G$28)))),"")</f>
        <v/>
      </c>
      <c r="AA37" s="146" t="str">
        <f t="array" ref="AA37">IFERROR(AVERAGE(IF($B$3:$B$28=$B37,IF($D$3:$D$28=AA$31,IF($G$3:$G$28&lt;&gt;"",$G$3:$G$28)))),"")</f>
        <v/>
      </c>
      <c r="AB37" s="146" t="str">
        <f t="array" ref="AB37">IFERROR(AVERAGE(IF($B$3:$B$28=$B37,IF($D$3:$D$28=AB$31,IF($G$3:$G$28&lt;&gt;"",$G$3:$G$28)))),"")</f>
        <v/>
      </c>
      <c r="AC37" s="146" t="str">
        <f t="array" ref="AC37">IFERROR(AVERAGE(IF($B$3:$B$28=$B37,IF($D$3:$D$28=AC$31,IF($G$3:$G$28&lt;&gt;"",$G$3:$G$28)))),"")</f>
        <v/>
      </c>
      <c r="AD37" s="146" t="str">
        <f t="array" ref="AD37">IFERROR(AVERAGE(IF($B$3:$B$28=$B37,IF($D$3:$D$28=AD$31,IF($G$3:$G$28&lt;&gt;"",$G$3:$G$28)))),"")</f>
        <v/>
      </c>
      <c r="AE37" s="146" t="str">
        <f t="array" ref="AE37">IFERROR(AVERAGE(IF($B$3:$B$28=$B37,IF($D$3:$D$28=AE$31,IF($G$3:$G$28&lt;&gt;"",$G$3:$G$28)))),"")</f>
        <v/>
      </c>
      <c r="AF37" s="146">
        <f t="array" ref="AF37">IFERROR(AVERAGE(IF($B$3:$B$28=$B37,IF($D$3:$D$28=AF$31,IF($G$3:$G$28&lt;&gt;"",$G$3:$G$28)))),"")</f>
        <v>3221</v>
      </c>
    </row>
    <row r="38" spans="1:32" ht="15" customHeight="1" x14ac:dyDescent="0.25">
      <c r="A38" s="51">
        <f t="shared" si="2"/>
        <v>0</v>
      </c>
      <c r="B38" s="61" t="str">
        <f t="array" ref="B38">IFERROR(INDEX($B$3:$B$28, MATCH(0,IF(ISBLANK($B$3:$B$28),1,COUNTIF($B$32:B37, $B$3:$B$28)), 0)),"")</f>
        <v>Madhya Pradesh</v>
      </c>
      <c r="C38" s="62"/>
      <c r="D38" s="62"/>
      <c r="E38" s="62"/>
      <c r="F38" s="62"/>
      <c r="G38" s="71"/>
      <c r="H38" s="146" t="str">
        <f t="array" ref="H38">IFERROR(AVERAGE(IF($B$3:$B$28=$B38,IF($D$3:$D$28=H$31,IF($G$3:$G$28&lt;&gt;"",$G$3:$G$28)))),"")</f>
        <v/>
      </c>
      <c r="I38" s="146" t="str">
        <f t="array" ref="I38">IFERROR(AVERAGE(IF($B$3:$B$28=$B38,IF($D$3:$D$28=I$31,IF($G$3:$G$28&lt;&gt;"",$G$3:$G$28)))),"")</f>
        <v/>
      </c>
      <c r="J38" s="146" t="str">
        <f t="array" ref="J38">IFERROR(AVERAGE(IF($B$3:$B$28=$B38,IF($D$3:$D$28=J$31,IF($G$3:$G$28&lt;&gt;"",$G$3:$G$28)))),"")</f>
        <v/>
      </c>
      <c r="K38" s="146" t="str">
        <f t="array" ref="K38">IFERROR(AVERAGE(IF($B$3:$B$28=$B38,IF($D$3:$D$28=K$31,IF($G$3:$G$28&lt;&gt;"",$G$3:$G$28)))),"")</f>
        <v/>
      </c>
      <c r="L38" s="146" t="str">
        <f t="array" ref="L38">IFERROR(AVERAGE(IF($B$3:$B$28=$B38,IF($D$3:$D$28=L$31,IF($G$3:$G$28&lt;&gt;"",$G$3:$G$28)))),"")</f>
        <v/>
      </c>
      <c r="M38" s="146" t="str">
        <f t="array" ref="M38">IFERROR(AVERAGE(IF($B$3:$B$28=$B38,IF($D$3:$D$28=M$31,IF($G$3:$G$28&lt;&gt;"",$G$3:$G$28)))),"")</f>
        <v/>
      </c>
      <c r="N38" s="146" t="str">
        <f t="array" ref="N38">IFERROR(AVERAGE(IF($B$3:$B$28=$B38,IF($D$3:$D$28=N$31,IF($G$3:$G$28&lt;&gt;"",$G$3:$G$28)))),"")</f>
        <v/>
      </c>
      <c r="O38" s="146" t="str">
        <f t="array" ref="O38">IFERROR(AVERAGE(IF($B$3:$B$28=$B38,IF($D$3:$D$28=O$31,IF($G$3:$G$28&lt;&gt;"",$G$3:$G$28)))),"")</f>
        <v/>
      </c>
      <c r="P38" s="146">
        <f t="array" ref="P38">IFERROR(AVERAGE(IF($B$3:$B$28=$B38,IF($D$3:$D$28=P$31,IF($G$3:$G$28&lt;&gt;"",$G$3:$G$28)))),"")</f>
        <v>2577</v>
      </c>
      <c r="Q38" s="146" t="str">
        <f t="array" ref="Q38">IFERROR(AVERAGE(IF($B$3:$B$28=$B38,IF($D$3:$D$28=Q$31,IF($G$3:$G$28&lt;&gt;"",$G$3:$G$28)))),"")</f>
        <v/>
      </c>
      <c r="R38" s="146" t="str">
        <f t="array" ref="R38">IFERROR(AVERAGE(IF($B$3:$B$28=$B38,IF($D$3:$D$28=R$31,IF($G$3:$G$28&lt;&gt;"",$G$3:$G$28)))),"")</f>
        <v/>
      </c>
      <c r="S38" s="146" t="str">
        <f t="array" ref="S38">IFERROR(AVERAGE(IF($B$3:$B$28=$B38,IF($D$3:$D$28=S$31,IF($G$3:$G$28&lt;&gt;"",$G$3:$G$28)))),"")</f>
        <v/>
      </c>
      <c r="T38" s="146" t="str">
        <f t="array" ref="T38">IFERROR(AVERAGE(IF($B$3:$B$28=$B38,IF($D$3:$D$28=T$31,IF($G$3:$G$28&lt;&gt;"",$G$3:$G$28)))),"")</f>
        <v/>
      </c>
      <c r="U38" s="146" t="str">
        <f t="array" ref="U38">IFERROR(AVERAGE(IF($B$3:$B$28=$B38,IF($D$3:$D$28=U$31,IF($G$3:$G$28&lt;&gt;"",$G$3:$G$28)))),"")</f>
        <v/>
      </c>
      <c r="V38" s="146" t="str">
        <f t="array" ref="V38">IFERROR(AVERAGE(IF($B$3:$B$28=$B38,IF($D$3:$D$28=V$31,IF($G$3:$G$28&lt;&gt;"",$G$3:$G$28)))),"")</f>
        <v/>
      </c>
      <c r="W38" s="146" t="str">
        <f t="array" ref="W38">IFERROR(AVERAGE(IF($B$3:$B$28=$B38,IF($D$3:$D$28=W$31,IF($G$3:$G$28&lt;&gt;"",$G$3:$G$28)))),"")</f>
        <v/>
      </c>
      <c r="X38" s="146" t="str">
        <f t="array" ref="X38">IFERROR(AVERAGE(IF($B$3:$B$28=$B38,IF($D$3:$D$28=X$31,IF($G$3:$G$28&lt;&gt;"",$G$3:$G$28)))),"")</f>
        <v/>
      </c>
      <c r="Y38" s="146" t="str">
        <f t="array" ref="Y38">IFERROR(AVERAGE(IF($B$3:$B$28=$B38,IF($D$3:$D$28=Y$31,IF($G$3:$G$28&lt;&gt;"",$G$3:$G$28)))),"")</f>
        <v/>
      </c>
      <c r="Z38" s="146" t="str">
        <f t="array" ref="Z38">IFERROR(AVERAGE(IF($B$3:$B$28=$B38,IF($D$3:$D$28=Z$31,IF($G$3:$G$28&lt;&gt;"",$G$3:$G$28)))),"")</f>
        <v/>
      </c>
      <c r="AA38" s="146" t="str">
        <f t="array" ref="AA38">IFERROR(AVERAGE(IF($B$3:$B$28=$B38,IF($D$3:$D$28=AA$31,IF($G$3:$G$28&lt;&gt;"",$G$3:$G$28)))),"")</f>
        <v/>
      </c>
      <c r="AB38" s="146" t="str">
        <f t="array" ref="AB38">IFERROR(AVERAGE(IF($B$3:$B$28=$B38,IF($D$3:$D$28=AB$31,IF($G$3:$G$28&lt;&gt;"",$G$3:$G$28)))),"")</f>
        <v/>
      </c>
      <c r="AC38" s="146">
        <f t="array" ref="AC38">IFERROR(AVERAGE(IF($B$3:$B$28=$B38,IF($D$3:$D$28=AC$31,IF($G$3:$G$28&lt;&gt;"",$G$3:$G$28)))),"")</f>
        <v>2756</v>
      </c>
      <c r="AD38" s="146" t="str">
        <f t="array" ref="AD38">IFERROR(AVERAGE(IF($B$3:$B$28=$B38,IF($D$3:$D$28=AD$31,IF($G$3:$G$28&lt;&gt;"",$G$3:$G$28)))),"")</f>
        <v/>
      </c>
      <c r="AE38" s="146" t="str">
        <f t="array" ref="AE38">IFERROR(AVERAGE(IF($B$3:$B$28=$B38,IF($D$3:$D$28=AE$31,IF($G$3:$G$28&lt;&gt;"",$G$3:$G$28)))),"")</f>
        <v/>
      </c>
      <c r="AF38" s="146" t="str">
        <f t="array" ref="AF38">IFERROR(AVERAGE(IF($B$3:$B$28=$B38,IF($D$3:$D$28=AF$31,IF($G$3:$G$28&lt;&gt;"",$G$3:$G$28)))),"")</f>
        <v/>
      </c>
    </row>
    <row r="39" spans="1:32" ht="15" customHeight="1" x14ac:dyDescent="0.25">
      <c r="A39" s="51">
        <f t="shared" si="2"/>
        <v>0</v>
      </c>
      <c r="B39" s="61" t="str">
        <f t="array" ref="B39">IFERROR(INDEX($B$3:$B$28, MATCH(0,IF(ISBLANK($B$3:$B$28),1,COUNTIF($B$32:B38, $B$3:$B$28)), 0)),"")</f>
        <v>Gujrat</v>
      </c>
      <c r="C39" s="62"/>
      <c r="D39" s="62"/>
      <c r="E39" s="62"/>
      <c r="F39" s="62"/>
      <c r="G39" s="71"/>
      <c r="H39" s="146" t="str">
        <f t="array" ref="H39">IFERROR(AVERAGE(IF($B$3:$B$28=$B39,IF($D$3:$D$28=H$31,IF($G$3:$G$28&lt;&gt;"",$G$3:$G$28)))),"")</f>
        <v/>
      </c>
      <c r="I39" s="146" t="str">
        <f t="array" ref="I39">IFERROR(AVERAGE(IF($B$3:$B$28=$B39,IF($D$3:$D$28=I$31,IF($G$3:$G$28&lt;&gt;"",$G$3:$G$28)))),"")</f>
        <v/>
      </c>
      <c r="J39" s="146" t="str">
        <f t="array" ref="J39">IFERROR(AVERAGE(IF($B$3:$B$28=$B39,IF($D$3:$D$28=J$31,IF($G$3:$G$28&lt;&gt;"",$G$3:$G$28)))),"")</f>
        <v/>
      </c>
      <c r="K39" s="146" t="str">
        <f t="array" ref="K39">IFERROR(AVERAGE(IF($B$3:$B$28=$B39,IF($D$3:$D$28=K$31,IF($G$3:$G$28&lt;&gt;"",$G$3:$G$28)))),"")</f>
        <v/>
      </c>
      <c r="L39" s="146" t="str">
        <f t="array" ref="L39">IFERROR(AVERAGE(IF($B$3:$B$28=$B39,IF($D$3:$D$28=L$31,IF($G$3:$G$28&lt;&gt;"",$G$3:$G$28)))),"")</f>
        <v/>
      </c>
      <c r="M39" s="146" t="str">
        <f t="array" ref="M39">IFERROR(AVERAGE(IF($B$3:$B$28=$B39,IF($D$3:$D$28=M$31,IF($G$3:$G$28&lt;&gt;"",$G$3:$G$28)))),"")</f>
        <v/>
      </c>
      <c r="N39" s="146" t="str">
        <f t="array" ref="N39">IFERROR(AVERAGE(IF($B$3:$B$28=$B39,IF($D$3:$D$28=N$31,IF($G$3:$G$28&lt;&gt;"",$G$3:$G$28)))),"")</f>
        <v/>
      </c>
      <c r="O39" s="146" t="str">
        <f t="array" ref="O39">IFERROR(AVERAGE(IF($B$3:$B$28=$B39,IF($D$3:$D$28=O$31,IF($G$3:$G$28&lt;&gt;"",$G$3:$G$28)))),"")</f>
        <v/>
      </c>
      <c r="P39" s="146" t="str">
        <f t="array" ref="P39">IFERROR(AVERAGE(IF($B$3:$B$28=$B39,IF($D$3:$D$28=P$31,IF($G$3:$G$28&lt;&gt;"",$G$3:$G$28)))),"")</f>
        <v/>
      </c>
      <c r="Q39" s="146">
        <f t="array" ref="Q39">IFERROR(AVERAGE(IF($B$3:$B$28=$B39,IF($D$3:$D$28=Q$31,IF($G$3:$G$28&lt;&gt;"",$G$3:$G$28)))),"")</f>
        <v>2756</v>
      </c>
      <c r="R39" s="146" t="str">
        <f t="array" ref="R39">IFERROR(AVERAGE(IF($B$3:$B$28=$B39,IF($D$3:$D$28=R$31,IF($G$3:$G$28&lt;&gt;"",$G$3:$G$28)))),"")</f>
        <v/>
      </c>
      <c r="S39" s="146" t="str">
        <f t="array" ref="S39">IFERROR(AVERAGE(IF($B$3:$B$28=$B39,IF($D$3:$D$28=S$31,IF($G$3:$G$28&lt;&gt;"",$G$3:$G$28)))),"")</f>
        <v/>
      </c>
      <c r="T39" s="146" t="str">
        <f t="array" ref="T39">IFERROR(AVERAGE(IF($B$3:$B$28=$B39,IF($D$3:$D$28=T$31,IF($G$3:$G$28&lt;&gt;"",$G$3:$G$28)))),"")</f>
        <v/>
      </c>
      <c r="U39" s="146" t="str">
        <f t="array" ref="U39">IFERROR(AVERAGE(IF($B$3:$B$28=$B39,IF($D$3:$D$28=U$31,IF($G$3:$G$28&lt;&gt;"",$G$3:$G$28)))),"")</f>
        <v/>
      </c>
      <c r="V39" s="146" t="str">
        <f t="array" ref="V39">IFERROR(AVERAGE(IF($B$3:$B$28=$B39,IF($D$3:$D$28=V$31,IF($G$3:$G$28&lt;&gt;"",$G$3:$G$28)))),"")</f>
        <v/>
      </c>
      <c r="W39" s="146" t="str">
        <f t="array" ref="W39">IFERROR(AVERAGE(IF($B$3:$B$28=$B39,IF($D$3:$D$28=W$31,IF($G$3:$G$28&lt;&gt;"",$G$3:$G$28)))),"")</f>
        <v/>
      </c>
      <c r="X39" s="146" t="str">
        <f t="array" ref="X39">IFERROR(AVERAGE(IF($B$3:$B$28=$B39,IF($D$3:$D$28=X$31,IF($G$3:$G$28&lt;&gt;"",$G$3:$G$28)))),"")</f>
        <v/>
      </c>
      <c r="Y39" s="146" t="str">
        <f t="array" ref="Y39">IFERROR(AVERAGE(IF($B$3:$B$28=$B39,IF($D$3:$D$28=Y$31,IF($G$3:$G$28&lt;&gt;"",$G$3:$G$28)))),"")</f>
        <v/>
      </c>
      <c r="Z39" s="146" t="str">
        <f t="array" ref="Z39">IFERROR(AVERAGE(IF($B$3:$B$28=$B39,IF($D$3:$D$28=Z$31,IF($G$3:$G$28&lt;&gt;"",$G$3:$G$28)))),"")</f>
        <v/>
      </c>
      <c r="AA39" s="146" t="str">
        <f t="array" ref="AA39">IFERROR(AVERAGE(IF($B$3:$B$28=$B39,IF($D$3:$D$28=AA$31,IF($G$3:$G$28&lt;&gt;"",$G$3:$G$28)))),"")</f>
        <v/>
      </c>
      <c r="AB39" s="146" t="str">
        <f t="array" ref="AB39">IFERROR(AVERAGE(IF($B$3:$B$28=$B39,IF($D$3:$D$28=AB$31,IF($G$3:$G$28&lt;&gt;"",$G$3:$G$28)))),"")</f>
        <v/>
      </c>
      <c r="AC39" s="146" t="str">
        <f t="array" ref="AC39">IFERROR(AVERAGE(IF($B$3:$B$28=$B39,IF($D$3:$D$28=AC$31,IF($G$3:$G$28&lt;&gt;"",$G$3:$G$28)))),"")</f>
        <v/>
      </c>
      <c r="AD39" s="146">
        <f t="array" ref="AD39">IFERROR(AVERAGE(IF($B$3:$B$28=$B39,IF($D$3:$D$28=AD$31,IF($G$3:$G$28&lt;&gt;"",$G$3:$G$28)))),"")</f>
        <v>2677</v>
      </c>
      <c r="AE39" s="146" t="str">
        <f t="array" ref="AE39">IFERROR(AVERAGE(IF($B$3:$B$28=$B39,IF($D$3:$D$28=AE$31,IF($G$3:$G$28&lt;&gt;"",$G$3:$G$28)))),"")</f>
        <v/>
      </c>
      <c r="AF39" s="146" t="str">
        <f t="array" ref="AF39">IFERROR(AVERAGE(IF($B$3:$B$28=$B39,IF($D$3:$D$28=AF$31,IF($G$3:$G$28&lt;&gt;"",$G$3:$G$28)))),"")</f>
        <v/>
      </c>
    </row>
    <row r="40" spans="1:32" ht="15" customHeight="1" x14ac:dyDescent="0.25">
      <c r="A40" s="51">
        <f t="shared" si="2"/>
        <v>0</v>
      </c>
      <c r="B40" s="61" t="str">
        <f t="array" ref="B40">IFERROR(INDEX($B$3:$B$28, MATCH(0,IF(ISBLANK($B$3:$B$28),1,COUNTIF($B$32:B39, $B$3:$B$28)), 0)),"")</f>
        <v>Ludhiyana</v>
      </c>
      <c r="C40" s="62"/>
      <c r="D40" s="62"/>
      <c r="E40" s="62"/>
      <c r="F40" s="62"/>
      <c r="G40" s="71"/>
      <c r="H40" s="146" t="str">
        <f t="array" ref="H40">IFERROR(AVERAGE(IF($B$3:$B$28=$B40,IF($D$3:$D$28=H$31,IF($G$3:$G$28&lt;&gt;"",$G$3:$G$28)))),"")</f>
        <v/>
      </c>
      <c r="I40" s="146" t="str">
        <f t="array" ref="I40">IFERROR(AVERAGE(IF($B$3:$B$28=$B40,IF($D$3:$D$28=I$31,IF($G$3:$G$28&lt;&gt;"",$G$3:$G$28)))),"")</f>
        <v/>
      </c>
      <c r="J40" s="146" t="str">
        <f t="array" ref="J40">IFERROR(AVERAGE(IF($B$3:$B$28=$B40,IF($D$3:$D$28=J$31,IF($G$3:$G$28&lt;&gt;"",$G$3:$G$28)))),"")</f>
        <v/>
      </c>
      <c r="K40" s="146" t="str">
        <f t="array" ref="K40">IFERROR(AVERAGE(IF($B$3:$B$28=$B40,IF($D$3:$D$28=K$31,IF($G$3:$G$28&lt;&gt;"",$G$3:$G$28)))),"")</f>
        <v/>
      </c>
      <c r="L40" s="146" t="str">
        <f t="array" ref="L40">IFERROR(AVERAGE(IF($B$3:$B$28=$B40,IF($D$3:$D$28=L$31,IF($G$3:$G$28&lt;&gt;"",$G$3:$G$28)))),"")</f>
        <v/>
      </c>
      <c r="M40" s="146" t="str">
        <f t="array" ref="M40">IFERROR(AVERAGE(IF($B$3:$B$28=$B40,IF($D$3:$D$28=M$31,IF($G$3:$G$28&lt;&gt;"",$G$3:$G$28)))),"")</f>
        <v/>
      </c>
      <c r="N40" s="146" t="str">
        <f t="array" ref="N40">IFERROR(AVERAGE(IF($B$3:$B$28=$B40,IF($D$3:$D$28=N$31,IF($G$3:$G$28&lt;&gt;"",$G$3:$G$28)))),"")</f>
        <v/>
      </c>
      <c r="O40" s="146" t="str">
        <f t="array" ref="O40">IFERROR(AVERAGE(IF($B$3:$B$28=$B40,IF($D$3:$D$28=O$31,IF($G$3:$G$28&lt;&gt;"",$G$3:$G$28)))),"")</f>
        <v/>
      </c>
      <c r="P40" s="146" t="str">
        <f t="array" ref="P40">IFERROR(AVERAGE(IF($B$3:$B$28=$B40,IF($D$3:$D$28=P$31,IF($G$3:$G$28&lt;&gt;"",$G$3:$G$28)))),"")</f>
        <v/>
      </c>
      <c r="Q40" s="146" t="str">
        <f t="array" ref="Q40">IFERROR(AVERAGE(IF($B$3:$B$28=$B40,IF($D$3:$D$28=Q$31,IF($G$3:$G$28&lt;&gt;"",$G$3:$G$28)))),"")</f>
        <v/>
      </c>
      <c r="R40" s="146">
        <f t="array" ref="R40">IFERROR(AVERAGE(IF($B$3:$B$28=$B40,IF($D$3:$D$28=R$31,IF($G$3:$G$28&lt;&gt;"",$G$3:$G$28)))),"")</f>
        <v>2677</v>
      </c>
      <c r="S40" s="146" t="str">
        <f t="array" ref="S40">IFERROR(AVERAGE(IF($B$3:$B$28=$B40,IF($D$3:$D$28=S$31,IF($G$3:$G$28&lt;&gt;"",$G$3:$G$28)))),"")</f>
        <v/>
      </c>
      <c r="T40" s="146" t="str">
        <f t="array" ref="T40">IFERROR(AVERAGE(IF($B$3:$B$28=$B40,IF($D$3:$D$28=T$31,IF($G$3:$G$28&lt;&gt;"",$G$3:$G$28)))),"")</f>
        <v/>
      </c>
      <c r="U40" s="146" t="str">
        <f t="array" ref="U40">IFERROR(AVERAGE(IF($B$3:$B$28=$B40,IF($D$3:$D$28=U$31,IF($G$3:$G$28&lt;&gt;"",$G$3:$G$28)))),"")</f>
        <v/>
      </c>
      <c r="V40" s="146" t="str">
        <f t="array" ref="V40">IFERROR(AVERAGE(IF($B$3:$B$28=$B40,IF($D$3:$D$28=V$31,IF($G$3:$G$28&lt;&gt;"",$G$3:$G$28)))),"")</f>
        <v/>
      </c>
      <c r="W40" s="146" t="str">
        <f t="array" ref="W40">IFERROR(AVERAGE(IF($B$3:$B$28=$B40,IF($D$3:$D$28=W$31,IF($G$3:$G$28&lt;&gt;"",$G$3:$G$28)))),"")</f>
        <v/>
      </c>
      <c r="X40" s="146" t="str">
        <f t="array" ref="X40">IFERROR(AVERAGE(IF($B$3:$B$28=$B40,IF($D$3:$D$28=X$31,IF($G$3:$G$28&lt;&gt;"",$G$3:$G$28)))),"")</f>
        <v/>
      </c>
      <c r="Y40" s="146" t="str">
        <f t="array" ref="Y40">IFERROR(AVERAGE(IF($B$3:$B$28=$B40,IF($D$3:$D$28=Y$31,IF($G$3:$G$28&lt;&gt;"",$G$3:$G$28)))),"")</f>
        <v/>
      </c>
      <c r="Z40" s="146" t="str">
        <f t="array" ref="Z40">IFERROR(AVERAGE(IF($B$3:$B$28=$B40,IF($D$3:$D$28=Z$31,IF($G$3:$G$28&lt;&gt;"",$G$3:$G$28)))),"")</f>
        <v/>
      </c>
      <c r="AA40" s="146" t="str">
        <f t="array" ref="AA40">IFERROR(AVERAGE(IF($B$3:$B$28=$B40,IF($D$3:$D$28=AA$31,IF($G$3:$G$28&lt;&gt;"",$G$3:$G$28)))),"")</f>
        <v/>
      </c>
      <c r="AB40" s="146" t="str">
        <f t="array" ref="AB40">IFERROR(AVERAGE(IF($B$3:$B$28=$B40,IF($D$3:$D$28=AB$31,IF($G$3:$G$28&lt;&gt;"",$G$3:$G$28)))),"")</f>
        <v/>
      </c>
      <c r="AC40" s="146" t="str">
        <f t="array" ref="AC40">IFERROR(AVERAGE(IF($B$3:$B$28=$B40,IF($D$3:$D$28=AC$31,IF($G$3:$G$28&lt;&gt;"",$G$3:$G$28)))),"")</f>
        <v/>
      </c>
      <c r="AD40" s="146" t="str">
        <f t="array" ref="AD40">IFERROR(AVERAGE(IF($B$3:$B$28=$B40,IF($D$3:$D$28=AD$31,IF($G$3:$G$28&lt;&gt;"",$G$3:$G$28)))),"")</f>
        <v/>
      </c>
      <c r="AE40" s="146">
        <f t="array" ref="AE40">IFERROR(AVERAGE(IF($B$3:$B$28=$B40,IF($D$3:$D$28=AE$31,IF($G$3:$G$28&lt;&gt;"",$G$3:$G$28)))),"")</f>
        <v>1232</v>
      </c>
      <c r="AF40" s="146" t="str">
        <f t="array" ref="AF40">IFERROR(AVERAGE(IF($B$3:$B$28=$B40,IF($D$3:$D$28=AF$31,IF($G$3:$G$28&lt;&gt;"",$G$3:$G$28)))),"")</f>
        <v/>
      </c>
    </row>
    <row r="41" spans="1:32" ht="15" customHeight="1" x14ac:dyDescent="0.25">
      <c r="A41" s="51">
        <f t="shared" si="2"/>
        <v>0</v>
      </c>
      <c r="B41" s="61" t="str">
        <f t="array" ref="B41">IFERROR(INDEX($B$3:$B$28, MATCH(0,IF(ISBLANK($B$3:$B$28),1,COUNTIF($B$32:B40, $B$3:$B$28)), 0)),"")</f>
        <v>Uttar Pradesh</v>
      </c>
      <c r="C41" s="62"/>
      <c r="D41" s="62"/>
      <c r="E41" s="62"/>
      <c r="F41" s="62"/>
      <c r="G41" s="71"/>
      <c r="H41" s="146" t="str">
        <f t="array" ref="H41">IFERROR(AVERAGE(IF($B$3:$B$28=$B41,IF($D$3:$D$28=H$31,IF($G$3:$G$28&lt;&gt;"",$G$3:$G$28)))),"")</f>
        <v/>
      </c>
      <c r="I41" s="146" t="str">
        <f t="array" ref="I41">IFERROR(AVERAGE(IF($B$3:$B$28=$B41,IF($D$3:$D$28=I$31,IF($G$3:$G$28&lt;&gt;"",$G$3:$G$28)))),"")</f>
        <v/>
      </c>
      <c r="J41" s="146" t="str">
        <f t="array" ref="J41">IFERROR(AVERAGE(IF($B$3:$B$28=$B41,IF($D$3:$D$28=J$31,IF($G$3:$G$28&lt;&gt;"",$G$3:$G$28)))),"")</f>
        <v/>
      </c>
      <c r="K41" s="146" t="str">
        <f t="array" ref="K41">IFERROR(AVERAGE(IF($B$3:$B$28=$B41,IF($D$3:$D$28=K$31,IF($G$3:$G$28&lt;&gt;"",$G$3:$G$28)))),"")</f>
        <v/>
      </c>
      <c r="L41" s="146" t="str">
        <f t="array" ref="L41">IFERROR(AVERAGE(IF($B$3:$B$28=$B41,IF($D$3:$D$28=L$31,IF($G$3:$G$28&lt;&gt;"",$G$3:$G$28)))),"")</f>
        <v/>
      </c>
      <c r="M41" s="146" t="str">
        <f t="array" ref="M41">IFERROR(AVERAGE(IF($B$3:$B$28=$B41,IF($D$3:$D$28=M$31,IF($G$3:$G$28&lt;&gt;"",$G$3:$G$28)))),"")</f>
        <v/>
      </c>
      <c r="N41" s="146" t="str">
        <f t="array" ref="N41">IFERROR(AVERAGE(IF($B$3:$B$28=$B41,IF($D$3:$D$28=N$31,IF($G$3:$G$28&lt;&gt;"",$G$3:$G$28)))),"")</f>
        <v/>
      </c>
      <c r="O41" s="146" t="str">
        <f t="array" ref="O41">IFERROR(AVERAGE(IF($B$3:$B$28=$B41,IF($D$3:$D$28=O$31,IF($G$3:$G$28&lt;&gt;"",$G$3:$G$28)))),"")</f>
        <v/>
      </c>
      <c r="P41" s="146" t="str">
        <f t="array" ref="P41">IFERROR(AVERAGE(IF($B$3:$B$28=$B41,IF($D$3:$D$28=P$31,IF($G$3:$G$28&lt;&gt;"",$G$3:$G$28)))),"")</f>
        <v/>
      </c>
      <c r="Q41" s="146" t="str">
        <f t="array" ref="Q41">IFERROR(AVERAGE(IF($B$3:$B$28=$B41,IF($D$3:$D$28=Q$31,IF($G$3:$G$28&lt;&gt;"",$G$3:$G$28)))),"")</f>
        <v/>
      </c>
      <c r="R41" s="146" t="str">
        <f t="array" ref="R41">IFERROR(AVERAGE(IF($B$3:$B$28=$B41,IF($D$3:$D$28=R$31,IF($G$3:$G$28&lt;&gt;"",$G$3:$G$28)))),"")</f>
        <v/>
      </c>
      <c r="S41" s="146">
        <f t="array" ref="S41">IFERROR(AVERAGE(IF($B$3:$B$28=$B41,IF($D$3:$D$28=S$31,IF($G$3:$G$28&lt;&gt;"",$G$3:$G$28)))),"")</f>
        <v>1232</v>
      </c>
      <c r="T41" s="146" t="str">
        <f t="array" ref="T41">IFERROR(AVERAGE(IF($B$3:$B$28=$B41,IF($D$3:$D$28=T$31,IF($G$3:$G$28&lt;&gt;"",$G$3:$G$28)))),"")</f>
        <v/>
      </c>
      <c r="U41" s="146" t="str">
        <f t="array" ref="U41">IFERROR(AVERAGE(IF($B$3:$B$28=$B41,IF($D$3:$D$28=U$31,IF($G$3:$G$28&lt;&gt;"",$G$3:$G$28)))),"")</f>
        <v/>
      </c>
      <c r="V41" s="146" t="str">
        <f t="array" ref="V41">IFERROR(AVERAGE(IF($B$3:$B$28=$B41,IF($D$3:$D$28=V$31,IF($G$3:$G$28&lt;&gt;"",$G$3:$G$28)))),"")</f>
        <v/>
      </c>
      <c r="W41" s="146" t="str">
        <f t="array" ref="W41">IFERROR(AVERAGE(IF($B$3:$B$28=$B41,IF($D$3:$D$28=W$31,IF($G$3:$G$28&lt;&gt;"",$G$3:$G$28)))),"")</f>
        <v/>
      </c>
      <c r="X41" s="146" t="str">
        <f t="array" ref="X41">IFERROR(AVERAGE(IF($B$3:$B$28=$B41,IF($D$3:$D$28=X$31,IF($G$3:$G$28&lt;&gt;"",$G$3:$G$28)))),"")</f>
        <v/>
      </c>
      <c r="Y41" s="146" t="str">
        <f t="array" ref="Y41">IFERROR(AVERAGE(IF($B$3:$B$28=$B41,IF($D$3:$D$28=Y$31,IF($G$3:$G$28&lt;&gt;"",$G$3:$G$28)))),"")</f>
        <v/>
      </c>
      <c r="Z41" s="146" t="str">
        <f t="array" ref="Z41">IFERROR(AVERAGE(IF($B$3:$B$28=$B41,IF($D$3:$D$28=Z$31,IF($G$3:$G$28&lt;&gt;"",$G$3:$G$28)))),"")</f>
        <v/>
      </c>
      <c r="AA41" s="146" t="str">
        <f t="array" ref="AA41">IFERROR(AVERAGE(IF($B$3:$B$28=$B41,IF($D$3:$D$28=AA$31,IF($G$3:$G$28&lt;&gt;"",$G$3:$G$28)))),"")</f>
        <v/>
      </c>
      <c r="AB41" s="146" t="str">
        <f t="array" ref="AB41">IFERROR(AVERAGE(IF($B$3:$B$28=$B41,IF($D$3:$D$28=AB$31,IF($G$3:$G$28&lt;&gt;"",$G$3:$G$28)))),"")</f>
        <v/>
      </c>
      <c r="AC41" s="146" t="str">
        <f t="array" ref="AC41">IFERROR(AVERAGE(IF($B$3:$B$28=$B41,IF($D$3:$D$28=AC$31,IF($G$3:$G$28&lt;&gt;"",$G$3:$G$28)))),"")</f>
        <v/>
      </c>
      <c r="AD41" s="146" t="str">
        <f t="array" ref="AD41">IFERROR(AVERAGE(IF($B$3:$B$28=$B41,IF($D$3:$D$28=AD$31,IF($G$3:$G$28&lt;&gt;"",$G$3:$G$28)))),"")</f>
        <v/>
      </c>
      <c r="AE41" s="146" t="str">
        <f t="array" ref="AE41">IFERROR(AVERAGE(IF($B$3:$B$28=$B41,IF($D$3:$D$28=AE$31,IF($G$3:$G$28&lt;&gt;"",$G$3:$G$28)))),"")</f>
        <v/>
      </c>
      <c r="AF41" s="146" t="str">
        <f t="array" ref="AF41">IFERROR(AVERAGE(IF($B$3:$B$28=$B41,IF($D$3:$D$28=AF$31,IF($G$3:$G$28&lt;&gt;"",$G$3:$G$28)))),"")</f>
        <v/>
      </c>
    </row>
    <row r="42" spans="1:32" ht="15" customHeight="1" x14ac:dyDescent="0.25">
      <c r="A42" s="51">
        <f t="shared" si="2"/>
        <v>0</v>
      </c>
      <c r="B42" s="61" t="str">
        <f t="array" ref="B42">IFERROR(INDEX($B$3:$B$28, MATCH(0,IF(ISBLANK($B$3:$B$28),1,COUNTIF($B$32:B41, $B$3:$B$28)), 0)),"")</f>
        <v>Sikkim</v>
      </c>
      <c r="C42" s="62"/>
      <c r="D42" s="62"/>
      <c r="E42" s="62"/>
      <c r="F42" s="62"/>
      <c r="G42" s="71"/>
      <c r="H42" s="146" t="str">
        <f t="array" ref="H42">IFERROR(AVERAGE(IF($B$3:$B$28=$B42,IF($D$3:$D$28=H$31,IF($G$3:$G$28&lt;&gt;"",$G$3:$G$28)))),"")</f>
        <v/>
      </c>
      <c r="I42" s="146" t="str">
        <f t="array" ref="I42">IFERROR(AVERAGE(IF($B$3:$B$28=$B42,IF($D$3:$D$28=I$31,IF($G$3:$G$28&lt;&gt;"",$G$3:$G$28)))),"")</f>
        <v/>
      </c>
      <c r="J42" s="146" t="str">
        <f t="array" ref="J42">IFERROR(AVERAGE(IF($B$3:$B$28=$B42,IF($D$3:$D$28=J$31,IF($G$3:$G$28&lt;&gt;"",$G$3:$G$28)))),"")</f>
        <v/>
      </c>
      <c r="K42" s="146" t="str">
        <f t="array" ref="K42">IFERROR(AVERAGE(IF($B$3:$B$28=$B42,IF($D$3:$D$28=K$31,IF($G$3:$G$28&lt;&gt;"",$G$3:$G$28)))),"")</f>
        <v/>
      </c>
      <c r="L42" s="146" t="str">
        <f t="array" ref="L42">IFERROR(AVERAGE(IF($B$3:$B$28=$B42,IF($D$3:$D$28=L$31,IF($G$3:$G$28&lt;&gt;"",$G$3:$G$28)))),"")</f>
        <v/>
      </c>
      <c r="M42" s="146" t="str">
        <f t="array" ref="M42">IFERROR(AVERAGE(IF($B$3:$B$28=$B42,IF($D$3:$D$28=M$31,IF($G$3:$G$28&lt;&gt;"",$G$3:$G$28)))),"")</f>
        <v/>
      </c>
      <c r="N42" s="146" t="str">
        <f t="array" ref="N42">IFERROR(AVERAGE(IF($B$3:$B$28=$B42,IF($D$3:$D$28=N$31,IF($G$3:$G$28&lt;&gt;"",$G$3:$G$28)))),"")</f>
        <v/>
      </c>
      <c r="O42" s="146" t="str">
        <f t="array" ref="O42">IFERROR(AVERAGE(IF($B$3:$B$28=$B42,IF($D$3:$D$28=O$31,IF($G$3:$G$28&lt;&gt;"",$G$3:$G$28)))),"")</f>
        <v/>
      </c>
      <c r="P42" s="146" t="str">
        <f t="array" ref="P42">IFERROR(AVERAGE(IF($B$3:$B$28=$B42,IF($D$3:$D$28=P$31,IF($G$3:$G$28&lt;&gt;"",$G$3:$G$28)))),"")</f>
        <v/>
      </c>
      <c r="Q42" s="146" t="str">
        <f t="array" ref="Q42">IFERROR(AVERAGE(IF($B$3:$B$28=$B42,IF($D$3:$D$28=Q$31,IF($G$3:$G$28&lt;&gt;"",$G$3:$G$28)))),"")</f>
        <v/>
      </c>
      <c r="R42" s="146" t="str">
        <f t="array" ref="R42">IFERROR(AVERAGE(IF($B$3:$B$28=$B42,IF($D$3:$D$28=R$31,IF($G$3:$G$28&lt;&gt;"",$G$3:$G$28)))),"")</f>
        <v/>
      </c>
      <c r="S42" s="146" t="str">
        <f t="array" ref="S42">IFERROR(AVERAGE(IF($B$3:$B$28=$B42,IF($D$3:$D$28=S$31,IF($G$3:$G$28&lt;&gt;"",$G$3:$G$28)))),"")</f>
        <v/>
      </c>
      <c r="T42" s="146">
        <f t="array" ref="T42">IFERROR(AVERAGE(IF($B$3:$B$28=$B42,IF($D$3:$D$28=T$31,IF($G$3:$G$28&lt;&gt;"",$G$3:$G$28)))),"")</f>
        <v>3221</v>
      </c>
      <c r="U42" s="146" t="str">
        <f t="array" ref="U42">IFERROR(AVERAGE(IF($B$3:$B$28=$B42,IF($D$3:$D$28=U$31,IF($G$3:$G$28&lt;&gt;"",$G$3:$G$28)))),"")</f>
        <v/>
      </c>
      <c r="V42" s="146" t="str">
        <f t="array" ref="V42">IFERROR(AVERAGE(IF($B$3:$B$28=$B42,IF($D$3:$D$28=V$31,IF($G$3:$G$28&lt;&gt;"",$G$3:$G$28)))),"")</f>
        <v/>
      </c>
      <c r="W42" s="146" t="str">
        <f t="array" ref="W42">IFERROR(AVERAGE(IF($B$3:$B$28=$B42,IF($D$3:$D$28=W$31,IF($G$3:$G$28&lt;&gt;"",$G$3:$G$28)))),"")</f>
        <v/>
      </c>
      <c r="X42" s="146" t="str">
        <f t="array" ref="X42">IFERROR(AVERAGE(IF($B$3:$B$28=$B42,IF($D$3:$D$28=X$31,IF($G$3:$G$28&lt;&gt;"",$G$3:$G$28)))),"")</f>
        <v/>
      </c>
      <c r="Y42" s="146" t="str">
        <f t="array" ref="Y42">IFERROR(AVERAGE(IF($B$3:$B$28=$B42,IF($D$3:$D$28=Y$31,IF($G$3:$G$28&lt;&gt;"",$G$3:$G$28)))),"")</f>
        <v/>
      </c>
      <c r="Z42" s="146" t="str">
        <f t="array" ref="Z42">IFERROR(AVERAGE(IF($B$3:$B$28=$B42,IF($D$3:$D$28=Z$31,IF($G$3:$G$28&lt;&gt;"",$G$3:$G$28)))),"")</f>
        <v/>
      </c>
      <c r="AA42" s="146" t="str">
        <f t="array" ref="AA42">IFERROR(AVERAGE(IF($B$3:$B$28=$B42,IF($D$3:$D$28=AA$31,IF($G$3:$G$28&lt;&gt;"",$G$3:$G$28)))),"")</f>
        <v/>
      </c>
      <c r="AB42" s="146" t="str">
        <f t="array" ref="AB42">IFERROR(AVERAGE(IF($B$3:$B$28=$B42,IF($D$3:$D$28=AB$31,IF($G$3:$G$28&lt;&gt;"",$G$3:$G$28)))),"")</f>
        <v/>
      </c>
      <c r="AC42" s="146" t="str">
        <f t="array" ref="AC42">IFERROR(AVERAGE(IF($B$3:$B$28=$B42,IF($D$3:$D$28=AC$31,IF($G$3:$G$28&lt;&gt;"",$G$3:$G$28)))),"")</f>
        <v/>
      </c>
      <c r="AD42" s="146" t="str">
        <f t="array" ref="AD42">IFERROR(AVERAGE(IF($B$3:$B$28=$B42,IF($D$3:$D$28=AD$31,IF($G$3:$G$28&lt;&gt;"",$G$3:$G$28)))),"")</f>
        <v/>
      </c>
      <c r="AE42" s="146" t="str">
        <f t="array" ref="AE42">IFERROR(AVERAGE(IF($B$3:$B$28=$B42,IF($D$3:$D$28=AE$31,IF($G$3:$G$28&lt;&gt;"",$G$3:$G$28)))),"")</f>
        <v/>
      </c>
      <c r="AF42" s="146" t="str">
        <f t="array" ref="AF42">IFERROR(AVERAGE(IF($B$3:$B$28=$B42,IF($D$3:$D$28=AF$31,IF($G$3:$G$28&lt;&gt;"",$G$3:$G$28)))),"")</f>
        <v/>
      </c>
    </row>
    <row r="43" spans="1:32" ht="9" customHeight="1" x14ac:dyDescent="0.25"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</row>
    <row r="44" spans="1:32" ht="9" customHeight="1" x14ac:dyDescent="0.25">
      <c r="A44" s="51" t="s">
        <v>551</v>
      </c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</row>
    <row r="45" spans="1:32" ht="15" hidden="1" customHeight="1" x14ac:dyDescent="0.25">
      <c r="H45" s="148">
        <f t="shared" ref="H45:AF45" si="3">H31</f>
        <v>44012</v>
      </c>
      <c r="I45" s="148">
        <f t="shared" si="3"/>
        <v>43982</v>
      </c>
      <c r="J45" s="148">
        <f t="shared" si="3"/>
        <v>43951</v>
      </c>
      <c r="K45" s="148">
        <f t="shared" si="3"/>
        <v>43921</v>
      </c>
      <c r="L45" s="148">
        <f t="shared" si="3"/>
        <v>43889</v>
      </c>
      <c r="M45" s="148">
        <f t="shared" si="3"/>
        <v>43861</v>
      </c>
      <c r="N45" s="148">
        <f t="shared" si="3"/>
        <v>43830</v>
      </c>
      <c r="O45" s="148">
        <f t="shared" si="3"/>
        <v>43799</v>
      </c>
      <c r="P45" s="148">
        <f t="shared" si="3"/>
        <v>43769</v>
      </c>
      <c r="Q45" s="148">
        <f t="shared" si="3"/>
        <v>43738</v>
      </c>
      <c r="R45" s="148">
        <f t="shared" si="3"/>
        <v>43708</v>
      </c>
      <c r="S45" s="148">
        <f t="shared" si="3"/>
        <v>43677</v>
      </c>
      <c r="T45" s="148">
        <f t="shared" si="3"/>
        <v>43646</v>
      </c>
      <c r="U45" s="148">
        <f t="shared" si="3"/>
        <v>43616</v>
      </c>
      <c r="V45" s="148">
        <f t="shared" si="3"/>
        <v>43585</v>
      </c>
      <c r="W45" s="148">
        <f t="shared" si="3"/>
        <v>43555</v>
      </c>
      <c r="X45" s="148">
        <f t="shared" si="3"/>
        <v>43524</v>
      </c>
      <c r="Y45" s="148">
        <f t="shared" si="3"/>
        <v>43496</v>
      </c>
      <c r="Z45" s="148">
        <f t="shared" si="3"/>
        <v>43465</v>
      </c>
      <c r="AA45" s="148">
        <f t="shared" si="3"/>
        <v>43434</v>
      </c>
      <c r="AB45" s="148">
        <f t="shared" si="3"/>
        <v>43404</v>
      </c>
      <c r="AC45" s="148">
        <f t="shared" si="3"/>
        <v>43373</v>
      </c>
      <c r="AD45" s="148">
        <f t="shared" si="3"/>
        <v>43343</v>
      </c>
      <c r="AE45" s="148">
        <f t="shared" si="3"/>
        <v>43312</v>
      </c>
      <c r="AF45" s="148">
        <f t="shared" si="3"/>
        <v>43281</v>
      </c>
    </row>
    <row r="46" spans="1:32" ht="20.25" customHeight="1" x14ac:dyDescent="0.25">
      <c r="B46" s="68" t="s">
        <v>601</v>
      </c>
      <c r="C46" s="69"/>
      <c r="D46" s="69"/>
      <c r="E46" s="69"/>
      <c r="F46" s="69"/>
      <c r="G46" s="70"/>
      <c r="H46" s="149">
        <f t="shared" ref="H46:AF46" si="4">IFERROR(MAX(H33:H44),0)</f>
        <v>2654</v>
      </c>
      <c r="I46" s="149">
        <f t="shared" si="4"/>
        <v>1173</v>
      </c>
      <c r="J46" s="149">
        <f t="shared" si="4"/>
        <v>1098</v>
      </c>
      <c r="K46" s="149">
        <f t="shared" si="4"/>
        <v>986</v>
      </c>
      <c r="L46" s="149">
        <f t="shared" si="4"/>
        <v>1212</v>
      </c>
      <c r="M46" s="149">
        <f t="shared" si="4"/>
        <v>1993</v>
      </c>
      <c r="N46" s="149">
        <f t="shared" si="4"/>
        <v>2323</v>
      </c>
      <c r="O46" s="149">
        <f t="shared" si="4"/>
        <v>2566</v>
      </c>
      <c r="P46" s="149">
        <f t="shared" si="4"/>
        <v>2577</v>
      </c>
      <c r="Q46" s="149">
        <f t="shared" si="4"/>
        <v>2756</v>
      </c>
      <c r="R46" s="149">
        <f t="shared" si="4"/>
        <v>2677</v>
      </c>
      <c r="S46" s="149">
        <f t="shared" si="4"/>
        <v>1232</v>
      </c>
      <c r="T46" s="149">
        <f t="shared" si="4"/>
        <v>3221</v>
      </c>
      <c r="U46" s="149">
        <f t="shared" si="4"/>
        <v>1173</v>
      </c>
      <c r="V46" s="149">
        <f t="shared" si="4"/>
        <v>1098</v>
      </c>
      <c r="W46" s="149">
        <f t="shared" si="4"/>
        <v>986</v>
      </c>
      <c r="X46" s="149">
        <f t="shared" si="4"/>
        <v>1212</v>
      </c>
      <c r="Y46" s="149">
        <f t="shared" si="4"/>
        <v>1993</v>
      </c>
      <c r="Z46" s="149">
        <f t="shared" si="4"/>
        <v>2323</v>
      </c>
      <c r="AA46" s="149">
        <f t="shared" si="4"/>
        <v>2566</v>
      </c>
      <c r="AB46" s="149">
        <f t="shared" si="4"/>
        <v>2577</v>
      </c>
      <c r="AC46" s="149">
        <f t="shared" si="4"/>
        <v>2756</v>
      </c>
      <c r="AD46" s="149">
        <f t="shared" si="4"/>
        <v>2677</v>
      </c>
      <c r="AE46" s="149">
        <f t="shared" si="4"/>
        <v>1232</v>
      </c>
      <c r="AF46" s="149">
        <f t="shared" si="4"/>
        <v>3221</v>
      </c>
    </row>
    <row r="47" spans="1:32" ht="24.75" customHeight="1" x14ac:dyDescent="0.25"/>
    <row r="48" spans="1:32" ht="28.5" hidden="1" customHeight="1" x14ac:dyDescent="0.25">
      <c r="A48" s="51">
        <v>10</v>
      </c>
      <c r="B48" s="63" t="s">
        <v>589</v>
      </c>
      <c r="C48" s="63" t="s">
        <v>590</v>
      </c>
      <c r="D48" s="63" t="s">
        <v>596</v>
      </c>
      <c r="E48" s="80"/>
      <c r="F48" s="80"/>
    </row>
    <row r="49" spans="1:6" ht="15" hidden="1" customHeight="1" x14ac:dyDescent="0.25">
      <c r="A49" s="50">
        <f>IFERROR(IF(D49="",1,0),1)</f>
        <v>0</v>
      </c>
      <c r="B49" s="65">
        <f>INDEX(DatesVOC,1,E49)</f>
        <v>44012</v>
      </c>
      <c r="C49" s="65">
        <f t="shared" ref="C49" si="5">B49</f>
        <v>44012</v>
      </c>
      <c r="D49" s="66">
        <f t="array" ref="D49">HLOOKUP(B49,ReadingTableVOC,2,FALSE)</f>
        <v>2654</v>
      </c>
      <c r="E49" s="81">
        <f>IF(E48="",8,E48+1)</f>
        <v>8</v>
      </c>
      <c r="F49" s="81"/>
    </row>
    <row r="50" spans="1:6" hidden="1" x14ac:dyDescent="0.25"/>
    <row r="51" spans="1:6" ht="24" hidden="1" x14ac:dyDescent="0.25">
      <c r="B51" s="64" t="s">
        <v>586</v>
      </c>
      <c r="C51" s="64" t="s">
        <v>592</v>
      </c>
    </row>
    <row r="52" spans="1:6" hidden="1" x14ac:dyDescent="0.25">
      <c r="B52" s="67">
        <f t="array" ref="B52">SUM(IF($D$3:$D$28&lt;&gt;"",1/COUNTIF($D$3:$D$28, $D$3:$D$28), 0))</f>
        <v>25</v>
      </c>
      <c r="C52" s="67">
        <f t="array" ref="C52">SUM(IF($B$3:$B$28&lt;&gt;"",1/COUNTIF($B$3:$B$28, $B$3:$B$28), 0))</f>
        <v>10</v>
      </c>
    </row>
    <row r="53" spans="1:6" hidden="1" x14ac:dyDescent="0.25"/>
  </sheetData>
  <sheetProtection algorithmName="SHA-512" hashValue="NXIvp08/Fl2KLscbl60eiEvGJEE5y8mHnOeExFIsyTLziYDAQmiHz53A+DDruswYz9D7mthiS3LkpA6dlbyh6g==" saltValue="iH0u2yI5F4et/iGKoqHeJA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7"/>
  <sheetViews>
    <sheetView zoomScaleNormal="100" workbookViewId="0">
      <pane xSplit="1" ySplit="6" topLeftCell="B22" activePane="bottomRight" state="frozen"/>
      <selection activeCell="E21" sqref="E21"/>
      <selection pane="topRight" activeCell="E21" sqref="E21"/>
      <selection pane="bottomLeft" activeCell="E21" sqref="E21"/>
      <selection pane="bottomRight" activeCell="B31" sqref="B31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65" t="s">
        <v>570</v>
      </c>
      <c r="C2" s="273"/>
      <c r="D2" s="266"/>
      <c r="E2" s="42" t="s">
        <v>577</v>
      </c>
      <c r="F2" s="1"/>
    </row>
    <row r="3" spans="1:6" ht="15" customHeight="1" x14ac:dyDescent="0.25">
      <c r="A3" s="6" t="s">
        <v>603</v>
      </c>
      <c r="B3" s="263" t="s">
        <v>700</v>
      </c>
      <c r="C3" s="274"/>
      <c r="D3" s="264"/>
      <c r="E3" s="42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7">
        <v>43983</v>
      </c>
      <c r="C7" s="47">
        <v>44012</v>
      </c>
      <c r="D7" s="30">
        <v>2222</v>
      </c>
      <c r="E7" s="30">
        <v>1000</v>
      </c>
      <c r="F7" s="1"/>
    </row>
    <row r="8" spans="1:6" x14ac:dyDescent="0.25">
      <c r="A8" s="6"/>
      <c r="B8" s="47">
        <v>43952</v>
      </c>
      <c r="C8" s="47">
        <v>43982</v>
      </c>
      <c r="D8" s="30">
        <v>1927</v>
      </c>
      <c r="E8" s="30">
        <v>999</v>
      </c>
      <c r="F8" s="1"/>
    </row>
    <row r="9" spans="1:6" x14ac:dyDescent="0.25">
      <c r="A9" s="6"/>
      <c r="B9" s="47">
        <v>43922</v>
      </c>
      <c r="C9" s="47">
        <v>43951</v>
      </c>
      <c r="D9" s="30">
        <v>2200</v>
      </c>
      <c r="E9" s="30">
        <v>1109</v>
      </c>
      <c r="F9" s="1"/>
    </row>
    <row r="10" spans="1:6" x14ac:dyDescent="0.25">
      <c r="A10" s="6"/>
      <c r="B10" s="47">
        <v>43891</v>
      </c>
      <c r="C10" s="47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7">
        <v>43862</v>
      </c>
      <c r="C11" s="47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7">
        <v>43831</v>
      </c>
      <c r="C12" s="47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7">
        <v>43800</v>
      </c>
      <c r="C13" s="47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7">
        <v>43770</v>
      </c>
      <c r="C14" s="47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7">
        <v>43739</v>
      </c>
      <c r="C15" s="47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7">
        <v>43709</v>
      </c>
      <c r="C16" s="47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7">
        <v>43678</v>
      </c>
      <c r="C17" s="47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7">
        <v>43647</v>
      </c>
      <c r="C18" s="47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7">
        <v>43617</v>
      </c>
      <c r="C19" s="47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7">
        <v>43586</v>
      </c>
      <c r="C20" s="47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7">
        <v>43556</v>
      </c>
      <c r="C21" s="47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7">
        <v>43525</v>
      </c>
      <c r="C22" s="47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7">
        <v>43497</v>
      </c>
      <c r="C23" s="47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7">
        <v>43466</v>
      </c>
      <c r="C24" s="47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7">
        <v>43435</v>
      </c>
      <c r="C25" s="47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7">
        <v>43405</v>
      </c>
      <c r="C26" s="47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7">
        <v>43374</v>
      </c>
      <c r="C27" s="47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7">
        <v>43344</v>
      </c>
      <c r="C28" s="47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7">
        <v>43313</v>
      </c>
      <c r="C29" s="47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7">
        <v>43282</v>
      </c>
      <c r="C30" s="47">
        <v>43312</v>
      </c>
      <c r="D30" s="30">
        <v>2323</v>
      </c>
      <c r="E30" s="30">
        <v>1500.08</v>
      </c>
      <c r="F30" s="1"/>
    </row>
    <row r="31" spans="1:6" ht="17.25" customHeight="1" x14ac:dyDescent="0.25">
      <c r="A31" s="6"/>
      <c r="B31" s="47">
        <v>43252</v>
      </c>
      <c r="C31" s="47">
        <v>43281</v>
      </c>
      <c r="D31" s="30">
        <v>1978</v>
      </c>
      <c r="E31" s="30">
        <v>978</v>
      </c>
      <c r="F31" s="1"/>
    </row>
    <row r="32" spans="1:6" ht="21" customHeight="1" x14ac:dyDescent="0.25">
      <c r="A32" s="7">
        <v>0</v>
      </c>
      <c r="B32" s="35"/>
      <c r="C32" s="35"/>
      <c r="D32" s="37"/>
      <c r="E32" s="38"/>
      <c r="F32" s="1"/>
    </row>
    <row r="33" spans="1:9" ht="25.5" customHeight="1" x14ac:dyDescent="0.25">
      <c r="A33" s="6" t="s">
        <v>551</v>
      </c>
      <c r="B33" s="34"/>
      <c r="C33" s="34"/>
      <c r="D33" s="34"/>
      <c r="E33" s="39"/>
      <c r="F33" s="1"/>
    </row>
    <row r="35" spans="1:9" x14ac:dyDescent="0.25">
      <c r="I35" s="3" t="s">
        <v>565</v>
      </c>
    </row>
    <row r="36" spans="1:9" x14ac:dyDescent="0.25">
      <c r="I36" s="3" t="s">
        <v>560</v>
      </c>
    </row>
    <row r="37" spans="1:9" x14ac:dyDescent="0.25">
      <c r="I37" s="3" t="s">
        <v>545</v>
      </c>
    </row>
  </sheetData>
  <sheetProtection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  <dataValidation allowBlank="1" showInputMessage="1" showErrorMessage="1" error="Please enter a valid date in mm/dd/yyyy format." sqref="B32:D33" xr:uid="{00000000-0002-0000-0900-000001000000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0</xdr:rowOff>
                  </from>
                  <to>
                    <xdr:col>2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0</xdr:rowOff>
                  </from>
                  <to>
                    <xdr:col>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17DE-6A0B-49C8-8E2A-9832234DFC47}">
  <sheetPr codeName="Sheet12"/>
  <dimension ref="A1:K44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N15" sqref="N1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603</v>
      </c>
      <c r="B3" s="246" t="s">
        <v>700</v>
      </c>
      <c r="C3" s="241"/>
      <c r="D3" s="233" t="s">
        <v>694</v>
      </c>
      <c r="E3" s="1"/>
    </row>
    <row r="4" spans="1:5" x14ac:dyDescent="0.25">
      <c r="A4" s="6" t="s">
        <v>603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603</v>
      </c>
      <c r="B5" s="48" t="s">
        <v>701</v>
      </c>
      <c r="C5" s="239"/>
      <c r="D5" s="233"/>
      <c r="E5" s="1"/>
    </row>
    <row r="6" spans="1:5" ht="24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7">
        <v>43983</v>
      </c>
      <c r="C7" s="47">
        <v>44012</v>
      </c>
      <c r="D7" s="31">
        <v>770</v>
      </c>
      <c r="E7" s="1"/>
    </row>
    <row r="8" spans="1:5" x14ac:dyDescent="0.25">
      <c r="A8" s="7"/>
      <c r="B8" s="47">
        <v>43952</v>
      </c>
      <c r="C8" s="47">
        <v>43982</v>
      </c>
      <c r="D8" s="31">
        <v>500</v>
      </c>
      <c r="E8" s="1"/>
    </row>
    <row r="9" spans="1:5" x14ac:dyDescent="0.25">
      <c r="A9" s="7"/>
      <c r="B9" s="47">
        <v>43922</v>
      </c>
      <c r="C9" s="47">
        <v>43951</v>
      </c>
      <c r="D9" s="31">
        <v>400</v>
      </c>
      <c r="E9" s="1"/>
    </row>
    <row r="10" spans="1:5" x14ac:dyDescent="0.25">
      <c r="A10" s="7"/>
      <c r="B10" s="47">
        <v>43891</v>
      </c>
      <c r="C10" s="47">
        <v>43921</v>
      </c>
      <c r="D10" s="31">
        <v>6782</v>
      </c>
      <c r="E10" s="1"/>
    </row>
    <row r="11" spans="1:5" x14ac:dyDescent="0.25">
      <c r="A11" s="7"/>
      <c r="B11" s="47">
        <v>43862</v>
      </c>
      <c r="C11" s="47">
        <v>43889</v>
      </c>
      <c r="D11" s="31">
        <v>7655</v>
      </c>
      <c r="E11" s="1"/>
    </row>
    <row r="12" spans="1:5" x14ac:dyDescent="0.25">
      <c r="A12" s="7"/>
      <c r="B12" s="47">
        <v>43831</v>
      </c>
      <c r="C12" s="47">
        <v>43861</v>
      </c>
      <c r="D12" s="31">
        <v>987</v>
      </c>
      <c r="E12" s="1"/>
    </row>
    <row r="13" spans="1:5" x14ac:dyDescent="0.25">
      <c r="A13" s="7"/>
      <c r="B13" s="47">
        <v>43800</v>
      </c>
      <c r="C13" s="47">
        <v>43830</v>
      </c>
      <c r="D13" s="31">
        <v>1800</v>
      </c>
      <c r="E13" s="1"/>
    </row>
    <row r="14" spans="1:5" x14ac:dyDescent="0.25">
      <c r="A14" s="7"/>
      <c r="B14" s="47">
        <v>43770</v>
      </c>
      <c r="C14" s="47">
        <v>43799</v>
      </c>
      <c r="D14" s="31">
        <v>1545</v>
      </c>
      <c r="E14" s="1"/>
    </row>
    <row r="15" spans="1:5" x14ac:dyDescent="0.25">
      <c r="A15" s="7"/>
      <c r="B15" s="47">
        <v>43739</v>
      </c>
      <c r="C15" s="47">
        <v>43769</v>
      </c>
      <c r="D15" s="31">
        <v>1777</v>
      </c>
      <c r="E15" s="1"/>
    </row>
    <row r="16" spans="1:5" x14ac:dyDescent="0.25">
      <c r="A16" s="7"/>
      <c r="B16" s="47">
        <v>43709</v>
      </c>
      <c r="C16" s="47">
        <v>43738</v>
      </c>
      <c r="D16" s="31">
        <v>1050</v>
      </c>
      <c r="E16" s="1"/>
    </row>
    <row r="17" spans="1:10" x14ac:dyDescent="0.25">
      <c r="A17" s="7"/>
      <c r="B17" s="47">
        <v>43678</v>
      </c>
      <c r="C17" s="47">
        <v>43708</v>
      </c>
      <c r="D17" s="31">
        <v>900</v>
      </c>
      <c r="E17" s="1"/>
    </row>
    <row r="18" spans="1:10" x14ac:dyDescent="0.25">
      <c r="A18" s="7"/>
      <c r="B18" s="47">
        <v>43647</v>
      </c>
      <c r="C18" s="47">
        <v>43677</v>
      </c>
      <c r="D18" s="31">
        <v>2323</v>
      </c>
      <c r="E18" s="1"/>
    </row>
    <row r="19" spans="1:10" x14ac:dyDescent="0.25">
      <c r="A19" s="7"/>
      <c r="B19" s="47">
        <v>43617</v>
      </c>
      <c r="C19" s="47">
        <v>43646</v>
      </c>
      <c r="D19" s="31">
        <v>2222</v>
      </c>
      <c r="E19" s="1"/>
    </row>
    <row r="20" spans="1:10" x14ac:dyDescent="0.25">
      <c r="A20" s="7"/>
      <c r="B20" s="47">
        <v>43586</v>
      </c>
      <c r="C20" s="47">
        <v>43616</v>
      </c>
      <c r="D20" s="31">
        <v>500</v>
      </c>
      <c r="E20" s="1"/>
    </row>
    <row r="21" spans="1:10" x14ac:dyDescent="0.25">
      <c r="A21" s="7"/>
      <c r="B21" s="47">
        <v>43556</v>
      </c>
      <c r="C21" s="47">
        <v>43585</v>
      </c>
      <c r="D21" s="31">
        <v>400</v>
      </c>
      <c r="E21" s="1"/>
    </row>
    <row r="22" spans="1:10" x14ac:dyDescent="0.25">
      <c r="A22" s="7"/>
      <c r="B22" s="47">
        <v>43525</v>
      </c>
      <c r="C22" s="47">
        <v>43555</v>
      </c>
      <c r="D22" s="31">
        <v>6782</v>
      </c>
      <c r="E22" s="1"/>
    </row>
    <row r="23" spans="1:10" x14ac:dyDescent="0.25">
      <c r="A23" s="7"/>
      <c r="B23" s="47">
        <v>43497</v>
      </c>
      <c r="C23" s="47">
        <v>43524</v>
      </c>
      <c r="D23" s="31">
        <v>7655</v>
      </c>
      <c r="E23" s="1"/>
    </row>
    <row r="24" spans="1:10" x14ac:dyDescent="0.25">
      <c r="A24" s="7"/>
      <c r="B24" s="47">
        <v>43466</v>
      </c>
      <c r="C24" s="47">
        <v>43496</v>
      </c>
      <c r="D24" s="31">
        <v>987</v>
      </c>
      <c r="E24" s="1"/>
    </row>
    <row r="25" spans="1:10" x14ac:dyDescent="0.25">
      <c r="A25" s="7"/>
      <c r="B25" s="47">
        <v>43435</v>
      </c>
      <c r="C25" s="47">
        <v>43465</v>
      </c>
      <c r="D25" s="31">
        <v>1800</v>
      </c>
      <c r="E25" s="1"/>
    </row>
    <row r="26" spans="1:10" x14ac:dyDescent="0.25">
      <c r="A26" s="7"/>
      <c r="B26" s="47">
        <v>43405</v>
      </c>
      <c r="C26" s="47">
        <v>43434</v>
      </c>
      <c r="D26" s="31">
        <v>1545</v>
      </c>
      <c r="E26" s="1"/>
    </row>
    <row r="27" spans="1:10" x14ac:dyDescent="0.25">
      <c r="A27" s="7"/>
      <c r="B27" s="47">
        <v>43374</v>
      </c>
      <c r="C27" s="47">
        <v>43404</v>
      </c>
      <c r="D27" s="31">
        <v>1777</v>
      </c>
      <c r="E27" s="1"/>
    </row>
    <row r="28" spans="1:10" x14ac:dyDescent="0.25">
      <c r="A28" s="7"/>
      <c r="B28" s="47">
        <v>43344</v>
      </c>
      <c r="C28" s="47">
        <v>43373</v>
      </c>
      <c r="D28" s="31">
        <v>1050</v>
      </c>
      <c r="E28" s="1"/>
    </row>
    <row r="29" spans="1:10" x14ac:dyDescent="0.25">
      <c r="A29" s="7"/>
      <c r="B29" s="47">
        <v>43313</v>
      </c>
      <c r="C29" s="47">
        <v>43343</v>
      </c>
      <c r="D29" s="31">
        <v>900</v>
      </c>
      <c r="E29" s="1"/>
    </row>
    <row r="30" spans="1:10" x14ac:dyDescent="0.25">
      <c r="A30" s="7"/>
      <c r="B30" s="47">
        <v>43282</v>
      </c>
      <c r="C30" s="47">
        <v>43312</v>
      </c>
      <c r="D30" s="31">
        <v>2323</v>
      </c>
      <c r="E30" s="1"/>
    </row>
    <row r="31" spans="1:10" x14ac:dyDescent="0.25">
      <c r="A31" s="7"/>
      <c r="B31" s="47">
        <v>43252</v>
      </c>
      <c r="C31" s="47">
        <v>43281</v>
      </c>
      <c r="D31" s="31">
        <v>2222</v>
      </c>
      <c r="E31" s="1"/>
    </row>
    <row r="32" spans="1:10" ht="13.5" hidden="1" customHeight="1" x14ac:dyDescent="0.25">
      <c r="A32" s="6"/>
      <c r="B32" s="34"/>
      <c r="C32" s="34"/>
      <c r="D32" s="34"/>
      <c r="E32" s="1"/>
      <c r="J32" s="5" t="s">
        <v>694</v>
      </c>
    </row>
    <row r="33" spans="1:10" ht="25.5" customHeight="1" x14ac:dyDescent="0.25">
      <c r="A33" s="6" t="s">
        <v>551</v>
      </c>
      <c r="B33" s="34"/>
      <c r="C33" s="34"/>
      <c r="D33" s="34"/>
      <c r="E33" s="1"/>
      <c r="J33" s="3" t="s">
        <v>702</v>
      </c>
    </row>
    <row r="38" spans="1:10" x14ac:dyDescent="0.25">
      <c r="G38" s="3" t="s">
        <v>535</v>
      </c>
    </row>
    <row r="39" spans="1:10" x14ac:dyDescent="0.25">
      <c r="G39" s="3" t="s">
        <v>542</v>
      </c>
    </row>
    <row r="40" spans="1:10" x14ac:dyDescent="0.25">
      <c r="G40" s="3" t="s">
        <v>557</v>
      </c>
    </row>
    <row r="41" spans="1:10" x14ac:dyDescent="0.25">
      <c r="G41" s="3" t="s">
        <v>531</v>
      </c>
    </row>
    <row r="42" spans="1:10" x14ac:dyDescent="0.25">
      <c r="G42" s="3" t="s">
        <v>555</v>
      </c>
    </row>
    <row r="44" spans="1:10" x14ac:dyDescent="0.25">
      <c r="G44" s="3" t="s">
        <v>554</v>
      </c>
    </row>
  </sheetData>
  <sheetProtection formatRows="0"/>
  <dataValidations count="6">
    <dataValidation type="textLength" allowBlank="1" showInputMessage="1" showErrorMessage="1" errorTitle="Data Source" error="It can only accept 40 characters." sqref="D5" xr:uid="{3C2A3225-9EEF-4F9F-8807-868BC41519E3}">
      <formula1>0</formula1>
      <formula2>40</formula2>
    </dataValidation>
    <dataValidation type="decimal" allowBlank="1" showInputMessage="1" showErrorMessage="1" error="Please enter a valid reading." sqref="D7:D31" xr:uid="{FA3439D5-41D8-4B5E-A2FB-EDAA6EE0AF84}">
      <formula1>0</formula1>
      <formula2>9999999999</formula2>
    </dataValidation>
    <dataValidation type="date" allowBlank="1" showInputMessage="1" showErrorMessage="1" error="Please enter a valid date in mm/dd/yyyy format." sqref="B7:C31" xr:uid="{C533E0A5-E040-4D34-A80B-20DC7064CAA9}">
      <formula1>1</formula1>
      <formula2>73415</formula2>
    </dataValidation>
    <dataValidation type="list" allowBlank="1" showInputMessage="1" showErrorMessage="1" sqref="D3" xr:uid="{27F348BF-226A-4C0F-9FC6-E35E22CCAC76}">
      <formula1>ElectricityDrp</formula1>
    </dataValidation>
    <dataValidation type="list" allowBlank="1" showInputMessage="1" showErrorMessage="1" error="Units cannot edit." sqref="D4" xr:uid="{DDB2F811-9DBD-4B37-9883-10E044664645}">
      <formula1>elecName</formula1>
    </dataValidation>
    <dataValidation allowBlank="1" showInputMessage="1" showErrorMessage="1" error="Please enter a valid date in mm/dd/yyyy format." sqref="B32:D33" xr:uid="{1CD00B04-FD9B-47CA-B380-D938F67D316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9525</xdr:rowOff>
                  </from>
                  <to>
                    <xdr:col>2</xdr:col>
                    <xdr:colOff>0</xdr:colOff>
                    <xdr:row>32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32</xdr:row>
                    <xdr:rowOff>9525</xdr:rowOff>
                  </from>
                  <to>
                    <xdr:col>2</xdr:col>
                    <xdr:colOff>1304925</xdr:colOff>
                    <xdr:row>32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64</vt:i4>
      </vt:variant>
    </vt:vector>
  </HeadingPairs>
  <TitlesOfParts>
    <vt:vector size="7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water_meter_type</vt:lpstr>
      <vt:lpstr>water_type</vt:lpstr>
      <vt:lpstr>water_units</vt:lpstr>
      <vt:lpstr>WaterDrp</vt:lpstr>
      <vt:lpstr>waterType</vt:lpstr>
      <vt:lpstr>waterUnits</vt:lpstr>
      <vt:lpstr>watUn</vt:lpstr>
      <vt:lpstr>watUni</vt:lpstr>
      <vt:lpstr>waUn</vt:lpstr>
      <vt:lpstr>waunit</vt:lpstr>
      <vt:lpstr>Wood</vt:lpstr>
      <vt:lpstr>woods</vt:lpstr>
      <vt:lpstr>woodunit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2019-06-11T12:57:19Z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