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\Automation\ARCDataTemplete\"/>
    </mc:Choice>
  </mc:AlternateContent>
  <xr:revisionPtr revIDLastSave="0" documentId="13_ncr:1_{A75C5461-68C4-4ACB-B8A4-96D17024C2D3}" xr6:coauthVersionLast="36" xr6:coauthVersionMax="40" xr10:uidLastSave="{00000000-0000-0000-0000-000000000000}"/>
  <bookViews>
    <workbookView xWindow="0" yWindow="0" windowWidth="20490" windowHeight="90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base_summary" sheetId="3" state="hidden" r:id="rId11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Setup!$L$26:$M$269</definedName>
    <definedName name="CountriesDetails">Setup!$L$26:$L$269</definedName>
    <definedName name="countryName">Setup!$L$25:$L$269</definedName>
    <definedName name="DataCopy">'CO2 Readings'!$A$18:$E$18</definedName>
    <definedName name="DataCopyVOC">'TVOC Readings'!$A$18:$E$18</definedName>
    <definedName name="Dates">'CO2 Readings'!$14:$14</definedName>
    <definedName name="DatesVOC">'TVOC Readings'!$14:$14</definedName>
    <definedName name="DelRwNmEnd">'CO2 Reading for Upload'!$A$10:$E$10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>base_e!$G$15:$G$19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Stream'!$I$12:$I$14</definedName>
    <definedName name="Other_Fuels_Drp">base_f!$V$10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Upload'!$B$6:$B$10</definedName>
    <definedName name="RangeCountVOC">'TVOC Reading for Upload'!$B$6:$B$10</definedName>
    <definedName name="ReadingTable">'CO2 Readings'!$14:$15</definedName>
    <definedName name="ReadingTableVOC">'TVOC Readings'!$14:$15</definedName>
    <definedName name="Sheets">TRANSPOSE(GET.WORKBOOK(1))&amp;T(NOW())</definedName>
    <definedName name="spacetype">Setup!$S$27:$S$82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Setup!$M$5:$M$6</definedName>
    <definedName name="UserFormat">'CO2 Readings'!$A$24:$E$24</definedName>
    <definedName name="validUnits">Setup!$L$301:$L$319</definedName>
    <definedName name="water_meter_type">base_w!$H$27:$I$39</definedName>
    <definedName name="water_type">base_w!$H$27:$I$39</definedName>
    <definedName name="water_units">base_w!$H$15:$H$23</definedName>
    <definedName name="WaterDrp">base_w!$I$9:$I$11</definedName>
    <definedName name="waterType">base_w!$H$27:$H$39</definedName>
    <definedName name="waterUnits">base_w!$J$10:$J$14</definedName>
    <definedName name="watUn">base_w!$H$15:$H$23</definedName>
    <definedName name="watUni">base_w!$H$15:$H$29</definedName>
    <definedName name="waUn">'Waste Stream'!$I$12:$I$18</definedName>
    <definedName name="waunit">'Waste Stream'!$J$9:$J$11</definedName>
    <definedName name="Wood">base_f!$H$16:$H$27</definedName>
    <definedName name="woods">base_f!$H$16:$H$22</definedName>
    <definedName name="woodunit">base_f!$H$16:$H$22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9" i="16" l="1"/>
  <c r="E7" i="12" l="1"/>
  <c r="B7" i="12"/>
  <c r="D7" i="12" s="1"/>
  <c r="A7" i="12" s="1"/>
  <c r="E7" i="13"/>
  <c r="J8" i="16"/>
  <c r="K8" i="16"/>
  <c r="I8" i="16" s="1"/>
  <c r="J9" i="16"/>
  <c r="K9" i="16"/>
  <c r="I9" i="16" s="1"/>
  <c r="J10" i="16"/>
  <c r="K10" i="16"/>
  <c r="I10" i="16" s="1"/>
  <c r="I11" i="16"/>
  <c r="J11" i="16"/>
  <c r="K11" i="16"/>
  <c r="I12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C7" i="12" l="1"/>
  <c r="J7" i="16" l="1"/>
  <c r="K7" i="16"/>
  <c r="I7" i="16" s="1"/>
  <c r="H19" i="16" l="1"/>
  <c r="G19" i="16"/>
  <c r="H8" i="15" l="1" a="1"/>
  <c r="H8" i="15" s="1"/>
  <c r="G8" i="14" a="1"/>
  <c r="G8" i="14" s="1"/>
  <c r="E19" i="16" l="1"/>
  <c r="J17" i="16" l="1"/>
  <c r="K17" i="16"/>
  <c r="I17" i="16" s="1"/>
  <c r="J18" i="16"/>
  <c r="K18" i="16"/>
  <c r="I18" i="16" s="1"/>
  <c r="J22" i="16" l="1"/>
  <c r="F19" i="16" s="1"/>
  <c r="B10" i="15" a="1"/>
  <c r="B10" i="15" s="1"/>
  <c r="B10" i="14" a="1"/>
  <c r="B10" i="14" s="1"/>
  <c r="D22" i="16"/>
  <c r="B22" i="16"/>
  <c r="D6" i="16"/>
  <c r="C16" i="1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B11" i="14" l="1" a="1"/>
  <c r="B11" i="14" s="1"/>
  <c r="A10" i="15"/>
  <c r="B11" i="15" a="1"/>
  <c r="B11" i="15" s="1"/>
  <c r="H10" i="15" a="1"/>
  <c r="H10" i="15" s="1"/>
  <c r="H6" i="15"/>
  <c r="H14" i="15"/>
  <c r="B7" i="13" s="1"/>
  <c r="D23" i="16"/>
  <c r="D1" i="8"/>
  <c r="D1" i="6"/>
  <c r="D1" i="4"/>
  <c r="I19" i="16"/>
  <c r="D24" i="16" s="1"/>
  <c r="G6" i="14"/>
  <c r="G14" i="14"/>
  <c r="A10" i="14"/>
  <c r="G10" i="14" a="1"/>
  <c r="G10" i="14" s="1"/>
  <c r="B18" i="15" l="1"/>
  <c r="C18" i="15" s="1"/>
  <c r="C7" i="13"/>
  <c r="G11" i="14" a="1"/>
  <c r="G11" i="14" s="1"/>
  <c r="A11" i="14"/>
  <c r="A11" i="15"/>
  <c r="H11" i="15" a="1"/>
  <c r="H11" i="15" s="1"/>
  <c r="H15" i="15" s="1"/>
  <c r="D18" i="15" s="1" a="1"/>
  <c r="D18" i="15" s="1"/>
  <c r="A18" i="15" s="1"/>
  <c r="B18" i="14"/>
  <c r="C18" i="14" s="1"/>
  <c r="D7" i="13" l="1" a="1"/>
  <c r="D7" i="13" s="1"/>
  <c r="A7" i="13" s="1"/>
  <c r="G15" i="14"/>
  <c r="D18" i="14" l="1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<sst xmlns="http://schemas.openxmlformats.org/spreadsheetml/2006/main" count="1044" uniqueCount="710">
  <si>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</si>
  <si>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</si>
  <si>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</si>
  <si>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</si>
  <si>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</si>
  <si>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</si>
  <si>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</si>
  <si>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</si>
  <si>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</si>
  <si>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</si>
  <si>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</si>
  <si>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</si>
  <si>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</si>
  <si>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</si>
  <si>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</si>
  <si>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</si>
  <si>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</si>
  <si>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</si>
  <si>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</si>
  <si>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</si>
  <si>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</si>
  <si>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</si>
  <si>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</si>
  <si>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</si>
  <si>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</si>
  <si>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</si>
  <si>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</si>
  <si>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</si>
  <si>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</si>
  <si>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</si>
  <si>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</si>
  <si>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</si>
  <si>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</si>
  <si>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</si>
  <si>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</si>
  <si>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</si>
  <si>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</si>
  <si>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</si>
  <si>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</si>
  <si>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</si>
  <si>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</si>
  <si>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</si>
  <si>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</si>
  <si>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</si>
  <si>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</si>
  <si>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</si>
  <si>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</si>
  <si>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</si>
  <si>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</si>
  <si>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</si>
  <si>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</si>
  <si>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</si>
  <si>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</si>
  <si>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</si>
  <si>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</si>
  <si>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</si>
  <si>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</si>
  <si>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</si>
  <si>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</si>
  <si>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</si>
  <si>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</si>
  <si>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</si>
  <si>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</si>
  <si>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</si>
  <si>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</si>
  <si>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</si>
  <si>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</si>
  <si>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</si>
  <si>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</si>
  <si>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</si>
  <si>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</si>
  <si>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</si>
  <si>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</si>
  <si>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</si>
  <si>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</si>
  <si>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</si>
  <si>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</si>
  <si>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</si>
  <si>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</si>
  <si>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</si>
  <si>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</si>
  <si>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</si>
  <si>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</si>
  <si>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</si>
  <si>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</si>
  <si>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</si>
  <si>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</si>
  <si>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</si>
  <si>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</si>
  <si>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</si>
  <si>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</si>
  <si>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</si>
  <si>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</si>
  <si>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</si>
  <si>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</si>
  <si>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</si>
  <si>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</si>
  <si>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</si>
  <si>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</si>
  <si>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</si>
  <si>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</si>
  <si>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</si>
  <si>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</si>
  <si>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</si>
  <si>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</si>
  <si>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</si>
  <si>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</si>
  <si>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</si>
  <si>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</si>
  <si>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</si>
  <si>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</si>
  <si>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</si>
  <si>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</si>
  <si>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</si>
  <si>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</si>
  <si>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</si>
  <si>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</si>
  <si>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</si>
  <si>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</si>
  <si>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</si>
  <si>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</si>
  <si>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</si>
  <si>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</si>
  <si>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</si>
  <si>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</si>
  <si>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</si>
  <si>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</si>
  <si>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</si>
  <si>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</si>
  <si>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</si>
  <si>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</si>
  <si>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</si>
  <si>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</si>
  <si>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</si>
  <si>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</si>
  <si>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</si>
  <si>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</si>
  <si>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</si>
  <si>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</si>
  <si>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</si>
  <si>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</si>
  <si>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</si>
  <si>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</si>
  <si>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</si>
  <si>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</si>
  <si>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</si>
  <si>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</si>
  <si>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</si>
  <si>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</si>
  <si>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</si>
  <si>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</si>
  <si>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</si>
  <si>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</si>
  <si>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</si>
  <si>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</si>
  <si>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</si>
  <si>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</si>
  <si>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</si>
  <si>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</si>
  <si>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</si>
  <si>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</si>
  <si>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</si>
  <si>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</si>
  <si>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</si>
  <si>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</si>
  <si>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</si>
  <si>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</si>
  <si>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</si>
  <si>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</si>
  <si>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</si>
  <si>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</si>
  <si>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</si>
  <si>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</si>
  <si>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</si>
  <si>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</si>
  <si>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</si>
  <si>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</si>
  <si>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</si>
  <si>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</si>
  <si>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</si>
  <si>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</si>
  <si>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</si>
  <si>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</si>
  <si>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</si>
  <si>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</si>
  <si>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</si>
  <si>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</si>
  <si>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</si>
  <si>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</si>
  <si>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</si>
  <si>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</si>
  <si>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</si>
  <si>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</si>
  <si>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</si>
  <si>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</si>
  <si>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</si>
  <si>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</si>
  <si>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</si>
  <si>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</si>
  <si>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</si>
  <si>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</si>
  <si>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</si>
  <si>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</si>
  <si>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</si>
  <si>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</si>
  <si>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</si>
  <si>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</si>
  <si>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</si>
  <si>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</si>
  <si>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</si>
  <si>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</si>
  <si>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</si>
  <si>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</si>
  <si>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</si>
  <si>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</si>
  <si>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</si>
  <si>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</si>
  <si>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</si>
  <si>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</si>
  <si>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</si>
  <si>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</si>
  <si>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</si>
  <si>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</si>
  <si>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</si>
  <si>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</si>
  <si>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</si>
  <si>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</si>
  <si>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</si>
  <si>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</si>
  <si>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</si>
  <si>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</si>
  <si>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</si>
  <si>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</si>
  <si>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</si>
  <si>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</si>
  <si>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</si>
  <si>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</si>
  <si>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</si>
  <si>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</si>
  <si>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</si>
  <si>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</si>
  <si>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</si>
  <si>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</si>
  <si>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</si>
  <si>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</si>
  <si>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</si>
  <si>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</si>
  <si>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</si>
  <si>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</si>
  <si>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</si>
  <si>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</si>
  <si>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</si>
  <si>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</si>
  <si>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</si>
  <si>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</si>
  <si>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</si>
  <si>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</si>
  <si>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</si>
  <si>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</si>
  <si>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</si>
  <si>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</si>
  <si>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</si>
  <si>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</si>
  <si>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</si>
  <si>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</si>
  <si>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</si>
  <si>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</si>
  <si>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</si>
  <si>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</si>
  <si>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</si>
  <si>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</si>
  <si>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</si>
  <si>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</si>
  <si>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</si>
  <si>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</si>
  <si>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</si>
  <si>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</si>
  <si>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</si>
  <si>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</si>
  <si>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</si>
  <si>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</si>
  <si>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</si>
  <si>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</si>
  <si>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</si>
  <si>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</si>
  <si>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</si>
  <si>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</si>
  <si>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</si>
  <si>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</si>
  <si>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</si>
  <si>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</si>
  <si>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</si>
  <si>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</si>
  <si>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</si>
  <si>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</si>
  <si>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</si>
  <si>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</si>
  <si>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</si>
  <si>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</si>
  <si>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</si>
  <si>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</si>
  <si>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</si>
  <si>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</si>
  <si>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</si>
  <si>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</si>
  <si>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</si>
  <si>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</si>
  <si>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</si>
  <si>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</si>
  <si>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</si>
  <si>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</si>
  <si>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</si>
  <si>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</si>
  <si>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</si>
  <si>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</si>
  <si>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</si>
  <si>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</si>
  <si>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</si>
  <si>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</si>
  <si>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</si>
  <si>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</si>
  <si>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</si>
  <si>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</si>
  <si>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</si>
  <si>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</si>
  <si>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</si>
  <si>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</si>
  <si>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</si>
  <si>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</si>
  <si>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</si>
  <si>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</si>
  <si>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</si>
  <si>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</si>
  <si>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</si>
  <si>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</si>
  <si>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</si>
  <si>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</si>
  <si>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</si>
  <si>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</si>
  <si>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</si>
  <si>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</si>
  <si>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</si>
  <si>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</si>
  <si>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</si>
  <si>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</si>
  <si>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</si>
  <si>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</si>
  <si>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</si>
  <si>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</si>
  <si>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</si>
  <si>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</si>
  <si>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</si>
  <si>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</si>
  <si>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</si>
  <si>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</si>
  <si>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</si>
  <si>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</si>
  <si>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</si>
  <si>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</si>
  <si>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</si>
  <si>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</si>
  <si>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</si>
  <si>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</si>
  <si>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</si>
  <si>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</si>
  <si>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</si>
  <si>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</si>
  <si>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</si>
  <si>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</si>
  <si>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</si>
  <si>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</si>
  <si>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</si>
  <si>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</si>
  <si>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</si>
  <si>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</si>
  <si>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</si>
  <si>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</si>
  <si>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</si>
  <si>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</si>
  <si>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</si>
  <si>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</si>
  <si>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</si>
  <si>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</si>
  <si>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</si>
  <si>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</si>
  <si>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</si>
  <si>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</si>
  <si>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</si>
  <si>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</si>
  <si>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</si>
  <si>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</si>
  <si>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</si>
  <si>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</si>
  <si>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</si>
  <si>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</si>
  <si>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</si>
  <si>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</si>
  <si>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</si>
  <si>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</si>
  <si>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</si>
  <si>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</si>
  <si>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</si>
  <si>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</si>
  <si>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</si>
  <si>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</si>
  <si>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</si>
  <si>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</si>
  <si>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</si>
  <si>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</si>
  <si>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</si>
  <si>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</si>
  <si>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</si>
  <si>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</si>
  <si>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</si>
  <si>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</si>
  <si>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</si>
  <si>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</si>
  <si>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</si>
  <si>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</si>
  <si>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</si>
  <si>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</si>
  <si>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</si>
  <si>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</si>
  <si>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</si>
  <si>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</si>
  <si>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</si>
  <si>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</si>
  <si>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</si>
  <si>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</si>
  <si>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</si>
  <si>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</si>
  <si>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</si>
  <si>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</si>
  <si>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</si>
  <si>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</si>
  <si>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</si>
  <si>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</si>
  <si>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</si>
  <si>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</si>
  <si>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</si>
  <si>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</si>
  <si>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</si>
  <si>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</si>
  <si>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</si>
  <si>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</si>
  <si>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</si>
  <si>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</si>
  <si>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</si>
  <si>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</si>
  <si>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</si>
  <si>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</si>
  <si>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</si>
  <si>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</si>
  <si>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</si>
  <si>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</si>
  <si>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</si>
  <si>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</si>
  <si>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</si>
  <si>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</si>
  <si>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</si>
  <si>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</si>
  <si>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</si>
  <si>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</si>
  <si>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</si>
  <si>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</si>
  <si>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</si>
  <si>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</si>
  <si>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</si>
  <si>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</si>
  <si>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</si>
  <si>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</si>
  <si>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</si>
  <si>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</si>
  <si>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</si>
  <si>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</si>
  <si>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</si>
  <si>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</si>
  <si>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</si>
  <si>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</si>
  <si>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</si>
  <si>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</si>
  <si>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</si>
  <si>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</si>
  <si>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</si>
  <si>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</si>
  <si>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</si>
  <si>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</si>
  <si>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</si>
  <si>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</si>
  <si>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</si>
  <si>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</si>
  <si>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</si>
  <si>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</si>
  <si>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</si>
  <si>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</si>
  <si>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</si>
  <si>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</si>
  <si>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</si>
  <si>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</si>
  <si>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</si>
  <si>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</si>
  <si>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</si>
  <si>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</si>
  <si>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</si>
  <si>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</si>
  <si>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</si>
  <si>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</si>
  <si>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</si>
  <si>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</si>
  <si>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</si>
  <si>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</si>
  <si>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</si>
  <si>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</si>
  <si>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</si>
  <si>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</si>
  <si>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</si>
  <si>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</si>
  <si>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</si>
  <si>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</si>
  <si>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</si>
  <si>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</si>
  <si>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</si>
  <si>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</si>
  <si>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</si>
  <si>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</si>
  <si>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</si>
  <si>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</si>
  <si>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</si>
  <si>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</si>
  <si>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</si>
  <si>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</si>
  <si>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</si>
  <si>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</si>
  <si>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</si>
  <si>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</si>
  <si>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</si>
  <si>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</si>
  <si>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</si>
  <si>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</si>
  <si>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</si>
  <si>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</si>
  <si>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</si>
  <si>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</si>
  <si>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</si>
  <si>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</si>
  <si>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</si>
  <si>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</si>
  <si>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</si>
  <si>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</si>
  <si>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</si>
  <si>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</si>
  <si>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</si>
  <si>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</si>
  <si>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</si>
  <si>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</si>
  <si>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</si>
  <si>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</si>
  <si>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</si>
  <si>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</si>
  <si>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</si>
  <si>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</si>
  <si>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</si>
  <si>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</si>
  <si>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</si>
  <si>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</si>
  <si>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</si>
  <si>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</si>
  <si>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</si>
  <si>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</si>
  <si>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</si>
  <si>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</si>
  <si>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</si>
  <si>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</si>
  <si>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</si>
  <si>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</si>
  <si>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</si>
  <si>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</si>
  <si>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</si>
  <si>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</si>
  <si>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</si>
  <si>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</si>
  <si>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</si>
  <si>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</si>
  <si>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</si>
  <si>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</si>
  <si>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</si>
  <si>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</si>
  <si>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</si>
  <si>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</si>
  <si>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</si>
  <si>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</si>
  <si>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</si>
  <si>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</si>
  <si>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</si>
  <si>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</si>
  <si>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</si>
  <si>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</si>
  <si>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</si>
  <si>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</si>
  <si>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</si>
  <si>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</si>
  <si>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</si>
  <si>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</si>
  <si>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</si>
  <si>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</si>
  <si>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</si>
  <si>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</si>
  <si>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</si>
  <si>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</si>
  <si>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</si>
  <si>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</si>
  <si>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</si>
  <si>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</si>
  <si>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</si>
  <si>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</si>
  <si>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</si>
  <si>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</si>
  <si>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</si>
  <si>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</si>
  <si>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</si>
  <si>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</si>
  <si>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</si>
  <si>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</si>
  <si>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</si>
  <si>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</si>
  <si>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</si>
  <si>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</si>
  <si>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</si>
  <si>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</si>
  <si>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</si>
  <si>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</si>
  <si>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</si>
  <si>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</si>
  <si>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</si>
  <si>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</si>
  <si>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</si>
  <si>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</si>
  <si>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</si>
  <si>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</si>
  <si>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</si>
  <si>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</si>
  <si>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</si>
  <si>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</si>
  <si>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</si>
  <si>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</si>
  <si>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</si>
  <si>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</si>
  <si>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</si>
  <si>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</si>
  <si>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</si>
  <si>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</si>
  <si>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</si>
  <si>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</si>
  <si>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</si>
  <si>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</si>
  <si>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</si>
  <si>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</si>
  <si>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</si>
  <si>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</si>
  <si>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</si>
  <si>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</si>
  <si>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</si>
  <si>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</si>
  <si>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</si>
  <si>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</si>
  <si>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</si>
  <si>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</si>
  <si>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</si>
  <si>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</si>
  <si>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</si>
  <si>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</si>
  <si>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</si>
  <si>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</si>
  <si>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</si>
  <si>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</si>
  <si>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</si>
  <si>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</si>
  <si>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</si>
  <si>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</si>
  <si>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</si>
  <si>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</si>
  <si>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</si>
  <si>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</si>
  <si>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</si>
  <si>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</si>
  <si>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</si>
  <si>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</si>
  <si>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</si>
  <si>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</si>
  <si>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</si>
  <si>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</si>
  <si>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</si>
  <si>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</si>
  <si>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</si>
  <si>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</si>
  <si>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</si>
  <si>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</si>
  <si>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</si>
  <si>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</si>
  <si>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</si>
  <si>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</si>
  <si>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</si>
  <si>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</si>
  <si>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</si>
  <si>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</si>
  <si>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</si>
  <si>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</si>
  <si>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</si>
  <si>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v04</t>
  </si>
  <si>
    <t>Audit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</si>
</sst>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0" fontId="8" fillId="3" borderId="10" xfId="0" applyNumberFormat="1" applyFont="1" applyFill="1" applyBorder="1" applyAlignment="1" applyProtection="1">
      <alignment horizontal="left" vertical="center"/>
      <protection locked="0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2</xdr:col>
          <xdr:colOff>447675</xdr:colOff>
          <xdr:row>9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9</xdr:row>
          <xdr:rowOff>400050</xdr:rowOff>
        </xdr:from>
        <xdr:to>
          <xdr:col>3</xdr:col>
          <xdr:colOff>981075</xdr:colOff>
          <xdr:row>11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abSelected="1" zoomScale="90" zoomScaleNormal="90" workbookViewId="0">
      <selection activeCell="F17" sqref="F17"/>
    </sheetView>
  </sheetViews>
  <sheetFormatPr defaultColWidth="9.140625" defaultRowHeight="15" x14ac:dyDescent="0.25"/>
  <cols>
    <col min="1" max="1" width="2.7109375" style="129" customWidth="1"/>
    <col min="2" max="2" width="5.7109375" style="129" customWidth="1"/>
    <col min="3" max="3" width="11.140625" style="129" customWidth="1"/>
    <col min="4" max="4" width="30.85546875" style="129" customWidth="1"/>
    <col min="5" max="5" width="29.140625" style="129" customWidth="1"/>
    <col min="6" max="6" width="21" style="129" customWidth="1"/>
    <col min="7" max="7" width="15.7109375" style="129" hidden="1" customWidth="1"/>
    <col min="8" max="8" width="110.28515625" style="129" hidden="1" customWidth="1"/>
    <col min="9" max="9" width="0.85546875" style="129" hidden="1" customWidth="1"/>
    <col min="10" max="10" width="9.140625" style="129" hidden="1" customWidth="1"/>
    <col min="11" max="11" width="4.5703125" style="129" customWidth="1"/>
    <col min="12" max="12" width="15.5703125" style="129" hidden="1" customWidth="1"/>
    <col min="13" max="18" width="9.140625" style="129" hidden="1" customWidth="1"/>
    <col min="19" max="19" width="0" style="129" hidden="1" customWidth="1"/>
    <col min="20" max="16384" width="9.140625" style="129"/>
  </cols>
  <sheetData>
    <row r="2" spans="2:14" x14ac:dyDescent="0.25">
      <c r="B2" s="135"/>
      <c r="C2" s="136" t="s">
        <v>576</v>
      </c>
      <c r="D2" s="137"/>
      <c r="E2" s="137"/>
      <c r="F2" s="137"/>
      <c r="G2" s="137"/>
      <c r="H2" s="137"/>
      <c r="I2" s="138"/>
      <c r="J2" s="137"/>
      <c r="K2" s="139"/>
      <c r="L2" s="128"/>
      <c r="M2" s="128"/>
      <c r="N2" s="128"/>
    </row>
    <row r="3" spans="2:14" ht="49.5" customHeight="1" x14ac:dyDescent="0.25">
      <c r="B3" s="140"/>
      <c r="C3" s="251" t="s">
        <v>706</v>
      </c>
      <c r="D3" s="252"/>
      <c r="E3" s="252"/>
      <c r="F3" s="252"/>
      <c r="G3" s="11"/>
      <c r="H3" s="11"/>
      <c r="I3" s="12"/>
      <c r="J3" s="11"/>
      <c r="K3" s="141"/>
      <c r="L3" s="128"/>
      <c r="M3" s="128"/>
      <c r="N3" s="128"/>
    </row>
    <row r="4" spans="2:14" x14ac:dyDescent="0.25">
      <c r="B4" s="140"/>
      <c r="C4" s="13" t="s">
        <v>0</v>
      </c>
      <c r="D4" s="14"/>
      <c r="E4" s="14"/>
      <c r="F4" s="11"/>
      <c r="G4" s="11"/>
      <c r="H4" s="11"/>
      <c r="I4" s="12"/>
      <c r="J4" s="11"/>
      <c r="K4" s="141"/>
      <c r="L4" s="128"/>
      <c r="M4" s="128"/>
      <c r="N4" s="128"/>
    </row>
    <row r="5" spans="2:14" x14ac:dyDescent="0.25">
      <c r="B5" s="140"/>
      <c r="C5" s="15" t="s">
        <v>1</v>
      </c>
      <c r="D5" s="14"/>
      <c r="E5" s="14"/>
      <c r="F5" s="11"/>
      <c r="G5" s="11"/>
      <c r="H5" s="11"/>
      <c r="I5" s="12"/>
      <c r="J5" s="11"/>
      <c r="K5" s="141"/>
      <c r="L5" s="128"/>
      <c r="M5" s="128" t="s">
        <v>3</v>
      </c>
      <c r="N5" s="128"/>
    </row>
    <row r="6" spans="2:14" x14ac:dyDescent="0.25">
      <c r="B6" s="140"/>
      <c r="C6" s="16" t="s">
        <v>2</v>
      </c>
      <c r="D6" s="16"/>
      <c r="E6" s="17"/>
      <c r="F6" s="11"/>
      <c r="G6" s="11"/>
      <c r="H6" s="11"/>
      <c r="I6" s="12"/>
      <c r="J6" s="11"/>
      <c r="K6" s="141"/>
      <c r="L6" s="128"/>
      <c r="M6" s="128" t="s">
        <v>4</v>
      </c>
      <c r="N6" s="128"/>
    </row>
    <row r="7" spans="2:14" x14ac:dyDescent="0.25">
      <c r="B7" s="140"/>
      <c r="C7" s="16"/>
      <c r="D7" s="16"/>
      <c r="E7" s="17"/>
      <c r="F7" s="11"/>
      <c r="G7" s="11"/>
      <c r="H7" s="11"/>
      <c r="I7" s="12"/>
      <c r="J7" s="11"/>
      <c r="K7" s="141"/>
      <c r="L7" s="128"/>
      <c r="M7" s="128"/>
      <c r="N7" s="128"/>
    </row>
    <row r="8" spans="2:14" x14ac:dyDescent="0.25">
      <c r="B8" s="140"/>
      <c r="C8" s="193" t="s">
        <v>624</v>
      </c>
      <c r="D8" s="194"/>
      <c r="E8" s="195"/>
      <c r="F8" s="196"/>
      <c r="G8" s="11"/>
      <c r="H8" s="11"/>
      <c r="I8" s="12"/>
      <c r="J8" s="11"/>
      <c r="K8" s="141"/>
      <c r="L8" s="128"/>
      <c r="M8" s="128"/>
      <c r="N8" s="128"/>
    </row>
    <row r="9" spans="2:14" ht="15" customHeight="1" x14ac:dyDescent="0.25">
      <c r="B9" s="140"/>
      <c r="C9" s="197" t="s">
        <v>571</v>
      </c>
      <c r="D9" s="194"/>
      <c r="E9" s="195"/>
      <c r="F9" s="198" t="s">
        <v>707</v>
      </c>
      <c r="G9" s="11"/>
      <c r="H9" s="11"/>
      <c r="I9" s="12"/>
      <c r="J9" s="11"/>
      <c r="K9" s="141"/>
      <c r="L9" s="128"/>
      <c r="M9" s="128"/>
      <c r="N9" s="128"/>
    </row>
    <row r="10" spans="2:14" ht="15" customHeight="1" x14ac:dyDescent="0.25">
      <c r="B10" s="140"/>
      <c r="C10" s="199" t="s">
        <v>625</v>
      </c>
      <c r="D10" s="199"/>
      <c r="E10" s="194"/>
      <c r="F10" s="200"/>
      <c r="G10" s="9"/>
      <c r="H10" s="9"/>
      <c r="I10" s="10"/>
      <c r="J10" s="9"/>
      <c r="K10" s="141"/>
      <c r="L10" s="128"/>
      <c r="M10" s="128"/>
      <c r="N10" s="128"/>
    </row>
    <row r="11" spans="2:14" ht="15" customHeight="1" x14ac:dyDescent="0.25">
      <c r="B11" s="140"/>
      <c r="C11" s="11"/>
      <c r="D11" s="11"/>
      <c r="E11" s="24"/>
      <c r="F11" s="11"/>
      <c r="G11" s="9"/>
      <c r="H11" s="9"/>
      <c r="I11" s="10"/>
      <c r="J11" s="9"/>
      <c r="K11" s="141"/>
      <c r="L11" s="128"/>
      <c r="M11" s="128"/>
      <c r="N11" s="128"/>
    </row>
    <row r="12" spans="2:14" ht="15" customHeight="1" x14ac:dyDescent="0.25">
      <c r="B12" s="140"/>
      <c r="C12" s="18" t="s">
        <v>5</v>
      </c>
      <c r="D12" s="11"/>
      <c r="E12" s="11"/>
      <c r="F12" s="11"/>
      <c r="G12" s="9"/>
      <c r="H12" s="9"/>
      <c r="I12" s="10"/>
      <c r="J12" s="9"/>
      <c r="K12" s="141"/>
      <c r="L12" s="128"/>
      <c r="M12" s="128"/>
      <c r="N12" s="128"/>
    </row>
    <row r="13" spans="2:14" ht="15" customHeight="1" x14ac:dyDescent="0.25">
      <c r="B13" s="140"/>
      <c r="C13" s="18" t="s">
        <v>628</v>
      </c>
      <c r="D13" s="11"/>
      <c r="E13" s="11"/>
      <c r="F13" s="11"/>
      <c r="G13" s="9"/>
      <c r="H13" s="9"/>
      <c r="I13" s="10"/>
      <c r="J13" s="9"/>
      <c r="K13" s="141"/>
      <c r="L13" s="128"/>
      <c r="M13" s="128"/>
      <c r="N13" s="128"/>
    </row>
    <row r="14" spans="2:14" ht="21" customHeight="1" x14ac:dyDescent="0.25">
      <c r="B14" s="140"/>
      <c r="C14" s="18" t="s">
        <v>692</v>
      </c>
      <c r="D14" s="11"/>
      <c r="E14" s="11"/>
      <c r="F14" s="11"/>
      <c r="G14" s="9"/>
      <c r="H14" s="9"/>
      <c r="I14" s="10"/>
      <c r="J14" s="9"/>
      <c r="K14" s="141"/>
      <c r="L14" s="128"/>
      <c r="M14" s="128"/>
      <c r="N14" s="128"/>
    </row>
    <row r="15" spans="2:14" x14ac:dyDescent="0.25">
      <c r="B15" s="214"/>
      <c r="C15" s="249" t="s">
        <v>494</v>
      </c>
      <c r="D15" s="249"/>
      <c r="E15" s="249"/>
      <c r="F15" s="211">
        <v>1992</v>
      </c>
      <c r="G15" s="9"/>
      <c r="H15" s="9"/>
      <c r="I15" s="10"/>
      <c r="J15" s="9"/>
      <c r="K15" s="215"/>
      <c r="L15" s="128"/>
      <c r="M15" s="128"/>
      <c r="N15" s="128"/>
    </row>
    <row r="16" spans="2:14" x14ac:dyDescent="0.25">
      <c r="B16" s="214"/>
      <c r="C16" s="249" t="str">
        <f>CONCATENATE("Gross 
Floor Area 
",IF(Setup!$F$9="SI units","(sq m)","(sq ft)"))</f>
        <v>Gross 
Floor Area 
(sq ft)</v>
      </c>
      <c r="D16" s="249"/>
      <c r="E16" s="249"/>
      <c r="F16" s="213">
        <v>12345</v>
      </c>
      <c r="G16" s="11"/>
      <c r="H16" s="11"/>
      <c r="I16" s="12"/>
      <c r="J16" s="11"/>
      <c r="K16" s="141"/>
      <c r="L16" s="128"/>
      <c r="M16" s="128"/>
      <c r="N16" s="128"/>
    </row>
    <row r="17" spans="2:19" x14ac:dyDescent="0.25">
      <c r="B17" s="214"/>
      <c r="C17" s="249" t="s">
        <v>495</v>
      </c>
      <c r="D17" s="249"/>
      <c r="E17" s="249"/>
      <c r="F17" s="212">
        <v>50</v>
      </c>
      <c r="G17" s="11"/>
      <c r="H17" s="11"/>
      <c r="I17" s="12"/>
      <c r="J17" s="11"/>
      <c r="K17" s="215"/>
      <c r="L17" s="128"/>
      <c r="M17" s="128"/>
      <c r="N17" s="128"/>
    </row>
    <row r="18" spans="2:19" x14ac:dyDescent="0.25">
      <c r="B18" s="214"/>
      <c r="C18" s="249" t="s">
        <v>496</v>
      </c>
      <c r="D18" s="249"/>
      <c r="E18" s="249"/>
      <c r="F18" s="212">
        <v>1000</v>
      </c>
      <c r="G18" s="11"/>
      <c r="H18" s="11"/>
      <c r="I18" s="12"/>
      <c r="J18" s="11"/>
      <c r="K18" s="215"/>
      <c r="L18" s="128"/>
      <c r="M18" s="128"/>
      <c r="N18" s="128"/>
    </row>
    <row r="19" spans="2:19" ht="24" customHeight="1" x14ac:dyDescent="0.25">
      <c r="B19" s="140"/>
      <c r="C19" s="11"/>
      <c r="D19" s="11"/>
      <c r="E19" s="11"/>
      <c r="F19" s="216"/>
      <c r="G19" s="11"/>
      <c r="H19" s="11"/>
      <c r="I19" s="12"/>
      <c r="J19" s="11"/>
      <c r="K19" s="141"/>
      <c r="L19" s="128"/>
      <c r="M19" s="128"/>
      <c r="N19" s="128"/>
    </row>
    <row r="20" spans="2:19" ht="30" customHeight="1" x14ac:dyDescent="0.25">
      <c r="B20" s="140"/>
      <c r="C20" s="18" t="s">
        <v>626</v>
      </c>
      <c r="D20" s="11"/>
      <c r="E20" s="11"/>
      <c r="F20" s="11"/>
      <c r="G20" s="11"/>
      <c r="H20" s="11"/>
      <c r="I20" s="12"/>
      <c r="J20" s="11"/>
      <c r="K20" s="141"/>
    </row>
    <row r="21" spans="2:19" x14ac:dyDescent="0.25">
      <c r="B21" s="140"/>
      <c r="C21" s="134" t="s">
        <v>569</v>
      </c>
      <c r="D21" s="125"/>
      <c r="E21" s="126"/>
      <c r="F21" s="124" t="s">
        <v>554</v>
      </c>
      <c r="G21" s="9"/>
      <c r="H21" s="9"/>
      <c r="I21" s="10"/>
      <c r="J21" s="9"/>
      <c r="K21" s="141"/>
    </row>
    <row r="22" spans="2:19" x14ac:dyDescent="0.25">
      <c r="B22" s="140"/>
      <c r="C22" s="127" t="s">
        <v>497</v>
      </c>
      <c r="D22" s="19"/>
      <c r="E22" s="20"/>
      <c r="F22" s="11"/>
      <c r="G22" s="9"/>
      <c r="H22" s="9"/>
      <c r="I22" s="10"/>
      <c r="J22" s="9"/>
      <c r="K22" s="141"/>
    </row>
    <row r="23" spans="2:19" ht="42" customHeight="1" x14ac:dyDescent="0.25">
      <c r="B23" s="140"/>
      <c r="C23" s="11"/>
      <c r="D23" s="9"/>
      <c r="E23" s="11"/>
      <c r="F23" s="11"/>
      <c r="G23" s="9"/>
      <c r="H23" s="9"/>
      <c r="I23" s="10"/>
      <c r="J23" s="9"/>
      <c r="K23" s="141"/>
    </row>
    <row r="24" spans="2:19" x14ac:dyDescent="0.25">
      <c r="B24" s="140"/>
      <c r="C24" s="201"/>
      <c r="D24" s="201"/>
      <c r="E24" s="201"/>
      <c r="F24" s="201"/>
      <c r="G24" s="202"/>
      <c r="H24" s="202"/>
      <c r="I24" s="203"/>
      <c r="J24" s="202"/>
      <c r="K24" s="141"/>
    </row>
    <row r="25" spans="2:19" ht="21" customHeight="1" x14ac:dyDescent="0.25">
      <c r="B25" s="140"/>
      <c r="C25" s="204" t="s">
        <v>627</v>
      </c>
      <c r="D25" s="205"/>
      <c r="E25" s="201"/>
      <c r="F25" s="201"/>
      <c r="G25" s="206"/>
      <c r="H25" s="206"/>
      <c r="I25" s="206"/>
      <c r="J25" s="206"/>
      <c r="K25" s="141"/>
    </row>
    <row r="26" spans="2:19" ht="30.6" customHeight="1" x14ac:dyDescent="0.25">
      <c r="B26" s="140"/>
      <c r="C26" s="250" t="s">
        <v>575</v>
      </c>
      <c r="D26" s="250"/>
      <c r="E26" s="250"/>
      <c r="F26" s="250"/>
      <c r="G26" s="206"/>
      <c r="H26" s="206"/>
      <c r="I26" s="206"/>
      <c r="J26" s="206"/>
      <c r="K26" s="141"/>
      <c r="L26" s="131" t="s">
        <v>6</v>
      </c>
      <c r="M26" s="131" t="s">
        <v>7</v>
      </c>
      <c r="O26" s="129" t="s">
        <v>554</v>
      </c>
      <c r="Q26" s="129" t="s">
        <v>554</v>
      </c>
      <c r="S26" s="219" t="s">
        <v>609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1" t="s">
        <v>9</v>
      </c>
      <c r="O27" s="129" t="s">
        <v>546</v>
      </c>
      <c r="Q27" s="129" t="s">
        <v>546</v>
      </c>
      <c r="S27" s="220" t="s">
        <v>636</v>
      </c>
    </row>
    <row r="28" spans="2:19" ht="11.25" customHeight="1" x14ac:dyDescent="0.25">
      <c r="F28" s="130"/>
      <c r="G28" s="130"/>
      <c r="H28" s="130"/>
      <c r="I28" s="130"/>
      <c r="J28" s="130"/>
      <c r="L28" s="131" t="s">
        <v>10</v>
      </c>
      <c r="M28" s="131" t="s">
        <v>11</v>
      </c>
      <c r="O28" s="129" t="s">
        <v>564</v>
      </c>
      <c r="Q28" s="129" t="s">
        <v>564</v>
      </c>
      <c r="S28" s="220" t="s">
        <v>637</v>
      </c>
    </row>
    <row r="29" spans="2:19" ht="11.25" customHeight="1" x14ac:dyDescent="0.25">
      <c r="F29" s="130"/>
      <c r="K29" s="133"/>
      <c r="L29" s="131" t="s">
        <v>12</v>
      </c>
      <c r="M29" s="131" t="s">
        <v>13</v>
      </c>
      <c r="O29" s="129" t="s">
        <v>561</v>
      </c>
      <c r="S29" s="220" t="s">
        <v>638</v>
      </c>
    </row>
    <row r="30" spans="2:19" x14ac:dyDescent="0.25">
      <c r="F30" s="130"/>
      <c r="K30" s="133"/>
      <c r="L30" s="131" t="s">
        <v>14</v>
      </c>
      <c r="M30" s="131" t="s">
        <v>15</v>
      </c>
      <c r="O30" s="129" t="s">
        <v>563</v>
      </c>
      <c r="S30" s="220" t="s">
        <v>639</v>
      </c>
    </row>
    <row r="31" spans="2:19" x14ac:dyDescent="0.25">
      <c r="F31" s="130"/>
      <c r="K31" s="142" t="s">
        <v>708</v>
      </c>
      <c r="L31" s="131" t="s">
        <v>16</v>
      </c>
      <c r="M31" s="131" t="s">
        <v>17</v>
      </c>
      <c r="O31" s="129" t="s">
        <v>562</v>
      </c>
      <c r="S31" s="220" t="s">
        <v>640</v>
      </c>
    </row>
    <row r="32" spans="2:19" x14ac:dyDescent="0.25">
      <c r="K32" s="142" t="s">
        <v>631</v>
      </c>
      <c r="L32" s="131" t="s">
        <v>18</v>
      </c>
      <c r="M32" s="131" t="s">
        <v>19</v>
      </c>
      <c r="S32" s="220" t="s">
        <v>641</v>
      </c>
    </row>
    <row r="33" spans="11:19" x14ac:dyDescent="0.25">
      <c r="K33" s="142" t="s">
        <v>573</v>
      </c>
      <c r="L33" s="131" t="s">
        <v>20</v>
      </c>
      <c r="M33" s="131" t="s">
        <v>21</v>
      </c>
      <c r="S33" s="220" t="s">
        <v>642</v>
      </c>
    </row>
    <row r="34" spans="11:19" x14ac:dyDescent="0.25">
      <c r="K34" s="142" t="s">
        <v>574</v>
      </c>
      <c r="L34" s="131" t="s">
        <v>22</v>
      </c>
      <c r="M34" s="131" t="s">
        <v>23</v>
      </c>
      <c r="S34" s="220" t="s">
        <v>643</v>
      </c>
    </row>
    <row r="35" spans="11:19" x14ac:dyDescent="0.25">
      <c r="L35" s="131" t="s">
        <v>24</v>
      </c>
      <c r="M35" s="131" t="s">
        <v>25</v>
      </c>
      <c r="S35" s="220" t="s">
        <v>644</v>
      </c>
    </row>
    <row r="36" spans="11:19" x14ac:dyDescent="0.25">
      <c r="L36" s="131" t="s">
        <v>26</v>
      </c>
      <c r="M36" s="131" t="s">
        <v>27</v>
      </c>
      <c r="S36" s="220" t="s">
        <v>645</v>
      </c>
    </row>
    <row r="37" spans="11:19" x14ac:dyDescent="0.25">
      <c r="L37" s="131" t="s">
        <v>28</v>
      </c>
      <c r="M37" s="131" t="s">
        <v>29</v>
      </c>
      <c r="S37" s="220" t="s">
        <v>646</v>
      </c>
    </row>
    <row r="38" spans="11:19" x14ac:dyDescent="0.25">
      <c r="L38" s="131" t="s">
        <v>30</v>
      </c>
      <c r="M38" s="131" t="s">
        <v>31</v>
      </c>
      <c r="S38" s="220" t="s">
        <v>647</v>
      </c>
    </row>
    <row r="39" spans="11:19" x14ac:dyDescent="0.25">
      <c r="L39" s="131" t="s">
        <v>32</v>
      </c>
      <c r="M39" s="131" t="s">
        <v>33</v>
      </c>
      <c r="S39" s="220" t="s">
        <v>648</v>
      </c>
    </row>
    <row r="40" spans="11:19" x14ac:dyDescent="0.25">
      <c r="L40" s="131" t="s">
        <v>34</v>
      </c>
      <c r="M40" s="131" t="s">
        <v>35</v>
      </c>
      <c r="S40" s="220" t="s">
        <v>649</v>
      </c>
    </row>
    <row r="41" spans="11:19" x14ac:dyDescent="0.25">
      <c r="L41" s="131" t="s">
        <v>36</v>
      </c>
      <c r="M41" s="131" t="s">
        <v>37</v>
      </c>
      <c r="S41" s="220" t="s">
        <v>650</v>
      </c>
    </row>
    <row r="42" spans="11:19" x14ac:dyDescent="0.25">
      <c r="L42" s="131" t="s">
        <v>38</v>
      </c>
      <c r="M42" s="131" t="s">
        <v>39</v>
      </c>
      <c r="S42" s="220" t="s">
        <v>651</v>
      </c>
    </row>
    <row r="43" spans="11:19" x14ac:dyDescent="0.25">
      <c r="L43" s="131" t="s">
        <v>40</v>
      </c>
      <c r="M43" s="131" t="s">
        <v>41</v>
      </c>
      <c r="S43" s="220" t="s">
        <v>652</v>
      </c>
    </row>
    <row r="44" spans="11:19" x14ac:dyDescent="0.25">
      <c r="L44" s="131" t="s">
        <v>42</v>
      </c>
      <c r="M44" s="131" t="s">
        <v>43</v>
      </c>
      <c r="S44" s="220" t="s">
        <v>653</v>
      </c>
    </row>
    <row r="45" spans="11:19" x14ac:dyDescent="0.25">
      <c r="L45" s="131" t="s">
        <v>44</v>
      </c>
      <c r="M45" s="131" t="s">
        <v>45</v>
      </c>
      <c r="S45" s="220" t="s">
        <v>654</v>
      </c>
    </row>
    <row r="46" spans="11:19" x14ac:dyDescent="0.25">
      <c r="L46" s="131" t="s">
        <v>46</v>
      </c>
      <c r="M46" s="131" t="s">
        <v>47</v>
      </c>
      <c r="S46" s="220" t="s">
        <v>655</v>
      </c>
    </row>
    <row r="47" spans="11:19" x14ac:dyDescent="0.25">
      <c r="L47" s="131" t="s">
        <v>48</v>
      </c>
      <c r="M47" s="131" t="s">
        <v>49</v>
      </c>
      <c r="S47" s="220" t="s">
        <v>656</v>
      </c>
    </row>
    <row r="48" spans="11:19" x14ac:dyDescent="0.25">
      <c r="L48" s="131" t="s">
        <v>50</v>
      </c>
      <c r="M48" s="131" t="s">
        <v>51</v>
      </c>
      <c r="S48" s="220" t="s">
        <v>657</v>
      </c>
    </row>
    <row r="49" spans="12:19" x14ac:dyDescent="0.25">
      <c r="L49" s="131" t="s">
        <v>52</v>
      </c>
      <c r="M49" s="131" t="s">
        <v>53</v>
      </c>
      <c r="S49" s="220" t="s">
        <v>658</v>
      </c>
    </row>
    <row r="50" spans="12:19" x14ac:dyDescent="0.25">
      <c r="L50" s="131" t="s">
        <v>54</v>
      </c>
      <c r="M50" s="131" t="s">
        <v>55</v>
      </c>
      <c r="S50" s="220" t="s">
        <v>659</v>
      </c>
    </row>
    <row r="51" spans="12:19" x14ac:dyDescent="0.25">
      <c r="L51" s="131" t="s">
        <v>56</v>
      </c>
      <c r="M51" s="131" t="s">
        <v>57</v>
      </c>
      <c r="S51" s="220" t="s">
        <v>660</v>
      </c>
    </row>
    <row r="52" spans="12:19" x14ac:dyDescent="0.25">
      <c r="L52" s="131" t="s">
        <v>58</v>
      </c>
      <c r="M52" s="131" t="s">
        <v>59</v>
      </c>
      <c r="S52" s="220" t="s">
        <v>661</v>
      </c>
    </row>
    <row r="53" spans="12:19" x14ac:dyDescent="0.25">
      <c r="L53" s="131" t="s">
        <v>60</v>
      </c>
      <c r="M53" s="131" t="s">
        <v>61</v>
      </c>
      <c r="S53" s="220" t="s">
        <v>662</v>
      </c>
    </row>
    <row r="54" spans="12:19" x14ac:dyDescent="0.25">
      <c r="L54" s="131" t="s">
        <v>62</v>
      </c>
      <c r="M54" s="131" t="s">
        <v>63</v>
      </c>
      <c r="S54" s="220" t="s">
        <v>663</v>
      </c>
    </row>
    <row r="55" spans="12:19" x14ac:dyDescent="0.25">
      <c r="L55" s="131" t="s">
        <v>64</v>
      </c>
      <c r="M55" s="131" t="s">
        <v>65</v>
      </c>
      <c r="S55" s="220" t="s">
        <v>664</v>
      </c>
    </row>
    <row r="56" spans="12:19" x14ac:dyDescent="0.25">
      <c r="L56" s="131" t="s">
        <v>66</v>
      </c>
      <c r="M56" s="131" t="s">
        <v>67</v>
      </c>
      <c r="S56" s="220" t="s">
        <v>665</v>
      </c>
    </row>
    <row r="57" spans="12:19" x14ac:dyDescent="0.25">
      <c r="L57" s="131" t="s">
        <v>68</v>
      </c>
      <c r="M57" s="131" t="s">
        <v>69</v>
      </c>
      <c r="S57" s="220" t="s">
        <v>666</v>
      </c>
    </row>
    <row r="58" spans="12:19" x14ac:dyDescent="0.25">
      <c r="L58" s="131" t="s">
        <v>70</v>
      </c>
      <c r="M58" s="131" t="s">
        <v>71</v>
      </c>
      <c r="S58" s="220" t="s">
        <v>667</v>
      </c>
    </row>
    <row r="59" spans="12:19" x14ac:dyDescent="0.25">
      <c r="L59" s="131" t="s">
        <v>72</v>
      </c>
      <c r="M59" s="131" t="s">
        <v>73</v>
      </c>
      <c r="S59" s="220" t="s">
        <v>668</v>
      </c>
    </row>
    <row r="60" spans="12:19" x14ac:dyDescent="0.25">
      <c r="L60" s="131" t="s">
        <v>74</v>
      </c>
      <c r="M60" s="131" t="s">
        <v>75</v>
      </c>
      <c r="S60" s="220" t="s">
        <v>669</v>
      </c>
    </row>
    <row r="61" spans="12:19" x14ac:dyDescent="0.25">
      <c r="L61" s="131" t="s">
        <v>76</v>
      </c>
      <c r="M61" s="131" t="s">
        <v>77</v>
      </c>
      <c r="S61" s="220" t="s">
        <v>670</v>
      </c>
    </row>
    <row r="62" spans="12:19" x14ac:dyDescent="0.25">
      <c r="L62" s="131" t="s">
        <v>78</v>
      </c>
      <c r="M62" s="131" t="s">
        <v>79</v>
      </c>
      <c r="S62" s="220" t="s">
        <v>671</v>
      </c>
    </row>
    <row r="63" spans="12:19" x14ac:dyDescent="0.25">
      <c r="L63" s="131" t="s">
        <v>80</v>
      </c>
      <c r="M63" s="131" t="s">
        <v>81</v>
      </c>
      <c r="S63" s="220" t="s">
        <v>672</v>
      </c>
    </row>
    <row r="64" spans="12:19" x14ac:dyDescent="0.25">
      <c r="L64" s="131" t="s">
        <v>82</v>
      </c>
      <c r="M64" s="131" t="s">
        <v>83</v>
      </c>
      <c r="S64" s="220" t="s">
        <v>673</v>
      </c>
    </row>
    <row r="65" spans="12:19" x14ac:dyDescent="0.25">
      <c r="L65" s="131" t="s">
        <v>84</v>
      </c>
      <c r="M65" s="131" t="s">
        <v>85</v>
      </c>
      <c r="S65" s="220" t="s">
        <v>674</v>
      </c>
    </row>
    <row r="66" spans="12:19" x14ac:dyDescent="0.25">
      <c r="L66" s="131" t="s">
        <v>86</v>
      </c>
      <c r="M66" s="131" t="s">
        <v>87</v>
      </c>
      <c r="S66" s="220" t="s">
        <v>675</v>
      </c>
    </row>
    <row r="67" spans="12:19" x14ac:dyDescent="0.25">
      <c r="L67" s="131" t="s">
        <v>88</v>
      </c>
      <c r="M67" s="131" t="s">
        <v>89</v>
      </c>
      <c r="S67" s="220" t="s">
        <v>676</v>
      </c>
    </row>
    <row r="68" spans="12:19" x14ac:dyDescent="0.25">
      <c r="L68" s="131" t="s">
        <v>90</v>
      </c>
      <c r="M68" s="131" t="s">
        <v>91</v>
      </c>
      <c r="S68" s="220" t="s">
        <v>677</v>
      </c>
    </row>
    <row r="69" spans="12:19" x14ac:dyDescent="0.25">
      <c r="L69" s="131" t="s">
        <v>92</v>
      </c>
      <c r="M69" s="131" t="s">
        <v>93</v>
      </c>
      <c r="S69" s="220" t="s">
        <v>678</v>
      </c>
    </row>
    <row r="70" spans="12:19" x14ac:dyDescent="0.25">
      <c r="L70" s="131" t="s">
        <v>94</v>
      </c>
      <c r="M70" s="131" t="s">
        <v>95</v>
      </c>
      <c r="S70" s="220" t="s">
        <v>679</v>
      </c>
    </row>
    <row r="71" spans="12:19" x14ac:dyDescent="0.25">
      <c r="L71" s="131" t="s">
        <v>96</v>
      </c>
      <c r="M71" s="131" t="s">
        <v>97</v>
      </c>
      <c r="S71" s="220" t="s">
        <v>680</v>
      </c>
    </row>
    <row r="72" spans="12:19" x14ac:dyDescent="0.25">
      <c r="L72" s="131" t="s">
        <v>98</v>
      </c>
      <c r="M72" s="131" t="s">
        <v>99</v>
      </c>
      <c r="S72" s="220" t="s">
        <v>681</v>
      </c>
    </row>
    <row r="73" spans="12:19" x14ac:dyDescent="0.25">
      <c r="L73" s="131" t="s">
        <v>100</v>
      </c>
      <c r="M73" s="131" t="s">
        <v>101</v>
      </c>
      <c r="S73" s="220" t="s">
        <v>682</v>
      </c>
    </row>
    <row r="74" spans="12:19" x14ac:dyDescent="0.25">
      <c r="L74" s="131" t="s">
        <v>102</v>
      </c>
      <c r="M74" s="131" t="s">
        <v>103</v>
      </c>
      <c r="S74" s="220" t="s">
        <v>683</v>
      </c>
    </row>
    <row r="75" spans="12:19" x14ac:dyDescent="0.25">
      <c r="L75" s="131" t="s">
        <v>104</v>
      </c>
      <c r="M75" s="131" t="s">
        <v>105</v>
      </c>
      <c r="S75" s="220" t="s">
        <v>684</v>
      </c>
    </row>
    <row r="76" spans="12:19" x14ac:dyDescent="0.25">
      <c r="L76" s="131" t="s">
        <v>106</v>
      </c>
      <c r="M76" s="131" t="s">
        <v>107</v>
      </c>
      <c r="S76" s="220" t="s">
        <v>685</v>
      </c>
    </row>
    <row r="77" spans="12:19" x14ac:dyDescent="0.25">
      <c r="L77" s="131" t="s">
        <v>108</v>
      </c>
      <c r="M77" s="131" t="s">
        <v>109</v>
      </c>
      <c r="S77" s="220" t="s">
        <v>686</v>
      </c>
    </row>
    <row r="78" spans="12:19" x14ac:dyDescent="0.25">
      <c r="L78" s="131" t="s">
        <v>110</v>
      </c>
      <c r="M78" s="131" t="s">
        <v>111</v>
      </c>
      <c r="S78" s="220" t="s">
        <v>687</v>
      </c>
    </row>
    <row r="79" spans="12:19" x14ac:dyDescent="0.25">
      <c r="L79" s="131" t="s">
        <v>112</v>
      </c>
      <c r="M79" s="131" t="s">
        <v>113</v>
      </c>
      <c r="S79" s="220" t="s">
        <v>688</v>
      </c>
    </row>
    <row r="80" spans="12:19" x14ac:dyDescent="0.25">
      <c r="L80" s="131" t="s">
        <v>114</v>
      </c>
      <c r="M80" s="131" t="s">
        <v>115</v>
      </c>
      <c r="S80" s="220" t="s">
        <v>689</v>
      </c>
    </row>
    <row r="81" spans="12:19" x14ac:dyDescent="0.25">
      <c r="L81" s="131" t="s">
        <v>116</v>
      </c>
      <c r="M81" s="131" t="s">
        <v>117</v>
      </c>
      <c r="S81" s="220" t="s">
        <v>690</v>
      </c>
    </row>
    <row r="82" spans="12:19" x14ac:dyDescent="0.25">
      <c r="L82" s="131" t="s">
        <v>118</v>
      </c>
      <c r="M82" s="131" t="s">
        <v>119</v>
      </c>
      <c r="S82" s="220" t="s">
        <v>691</v>
      </c>
    </row>
    <row r="83" spans="12:19" x14ac:dyDescent="0.25">
      <c r="L83" s="131" t="s">
        <v>120</v>
      </c>
      <c r="M83" s="131" t="s">
        <v>121</v>
      </c>
    </row>
    <row r="84" spans="12:19" x14ac:dyDescent="0.25">
      <c r="L84" s="131" t="s">
        <v>122</v>
      </c>
      <c r="M84" s="131" t="s">
        <v>123</v>
      </c>
    </row>
    <row r="85" spans="12:19" x14ac:dyDescent="0.25">
      <c r="L85" s="131" t="s">
        <v>124</v>
      </c>
      <c r="M85" s="131" t="s">
        <v>125</v>
      </c>
    </row>
    <row r="86" spans="12:19" x14ac:dyDescent="0.25">
      <c r="L86" s="131" t="s">
        <v>126</v>
      </c>
      <c r="M86" s="131" t="s">
        <v>127</v>
      </c>
    </row>
    <row r="87" spans="12:19" x14ac:dyDescent="0.25">
      <c r="L87" s="131" t="s">
        <v>128</v>
      </c>
      <c r="M87" s="131" t="s">
        <v>129</v>
      </c>
    </row>
    <row r="88" spans="12:19" x14ac:dyDescent="0.25">
      <c r="L88" s="131" t="s">
        <v>130</v>
      </c>
      <c r="M88" s="131" t="s">
        <v>131</v>
      </c>
    </row>
    <row r="89" spans="12:19" x14ac:dyDescent="0.25">
      <c r="L89" s="131" t="s">
        <v>132</v>
      </c>
      <c r="M89" s="131" t="s">
        <v>133</v>
      </c>
    </row>
    <row r="90" spans="12:19" x14ac:dyDescent="0.25">
      <c r="L90" s="131" t="s">
        <v>134</v>
      </c>
      <c r="M90" s="131" t="s">
        <v>135</v>
      </c>
    </row>
    <row r="91" spans="12:19" x14ac:dyDescent="0.25">
      <c r="L91" s="131" t="s">
        <v>136</v>
      </c>
      <c r="M91" s="131" t="s">
        <v>137</v>
      </c>
    </row>
    <row r="92" spans="12:19" x14ac:dyDescent="0.25">
      <c r="L92" s="131" t="s">
        <v>138</v>
      </c>
      <c r="M92" s="131" t="s">
        <v>139</v>
      </c>
    </row>
    <row r="93" spans="12:19" x14ac:dyDescent="0.25">
      <c r="L93" s="131" t="s">
        <v>140</v>
      </c>
      <c r="M93" s="131" t="s">
        <v>141</v>
      </c>
    </row>
    <row r="94" spans="12:19" x14ac:dyDescent="0.25">
      <c r="L94" s="131" t="s">
        <v>142</v>
      </c>
      <c r="M94" s="131" t="s">
        <v>143</v>
      </c>
    </row>
    <row r="95" spans="12:19" x14ac:dyDescent="0.25">
      <c r="L95" s="131" t="s">
        <v>144</v>
      </c>
      <c r="M95" s="131" t="s">
        <v>145</v>
      </c>
    </row>
    <row r="96" spans="12:19" x14ac:dyDescent="0.25">
      <c r="L96" s="131" t="s">
        <v>146</v>
      </c>
      <c r="M96" s="131" t="s">
        <v>147</v>
      </c>
    </row>
    <row r="97" spans="12:13" x14ac:dyDescent="0.25">
      <c r="L97" s="131" t="s">
        <v>148</v>
      </c>
      <c r="M97" s="131" t="s">
        <v>149</v>
      </c>
    </row>
    <row r="98" spans="12:13" x14ac:dyDescent="0.25">
      <c r="L98" s="131" t="s">
        <v>150</v>
      </c>
      <c r="M98" s="131" t="s">
        <v>151</v>
      </c>
    </row>
    <row r="99" spans="12:13" x14ac:dyDescent="0.25">
      <c r="L99" s="131" t="s">
        <v>152</v>
      </c>
      <c r="M99" s="131" t="s">
        <v>153</v>
      </c>
    </row>
    <row r="100" spans="12:13" x14ac:dyDescent="0.25">
      <c r="L100" s="131" t="s">
        <v>154</v>
      </c>
      <c r="M100" s="131" t="s">
        <v>155</v>
      </c>
    </row>
    <row r="101" spans="12:13" x14ac:dyDescent="0.25">
      <c r="L101" s="131" t="s">
        <v>156</v>
      </c>
      <c r="M101" s="131" t="s">
        <v>157</v>
      </c>
    </row>
    <row r="102" spans="12:13" x14ac:dyDescent="0.25">
      <c r="L102" s="131" t="s">
        <v>158</v>
      </c>
      <c r="M102" s="131" t="s">
        <v>159</v>
      </c>
    </row>
    <row r="103" spans="12:13" x14ac:dyDescent="0.25">
      <c r="L103" s="131" t="s">
        <v>160</v>
      </c>
      <c r="M103" s="131" t="s">
        <v>161</v>
      </c>
    </row>
    <row r="104" spans="12:13" x14ac:dyDescent="0.25">
      <c r="L104" s="131" t="s">
        <v>162</v>
      </c>
      <c r="M104" s="131" t="s">
        <v>163</v>
      </c>
    </row>
    <row r="105" spans="12:13" x14ac:dyDescent="0.25">
      <c r="L105" s="131" t="s">
        <v>164</v>
      </c>
      <c r="M105" s="131" t="s">
        <v>165</v>
      </c>
    </row>
    <row r="106" spans="12:13" x14ac:dyDescent="0.25">
      <c r="L106" s="131" t="s">
        <v>166</v>
      </c>
      <c r="M106" s="131" t="s">
        <v>167</v>
      </c>
    </row>
    <row r="107" spans="12:13" x14ac:dyDescent="0.25">
      <c r="L107" s="131" t="s">
        <v>168</v>
      </c>
      <c r="M107" s="131" t="s">
        <v>169</v>
      </c>
    </row>
    <row r="108" spans="12:13" x14ac:dyDescent="0.25">
      <c r="L108" s="131" t="s">
        <v>170</v>
      </c>
      <c r="M108" s="131" t="s">
        <v>171</v>
      </c>
    </row>
    <row r="109" spans="12:13" x14ac:dyDescent="0.25">
      <c r="L109" s="131" t="s">
        <v>172</v>
      </c>
      <c r="M109" s="131" t="s">
        <v>173</v>
      </c>
    </row>
    <row r="110" spans="12:13" x14ac:dyDescent="0.25">
      <c r="L110" s="131" t="s">
        <v>174</v>
      </c>
      <c r="M110" s="131" t="s">
        <v>175</v>
      </c>
    </row>
    <row r="111" spans="12:13" x14ac:dyDescent="0.25">
      <c r="L111" s="131" t="s">
        <v>176</v>
      </c>
      <c r="M111" s="131" t="s">
        <v>177</v>
      </c>
    </row>
    <row r="112" spans="12:13" x14ac:dyDescent="0.25">
      <c r="L112" s="131" t="s">
        <v>178</v>
      </c>
      <c r="M112" s="131" t="s">
        <v>179</v>
      </c>
    </row>
    <row r="113" spans="12:13" x14ac:dyDescent="0.25">
      <c r="L113" s="131" t="s">
        <v>180</v>
      </c>
      <c r="M113" s="131" t="s">
        <v>181</v>
      </c>
    </row>
    <row r="114" spans="12:13" x14ac:dyDescent="0.25">
      <c r="L114" s="131" t="s">
        <v>182</v>
      </c>
      <c r="M114" s="131" t="s">
        <v>183</v>
      </c>
    </row>
    <row r="115" spans="12:13" x14ac:dyDescent="0.25">
      <c r="L115" s="131" t="s">
        <v>184</v>
      </c>
      <c r="M115" s="131" t="s">
        <v>185</v>
      </c>
    </row>
    <row r="116" spans="12:13" x14ac:dyDescent="0.25">
      <c r="L116" s="131" t="s">
        <v>186</v>
      </c>
      <c r="M116" s="131" t="s">
        <v>187</v>
      </c>
    </row>
    <row r="117" spans="12:13" x14ac:dyDescent="0.25">
      <c r="L117" s="131" t="s">
        <v>188</v>
      </c>
      <c r="M117" s="131" t="s">
        <v>189</v>
      </c>
    </row>
    <row r="118" spans="12:13" x14ac:dyDescent="0.25">
      <c r="L118" s="131" t="s">
        <v>190</v>
      </c>
      <c r="M118" s="131" t="s">
        <v>191</v>
      </c>
    </row>
    <row r="119" spans="12:13" x14ac:dyDescent="0.25">
      <c r="L119" s="131" t="s">
        <v>192</v>
      </c>
      <c r="M119" s="131" t="s">
        <v>193</v>
      </c>
    </row>
    <row r="120" spans="12:13" x14ac:dyDescent="0.25">
      <c r="L120" s="131" t="s">
        <v>194</v>
      </c>
      <c r="M120" s="131" t="s">
        <v>195</v>
      </c>
    </row>
    <row r="121" spans="12:13" x14ac:dyDescent="0.25">
      <c r="L121" s="131" t="s">
        <v>196</v>
      </c>
      <c r="M121" s="131" t="s">
        <v>197</v>
      </c>
    </row>
    <row r="122" spans="12:13" x14ac:dyDescent="0.25">
      <c r="L122" s="131" t="s">
        <v>198</v>
      </c>
      <c r="M122" s="131" t="s">
        <v>199</v>
      </c>
    </row>
    <row r="123" spans="12:13" x14ac:dyDescent="0.25">
      <c r="L123" s="131" t="s">
        <v>200</v>
      </c>
      <c r="M123" s="131" t="s">
        <v>201</v>
      </c>
    </row>
    <row r="124" spans="12:13" x14ac:dyDescent="0.25">
      <c r="L124" s="131" t="s">
        <v>202</v>
      </c>
      <c r="M124" s="131" t="s">
        <v>203</v>
      </c>
    </row>
    <row r="125" spans="12:13" x14ac:dyDescent="0.25">
      <c r="L125" s="131" t="s">
        <v>204</v>
      </c>
      <c r="M125" s="131" t="s">
        <v>205</v>
      </c>
    </row>
    <row r="126" spans="12:13" x14ac:dyDescent="0.25">
      <c r="L126" s="131" t="s">
        <v>206</v>
      </c>
      <c r="M126" s="131" t="s">
        <v>207</v>
      </c>
    </row>
    <row r="127" spans="12:13" x14ac:dyDescent="0.25">
      <c r="L127" s="131" t="s">
        <v>208</v>
      </c>
      <c r="M127" s="131" t="s">
        <v>209</v>
      </c>
    </row>
    <row r="128" spans="12:13" x14ac:dyDescent="0.25">
      <c r="L128" s="131" t="s">
        <v>210</v>
      </c>
      <c r="M128" s="131" t="s">
        <v>211</v>
      </c>
    </row>
    <row r="129" spans="12:13" x14ac:dyDescent="0.25">
      <c r="L129" s="131" t="s">
        <v>212</v>
      </c>
      <c r="M129" s="131" t="s">
        <v>213</v>
      </c>
    </row>
    <row r="130" spans="12:13" x14ac:dyDescent="0.25">
      <c r="L130" s="131" t="s">
        <v>214</v>
      </c>
      <c r="M130" s="131" t="s">
        <v>215</v>
      </c>
    </row>
    <row r="131" spans="12:13" x14ac:dyDescent="0.25">
      <c r="L131" s="131" t="s">
        <v>216</v>
      </c>
      <c r="M131" s="131" t="s">
        <v>217</v>
      </c>
    </row>
    <row r="132" spans="12:13" x14ac:dyDescent="0.25">
      <c r="L132" s="131" t="s">
        <v>218</v>
      </c>
      <c r="M132" s="131" t="s">
        <v>219</v>
      </c>
    </row>
    <row r="133" spans="12:13" x14ac:dyDescent="0.25">
      <c r="L133" s="131" t="s">
        <v>220</v>
      </c>
      <c r="M133" s="131" t="s">
        <v>221</v>
      </c>
    </row>
    <row r="134" spans="12:13" x14ac:dyDescent="0.25">
      <c r="L134" s="131" t="s">
        <v>222</v>
      </c>
      <c r="M134" s="131" t="s">
        <v>223</v>
      </c>
    </row>
    <row r="135" spans="12:13" x14ac:dyDescent="0.25">
      <c r="L135" s="131" t="s">
        <v>224</v>
      </c>
      <c r="M135" s="131" t="s">
        <v>225</v>
      </c>
    </row>
    <row r="136" spans="12:13" x14ac:dyDescent="0.25">
      <c r="L136" s="131" t="s">
        <v>226</v>
      </c>
      <c r="M136" s="131" t="s">
        <v>227</v>
      </c>
    </row>
    <row r="137" spans="12:13" x14ac:dyDescent="0.25">
      <c r="L137" s="131" t="s">
        <v>228</v>
      </c>
      <c r="M137" s="131" t="s">
        <v>229</v>
      </c>
    </row>
    <row r="138" spans="12:13" x14ac:dyDescent="0.25">
      <c r="L138" s="131" t="s">
        <v>230</v>
      </c>
      <c r="M138" s="131" t="s">
        <v>231</v>
      </c>
    </row>
    <row r="139" spans="12:13" x14ac:dyDescent="0.25">
      <c r="L139" s="131" t="s">
        <v>232</v>
      </c>
      <c r="M139" s="131" t="s">
        <v>233</v>
      </c>
    </row>
    <row r="140" spans="12:13" x14ac:dyDescent="0.25">
      <c r="L140" s="131" t="s">
        <v>234</v>
      </c>
      <c r="M140" s="131" t="s">
        <v>235</v>
      </c>
    </row>
    <row r="141" spans="12:13" x14ac:dyDescent="0.25">
      <c r="L141" s="131" t="s">
        <v>236</v>
      </c>
      <c r="M141" s="131" t="s">
        <v>237</v>
      </c>
    </row>
    <row r="142" spans="12:13" x14ac:dyDescent="0.25">
      <c r="L142" s="131" t="s">
        <v>238</v>
      </c>
      <c r="M142" s="131" t="s">
        <v>239</v>
      </c>
    </row>
    <row r="143" spans="12:13" x14ac:dyDescent="0.25">
      <c r="L143" s="131" t="s">
        <v>240</v>
      </c>
      <c r="M143" s="131" t="s">
        <v>241</v>
      </c>
    </row>
    <row r="144" spans="12:13" x14ac:dyDescent="0.25">
      <c r="L144" s="131" t="s">
        <v>242</v>
      </c>
      <c r="M144" s="131" t="s">
        <v>243</v>
      </c>
    </row>
    <row r="145" spans="12:13" x14ac:dyDescent="0.25">
      <c r="L145" s="131" t="s">
        <v>244</v>
      </c>
      <c r="M145" s="131" t="s">
        <v>245</v>
      </c>
    </row>
    <row r="146" spans="12:13" x14ac:dyDescent="0.25">
      <c r="L146" s="131" t="s">
        <v>246</v>
      </c>
      <c r="M146" s="131" t="s">
        <v>247</v>
      </c>
    </row>
    <row r="147" spans="12:13" x14ac:dyDescent="0.25">
      <c r="L147" s="131" t="s">
        <v>248</v>
      </c>
      <c r="M147" s="131" t="s">
        <v>249</v>
      </c>
    </row>
    <row r="148" spans="12:13" x14ac:dyDescent="0.25">
      <c r="L148" s="131" t="s">
        <v>250</v>
      </c>
      <c r="M148" s="131" t="s">
        <v>251</v>
      </c>
    </row>
    <row r="149" spans="12:13" x14ac:dyDescent="0.25">
      <c r="L149" s="131" t="s">
        <v>252</v>
      </c>
      <c r="M149" s="131" t="s">
        <v>253</v>
      </c>
    </row>
    <row r="150" spans="12:13" x14ac:dyDescent="0.25">
      <c r="L150" s="131" t="s">
        <v>254</v>
      </c>
      <c r="M150" s="131" t="s">
        <v>255</v>
      </c>
    </row>
    <row r="151" spans="12:13" x14ac:dyDescent="0.25">
      <c r="L151" s="131" t="s">
        <v>256</v>
      </c>
      <c r="M151" s="131" t="s">
        <v>257</v>
      </c>
    </row>
    <row r="152" spans="12:13" x14ac:dyDescent="0.25">
      <c r="L152" s="131" t="s">
        <v>258</v>
      </c>
      <c r="M152" s="131" t="s">
        <v>259</v>
      </c>
    </row>
    <row r="153" spans="12:13" x14ac:dyDescent="0.25">
      <c r="L153" s="131" t="s">
        <v>260</v>
      </c>
      <c r="M153" s="131" t="s">
        <v>261</v>
      </c>
    </row>
    <row r="154" spans="12:13" x14ac:dyDescent="0.25">
      <c r="L154" s="131" t="s">
        <v>262</v>
      </c>
      <c r="M154" s="131" t="s">
        <v>263</v>
      </c>
    </row>
    <row r="155" spans="12:13" x14ac:dyDescent="0.25">
      <c r="L155" s="131" t="s">
        <v>264</v>
      </c>
      <c r="M155" s="131" t="s">
        <v>265</v>
      </c>
    </row>
    <row r="156" spans="12:13" x14ac:dyDescent="0.25">
      <c r="L156" s="131" t="s">
        <v>266</v>
      </c>
      <c r="M156" s="131" t="s">
        <v>267</v>
      </c>
    </row>
    <row r="157" spans="12:13" x14ac:dyDescent="0.25">
      <c r="L157" s="131" t="s">
        <v>268</v>
      </c>
      <c r="M157" s="131" t="s">
        <v>269</v>
      </c>
    </row>
    <row r="158" spans="12:13" x14ac:dyDescent="0.25">
      <c r="L158" s="131" t="s">
        <v>270</v>
      </c>
      <c r="M158" s="131" t="s">
        <v>271</v>
      </c>
    </row>
    <row r="159" spans="12:13" x14ac:dyDescent="0.25">
      <c r="L159" s="131" t="s">
        <v>272</v>
      </c>
      <c r="M159" s="131" t="s">
        <v>273</v>
      </c>
    </row>
    <row r="160" spans="12:13" x14ac:dyDescent="0.25">
      <c r="L160" s="131" t="s">
        <v>274</v>
      </c>
      <c r="M160" s="131" t="s">
        <v>275</v>
      </c>
    </row>
    <row r="161" spans="12:13" x14ac:dyDescent="0.25">
      <c r="L161" s="131" t="s">
        <v>276</v>
      </c>
      <c r="M161" s="131" t="s">
        <v>277</v>
      </c>
    </row>
    <row r="162" spans="12:13" x14ac:dyDescent="0.25">
      <c r="L162" s="131" t="s">
        <v>278</v>
      </c>
      <c r="M162" s="131" t="s">
        <v>279</v>
      </c>
    </row>
    <row r="163" spans="12:13" x14ac:dyDescent="0.25">
      <c r="L163" s="131" t="s">
        <v>280</v>
      </c>
      <c r="M163" s="131" t="s">
        <v>281</v>
      </c>
    </row>
    <row r="164" spans="12:13" x14ac:dyDescent="0.25">
      <c r="L164" s="131" t="s">
        <v>282</v>
      </c>
      <c r="M164" s="131" t="s">
        <v>283</v>
      </c>
    </row>
    <row r="165" spans="12:13" x14ac:dyDescent="0.25">
      <c r="L165" s="131" t="s">
        <v>284</v>
      </c>
      <c r="M165" s="131" t="s">
        <v>285</v>
      </c>
    </row>
    <row r="166" spans="12:13" x14ac:dyDescent="0.25">
      <c r="L166" s="131" t="s">
        <v>286</v>
      </c>
      <c r="M166" s="131" t="s">
        <v>287</v>
      </c>
    </row>
    <row r="167" spans="12:13" x14ac:dyDescent="0.25">
      <c r="L167" s="131" t="s">
        <v>288</v>
      </c>
      <c r="M167" s="131" t="s">
        <v>289</v>
      </c>
    </row>
    <row r="168" spans="12:13" x14ac:dyDescent="0.25">
      <c r="L168" s="131" t="s">
        <v>290</v>
      </c>
      <c r="M168" s="131" t="s">
        <v>291</v>
      </c>
    </row>
    <row r="169" spans="12:13" x14ac:dyDescent="0.25">
      <c r="L169" s="131" t="s">
        <v>292</v>
      </c>
      <c r="M169" s="131" t="s">
        <v>293</v>
      </c>
    </row>
    <row r="170" spans="12:13" x14ac:dyDescent="0.25">
      <c r="L170" s="131" t="s">
        <v>294</v>
      </c>
      <c r="M170" s="131" t="s">
        <v>295</v>
      </c>
    </row>
    <row r="171" spans="12:13" x14ac:dyDescent="0.25">
      <c r="L171" s="131" t="s">
        <v>296</v>
      </c>
      <c r="M171" s="131" t="s">
        <v>297</v>
      </c>
    </row>
    <row r="172" spans="12:13" x14ac:dyDescent="0.25">
      <c r="L172" s="131" t="s">
        <v>298</v>
      </c>
      <c r="M172" s="131" t="s">
        <v>299</v>
      </c>
    </row>
    <row r="173" spans="12:13" x14ac:dyDescent="0.25">
      <c r="L173" s="131" t="s">
        <v>300</v>
      </c>
      <c r="M173" s="131" t="s">
        <v>301</v>
      </c>
    </row>
    <row r="174" spans="12:13" x14ac:dyDescent="0.25">
      <c r="L174" s="131" t="s">
        <v>302</v>
      </c>
      <c r="M174" s="131" t="s">
        <v>303</v>
      </c>
    </row>
    <row r="175" spans="12:13" x14ac:dyDescent="0.25">
      <c r="L175" s="131" t="s">
        <v>304</v>
      </c>
      <c r="M175" s="131" t="s">
        <v>305</v>
      </c>
    </row>
    <row r="176" spans="12:13" x14ac:dyDescent="0.25">
      <c r="L176" s="131" t="s">
        <v>306</v>
      </c>
      <c r="M176" s="131" t="s">
        <v>307</v>
      </c>
    </row>
    <row r="177" spans="12:13" x14ac:dyDescent="0.25">
      <c r="L177" s="131" t="s">
        <v>308</v>
      </c>
      <c r="M177" s="131" t="s">
        <v>309</v>
      </c>
    </row>
    <row r="178" spans="12:13" x14ac:dyDescent="0.25">
      <c r="L178" s="131" t="s">
        <v>310</v>
      </c>
      <c r="M178" s="131" t="s">
        <v>311</v>
      </c>
    </row>
    <row r="179" spans="12:13" x14ac:dyDescent="0.25">
      <c r="L179" s="131" t="s">
        <v>312</v>
      </c>
      <c r="M179" s="131" t="s">
        <v>313</v>
      </c>
    </row>
    <row r="180" spans="12:13" x14ac:dyDescent="0.25">
      <c r="L180" s="131" t="s">
        <v>314</v>
      </c>
      <c r="M180" s="131" t="s">
        <v>315</v>
      </c>
    </row>
    <row r="181" spans="12:13" x14ac:dyDescent="0.25">
      <c r="L181" s="131" t="s">
        <v>316</v>
      </c>
      <c r="M181" s="131" t="s">
        <v>317</v>
      </c>
    </row>
    <row r="182" spans="12:13" x14ac:dyDescent="0.25">
      <c r="L182" s="131" t="s">
        <v>318</v>
      </c>
      <c r="M182" s="131" t="s">
        <v>319</v>
      </c>
    </row>
    <row r="183" spans="12:13" x14ac:dyDescent="0.25">
      <c r="L183" s="131" t="s">
        <v>320</v>
      </c>
      <c r="M183" s="131" t="s">
        <v>321</v>
      </c>
    </row>
    <row r="184" spans="12:13" x14ac:dyDescent="0.25">
      <c r="L184" s="131" t="s">
        <v>322</v>
      </c>
      <c r="M184" s="131" t="s">
        <v>323</v>
      </c>
    </row>
    <row r="185" spans="12:13" x14ac:dyDescent="0.25">
      <c r="L185" s="131" t="s">
        <v>324</v>
      </c>
      <c r="M185" s="131" t="s">
        <v>325</v>
      </c>
    </row>
    <row r="186" spans="12:13" x14ac:dyDescent="0.25">
      <c r="L186" s="131" t="s">
        <v>326</v>
      </c>
      <c r="M186" s="131" t="s">
        <v>327</v>
      </c>
    </row>
    <row r="187" spans="12:13" x14ac:dyDescent="0.25">
      <c r="L187" s="131" t="s">
        <v>328</v>
      </c>
      <c r="M187" s="131" t="s">
        <v>329</v>
      </c>
    </row>
    <row r="188" spans="12:13" x14ac:dyDescent="0.25">
      <c r="L188" s="131" t="s">
        <v>330</v>
      </c>
      <c r="M188" s="131" t="s">
        <v>331</v>
      </c>
    </row>
    <row r="189" spans="12:13" x14ac:dyDescent="0.25">
      <c r="L189" s="131" t="s">
        <v>332</v>
      </c>
      <c r="M189" s="131" t="s">
        <v>333</v>
      </c>
    </row>
    <row r="190" spans="12:13" x14ac:dyDescent="0.25">
      <c r="L190" s="131" t="s">
        <v>334</v>
      </c>
      <c r="M190" s="131" t="s">
        <v>335</v>
      </c>
    </row>
    <row r="191" spans="12:13" x14ac:dyDescent="0.25">
      <c r="L191" s="131" t="s">
        <v>336</v>
      </c>
      <c r="M191" s="131" t="s">
        <v>337</v>
      </c>
    </row>
    <row r="192" spans="12:13" x14ac:dyDescent="0.25">
      <c r="L192" s="131" t="s">
        <v>338</v>
      </c>
      <c r="M192" s="131" t="s">
        <v>339</v>
      </c>
    </row>
    <row r="193" spans="12:13" x14ac:dyDescent="0.25">
      <c r="L193" s="131" t="s">
        <v>340</v>
      </c>
      <c r="M193" s="131" t="s">
        <v>341</v>
      </c>
    </row>
    <row r="194" spans="12:13" x14ac:dyDescent="0.25">
      <c r="L194" s="131" t="s">
        <v>342</v>
      </c>
      <c r="M194" s="131" t="s">
        <v>343</v>
      </c>
    </row>
    <row r="195" spans="12:13" x14ac:dyDescent="0.25">
      <c r="L195" s="131" t="s">
        <v>344</v>
      </c>
      <c r="M195" s="131" t="s">
        <v>345</v>
      </c>
    </row>
    <row r="196" spans="12:13" x14ac:dyDescent="0.25">
      <c r="L196" s="131" t="s">
        <v>346</v>
      </c>
      <c r="M196" s="131" t="s">
        <v>347</v>
      </c>
    </row>
    <row r="197" spans="12:13" x14ac:dyDescent="0.25">
      <c r="L197" s="131" t="s">
        <v>348</v>
      </c>
      <c r="M197" s="131" t="s">
        <v>349</v>
      </c>
    </row>
    <row r="198" spans="12:13" x14ac:dyDescent="0.25">
      <c r="L198" s="131" t="s">
        <v>350</v>
      </c>
      <c r="M198" s="131" t="s">
        <v>351</v>
      </c>
    </row>
    <row r="199" spans="12:13" x14ac:dyDescent="0.25">
      <c r="L199" s="131" t="s">
        <v>352</v>
      </c>
      <c r="M199" s="131" t="s">
        <v>353</v>
      </c>
    </row>
    <row r="200" spans="12:13" x14ac:dyDescent="0.25">
      <c r="L200" s="131" t="s">
        <v>354</v>
      </c>
      <c r="M200" s="131" t="s">
        <v>355</v>
      </c>
    </row>
    <row r="201" spans="12:13" x14ac:dyDescent="0.25">
      <c r="L201" s="131" t="s">
        <v>356</v>
      </c>
      <c r="M201" s="131" t="s">
        <v>357</v>
      </c>
    </row>
    <row r="202" spans="12:13" x14ac:dyDescent="0.25">
      <c r="L202" s="131" t="s">
        <v>358</v>
      </c>
      <c r="M202" s="131" t="s">
        <v>359</v>
      </c>
    </row>
    <row r="203" spans="12:13" x14ac:dyDescent="0.25">
      <c r="L203" s="131" t="s">
        <v>360</v>
      </c>
      <c r="M203" s="131" t="s">
        <v>361</v>
      </c>
    </row>
    <row r="204" spans="12:13" x14ac:dyDescent="0.25">
      <c r="L204" s="131" t="s">
        <v>362</v>
      </c>
      <c r="M204" s="131" t="s">
        <v>363</v>
      </c>
    </row>
    <row r="205" spans="12:13" x14ac:dyDescent="0.25">
      <c r="L205" s="131" t="s">
        <v>364</v>
      </c>
      <c r="M205" s="131" t="s">
        <v>365</v>
      </c>
    </row>
    <row r="206" spans="12:13" x14ac:dyDescent="0.25">
      <c r="L206" s="131" t="s">
        <v>366</v>
      </c>
      <c r="M206" s="131" t="s">
        <v>367</v>
      </c>
    </row>
    <row r="207" spans="12:13" x14ac:dyDescent="0.25">
      <c r="L207" s="131" t="s">
        <v>368</v>
      </c>
      <c r="M207" s="131" t="s">
        <v>369</v>
      </c>
    </row>
    <row r="208" spans="12:13" x14ac:dyDescent="0.25">
      <c r="L208" s="131" t="s">
        <v>370</v>
      </c>
      <c r="M208" s="131" t="s">
        <v>371</v>
      </c>
    </row>
    <row r="209" spans="12:13" x14ac:dyDescent="0.25">
      <c r="L209" s="131" t="s">
        <v>372</v>
      </c>
      <c r="M209" s="131" t="s">
        <v>373</v>
      </c>
    </row>
    <row r="210" spans="12:13" x14ac:dyDescent="0.25">
      <c r="L210" s="131" t="s">
        <v>374</v>
      </c>
      <c r="M210" s="131" t="s">
        <v>375</v>
      </c>
    </row>
    <row r="211" spans="12:13" x14ac:dyDescent="0.25">
      <c r="L211" s="131" t="s">
        <v>376</v>
      </c>
      <c r="M211" s="131" t="s">
        <v>377</v>
      </c>
    </row>
    <row r="212" spans="12:13" x14ac:dyDescent="0.25">
      <c r="L212" s="131" t="s">
        <v>378</v>
      </c>
      <c r="M212" s="131" t="s">
        <v>379</v>
      </c>
    </row>
    <row r="213" spans="12:13" x14ac:dyDescent="0.25">
      <c r="L213" s="131" t="s">
        <v>380</v>
      </c>
      <c r="M213" s="131" t="s">
        <v>381</v>
      </c>
    </row>
    <row r="214" spans="12:13" x14ac:dyDescent="0.25">
      <c r="L214" s="131" t="s">
        <v>382</v>
      </c>
      <c r="M214" s="131" t="s">
        <v>383</v>
      </c>
    </row>
    <row r="215" spans="12:13" x14ac:dyDescent="0.25">
      <c r="L215" s="131" t="s">
        <v>384</v>
      </c>
      <c r="M215" s="131" t="s">
        <v>385</v>
      </c>
    </row>
    <row r="216" spans="12:13" x14ac:dyDescent="0.25">
      <c r="L216" s="131" t="s">
        <v>386</v>
      </c>
      <c r="M216" s="131" t="s">
        <v>387</v>
      </c>
    </row>
    <row r="217" spans="12:13" x14ac:dyDescent="0.25">
      <c r="L217" s="131" t="s">
        <v>388</v>
      </c>
      <c r="M217" s="131" t="s">
        <v>389</v>
      </c>
    </row>
    <row r="218" spans="12:13" x14ac:dyDescent="0.25">
      <c r="L218" s="131" t="s">
        <v>390</v>
      </c>
      <c r="M218" s="131" t="s">
        <v>391</v>
      </c>
    </row>
    <row r="219" spans="12:13" x14ac:dyDescent="0.25">
      <c r="L219" s="131" t="s">
        <v>392</v>
      </c>
      <c r="M219" s="131" t="s">
        <v>393</v>
      </c>
    </row>
    <row r="220" spans="12:13" x14ac:dyDescent="0.25">
      <c r="L220" s="131" t="s">
        <v>394</v>
      </c>
      <c r="M220" s="131" t="s">
        <v>395</v>
      </c>
    </row>
    <row r="221" spans="12:13" x14ac:dyDescent="0.25">
      <c r="L221" s="131" t="s">
        <v>396</v>
      </c>
      <c r="M221" s="131" t="s">
        <v>397</v>
      </c>
    </row>
    <row r="222" spans="12:13" x14ac:dyDescent="0.25">
      <c r="L222" s="131" t="s">
        <v>398</v>
      </c>
      <c r="M222" s="131" t="s">
        <v>399</v>
      </c>
    </row>
    <row r="223" spans="12:13" x14ac:dyDescent="0.25">
      <c r="L223" s="131" t="s">
        <v>400</v>
      </c>
      <c r="M223" s="131" t="s">
        <v>401</v>
      </c>
    </row>
    <row r="224" spans="12:13" x14ac:dyDescent="0.25">
      <c r="L224" s="131" t="s">
        <v>402</v>
      </c>
      <c r="M224" s="131" t="s">
        <v>403</v>
      </c>
    </row>
    <row r="225" spans="12:13" x14ac:dyDescent="0.25">
      <c r="L225" s="131" t="s">
        <v>404</v>
      </c>
      <c r="M225" s="131" t="s">
        <v>405</v>
      </c>
    </row>
    <row r="226" spans="12:13" x14ac:dyDescent="0.25">
      <c r="L226" s="131" t="s">
        <v>406</v>
      </c>
      <c r="M226" s="131" t="s">
        <v>407</v>
      </c>
    </row>
    <row r="227" spans="12:13" x14ac:dyDescent="0.25">
      <c r="L227" s="131" t="s">
        <v>408</v>
      </c>
      <c r="M227" s="131" t="s">
        <v>409</v>
      </c>
    </row>
    <row r="228" spans="12:13" x14ac:dyDescent="0.25">
      <c r="L228" s="131" t="s">
        <v>410</v>
      </c>
      <c r="M228" s="131" t="s">
        <v>411</v>
      </c>
    </row>
    <row r="229" spans="12:13" x14ac:dyDescent="0.25">
      <c r="L229" s="131" t="s">
        <v>412</v>
      </c>
      <c r="M229" s="131" t="s">
        <v>413</v>
      </c>
    </row>
    <row r="230" spans="12:13" x14ac:dyDescent="0.25">
      <c r="L230" s="131" t="s">
        <v>414</v>
      </c>
      <c r="M230" s="131" t="s">
        <v>415</v>
      </c>
    </row>
    <row r="231" spans="12:13" x14ac:dyDescent="0.25">
      <c r="L231" s="131" t="s">
        <v>416</v>
      </c>
      <c r="M231" s="131" t="s">
        <v>417</v>
      </c>
    </row>
    <row r="232" spans="12:13" x14ac:dyDescent="0.25">
      <c r="L232" s="131" t="s">
        <v>418</v>
      </c>
      <c r="M232" s="131" t="s">
        <v>419</v>
      </c>
    </row>
    <row r="233" spans="12:13" x14ac:dyDescent="0.25">
      <c r="L233" s="131" t="s">
        <v>420</v>
      </c>
      <c r="M233" s="131" t="s">
        <v>421</v>
      </c>
    </row>
    <row r="234" spans="12:13" x14ac:dyDescent="0.25">
      <c r="L234" s="131" t="s">
        <v>422</v>
      </c>
      <c r="M234" s="131" t="s">
        <v>423</v>
      </c>
    </row>
    <row r="235" spans="12:13" x14ac:dyDescent="0.25">
      <c r="L235" s="131" t="s">
        <v>424</v>
      </c>
      <c r="M235" s="131" t="s">
        <v>425</v>
      </c>
    </row>
    <row r="236" spans="12:13" x14ac:dyDescent="0.25">
      <c r="L236" s="131" t="s">
        <v>426</v>
      </c>
      <c r="M236" s="131" t="s">
        <v>427</v>
      </c>
    </row>
    <row r="237" spans="12:13" x14ac:dyDescent="0.25">
      <c r="L237" s="131" t="s">
        <v>428</v>
      </c>
      <c r="M237" s="131" t="s">
        <v>429</v>
      </c>
    </row>
    <row r="238" spans="12:13" x14ac:dyDescent="0.25">
      <c r="L238" s="131" t="s">
        <v>430</v>
      </c>
      <c r="M238" s="131" t="s">
        <v>431</v>
      </c>
    </row>
    <row r="239" spans="12:13" x14ac:dyDescent="0.25">
      <c r="L239" s="131" t="s">
        <v>432</v>
      </c>
      <c r="M239" s="131" t="s">
        <v>433</v>
      </c>
    </row>
    <row r="240" spans="12:13" x14ac:dyDescent="0.25">
      <c r="L240" s="131" t="s">
        <v>434</v>
      </c>
      <c r="M240" s="131" t="s">
        <v>435</v>
      </c>
    </row>
    <row r="241" spans="12:13" x14ac:dyDescent="0.25">
      <c r="L241" s="131" t="s">
        <v>436</v>
      </c>
      <c r="M241" s="131" t="s">
        <v>437</v>
      </c>
    </row>
    <row r="242" spans="12:13" x14ac:dyDescent="0.25">
      <c r="L242" s="131" t="s">
        <v>438</v>
      </c>
      <c r="M242" s="131" t="s">
        <v>439</v>
      </c>
    </row>
    <row r="243" spans="12:13" x14ac:dyDescent="0.25">
      <c r="L243" s="131" t="s">
        <v>440</v>
      </c>
      <c r="M243" s="131" t="s">
        <v>441</v>
      </c>
    </row>
    <row r="244" spans="12:13" x14ac:dyDescent="0.25">
      <c r="L244" s="131" t="s">
        <v>442</v>
      </c>
      <c r="M244" s="131" t="s">
        <v>443</v>
      </c>
    </row>
    <row r="245" spans="12:13" x14ac:dyDescent="0.25">
      <c r="L245" s="131" t="s">
        <v>444</v>
      </c>
      <c r="M245" s="131" t="s">
        <v>445</v>
      </c>
    </row>
    <row r="246" spans="12:13" x14ac:dyDescent="0.25">
      <c r="L246" s="131" t="s">
        <v>446</v>
      </c>
      <c r="M246" s="131" t="s">
        <v>447</v>
      </c>
    </row>
    <row r="247" spans="12:13" x14ac:dyDescent="0.25">
      <c r="L247" s="131" t="s">
        <v>448</v>
      </c>
      <c r="M247" s="131" t="s">
        <v>449</v>
      </c>
    </row>
    <row r="248" spans="12:13" x14ac:dyDescent="0.25">
      <c r="L248" s="131" t="s">
        <v>450</v>
      </c>
      <c r="M248" s="131" t="s">
        <v>451</v>
      </c>
    </row>
    <row r="249" spans="12:13" x14ac:dyDescent="0.25">
      <c r="L249" s="131" t="s">
        <v>452</v>
      </c>
      <c r="M249" s="131" t="s">
        <v>453</v>
      </c>
    </row>
    <row r="250" spans="12:13" x14ac:dyDescent="0.25">
      <c r="L250" s="131" t="s">
        <v>454</v>
      </c>
      <c r="M250" s="131" t="s">
        <v>455</v>
      </c>
    </row>
    <row r="251" spans="12:13" x14ac:dyDescent="0.25">
      <c r="L251" s="131" t="s">
        <v>456</v>
      </c>
      <c r="M251" s="131" t="s">
        <v>457</v>
      </c>
    </row>
    <row r="252" spans="12:13" x14ac:dyDescent="0.25">
      <c r="L252" s="131" t="s">
        <v>458</v>
      </c>
      <c r="M252" s="131" t="s">
        <v>459</v>
      </c>
    </row>
    <row r="253" spans="12:13" x14ac:dyDescent="0.25">
      <c r="L253" s="131" t="s">
        <v>460</v>
      </c>
      <c r="M253" s="131" t="s">
        <v>461</v>
      </c>
    </row>
    <row r="254" spans="12:13" x14ac:dyDescent="0.25">
      <c r="L254" s="131" t="s">
        <v>462</v>
      </c>
      <c r="M254" s="131" t="s">
        <v>463</v>
      </c>
    </row>
    <row r="255" spans="12:13" x14ac:dyDescent="0.25">
      <c r="L255" s="131" t="s">
        <v>464</v>
      </c>
      <c r="M255" s="131" t="s">
        <v>465</v>
      </c>
    </row>
    <row r="256" spans="12:13" x14ac:dyDescent="0.25">
      <c r="L256" s="131" t="s">
        <v>466</v>
      </c>
      <c r="M256" s="131" t="s">
        <v>467</v>
      </c>
    </row>
    <row r="257" spans="12:13" x14ac:dyDescent="0.25">
      <c r="L257" s="131" t="s">
        <v>468</v>
      </c>
      <c r="M257" s="131" t="s">
        <v>469</v>
      </c>
    </row>
    <row r="258" spans="12:13" x14ac:dyDescent="0.25">
      <c r="L258" s="131" t="s">
        <v>470</v>
      </c>
      <c r="M258" s="131" t="s">
        <v>471</v>
      </c>
    </row>
    <row r="259" spans="12:13" x14ac:dyDescent="0.25">
      <c r="L259" s="131" t="s">
        <v>472</v>
      </c>
      <c r="M259" s="131" t="s">
        <v>473</v>
      </c>
    </row>
    <row r="260" spans="12:13" x14ac:dyDescent="0.25">
      <c r="L260" s="131" t="s">
        <v>474</v>
      </c>
      <c r="M260" s="131" t="s">
        <v>475</v>
      </c>
    </row>
    <row r="261" spans="12:13" x14ac:dyDescent="0.25">
      <c r="L261" s="131" t="s">
        <v>476</v>
      </c>
      <c r="M261" s="131" t="s">
        <v>477</v>
      </c>
    </row>
    <row r="262" spans="12:13" x14ac:dyDescent="0.25">
      <c r="L262" s="131" t="s">
        <v>478</v>
      </c>
      <c r="M262" s="131" t="s">
        <v>479</v>
      </c>
    </row>
    <row r="263" spans="12:13" x14ac:dyDescent="0.25">
      <c r="L263" s="131" t="s">
        <v>480</v>
      </c>
      <c r="M263" s="131" t="s">
        <v>481</v>
      </c>
    </row>
    <row r="264" spans="12:13" x14ac:dyDescent="0.25">
      <c r="L264" s="131" t="s">
        <v>482</v>
      </c>
      <c r="M264" s="131" t="s">
        <v>483</v>
      </c>
    </row>
    <row r="265" spans="12:13" x14ac:dyDescent="0.25">
      <c r="L265" s="131" t="s">
        <v>484</v>
      </c>
      <c r="M265" s="131" t="s">
        <v>485</v>
      </c>
    </row>
    <row r="266" spans="12:13" x14ac:dyDescent="0.25">
      <c r="L266" s="131" t="s">
        <v>486</v>
      </c>
      <c r="M266" s="131" t="s">
        <v>487</v>
      </c>
    </row>
    <row r="267" spans="12:13" x14ac:dyDescent="0.25">
      <c r="L267" s="131" t="s">
        <v>488</v>
      </c>
      <c r="M267" s="131" t="s">
        <v>489</v>
      </c>
    </row>
    <row r="268" spans="12:13" x14ac:dyDescent="0.25">
      <c r="L268" s="131" t="s">
        <v>490</v>
      </c>
      <c r="M268" s="131" t="s">
        <v>491</v>
      </c>
    </row>
    <row r="269" spans="12:13" x14ac:dyDescent="0.25">
      <c r="L269" s="131" t="s">
        <v>492</v>
      </c>
      <c r="M269" s="131" t="s">
        <v>493</v>
      </c>
    </row>
    <row r="271" spans="12:13" x14ac:dyDescent="0.25">
      <c r="L271" s="132" t="s">
        <v>498</v>
      </c>
    </row>
    <row r="272" spans="12:13" x14ac:dyDescent="0.25">
      <c r="L272" s="131" t="s">
        <v>499</v>
      </c>
    </row>
    <row r="273" spans="12:12" x14ac:dyDescent="0.25">
      <c r="L273" s="131" t="s">
        <v>500</v>
      </c>
    </row>
    <row r="274" spans="12:12" x14ac:dyDescent="0.25">
      <c r="L274" s="131" t="s">
        <v>501</v>
      </c>
    </row>
    <row r="275" spans="12:12" x14ac:dyDescent="0.25">
      <c r="L275" s="131" t="s">
        <v>502</v>
      </c>
    </row>
    <row r="276" spans="12:12" x14ac:dyDescent="0.25">
      <c r="L276" s="131" t="s">
        <v>503</v>
      </c>
    </row>
    <row r="277" spans="12:12" x14ac:dyDescent="0.25">
      <c r="L277" s="131" t="s">
        <v>504</v>
      </c>
    </row>
    <row r="278" spans="12:12" x14ac:dyDescent="0.25">
      <c r="L278" s="131" t="s">
        <v>505</v>
      </c>
    </row>
    <row r="279" spans="12:12" x14ac:dyDescent="0.25">
      <c r="L279" s="131" t="s">
        <v>506</v>
      </c>
    </row>
    <row r="280" spans="12:12" x14ac:dyDescent="0.25">
      <c r="L280" s="131" t="s">
        <v>507</v>
      </c>
    </row>
    <row r="281" spans="12:12" x14ac:dyDescent="0.25">
      <c r="L281" s="131" t="s">
        <v>508</v>
      </c>
    </row>
    <row r="282" spans="12:12" x14ac:dyDescent="0.25">
      <c r="L282" s="131" t="s">
        <v>509</v>
      </c>
    </row>
    <row r="283" spans="12:12" x14ac:dyDescent="0.25">
      <c r="L283" s="131" t="s">
        <v>510</v>
      </c>
    </row>
    <row r="284" spans="12:12" x14ac:dyDescent="0.25">
      <c r="L284" s="131" t="s">
        <v>511</v>
      </c>
    </row>
    <row r="285" spans="12:12" x14ac:dyDescent="0.25">
      <c r="L285" s="131" t="s">
        <v>512</v>
      </c>
    </row>
    <row r="286" spans="12:12" x14ac:dyDescent="0.25">
      <c r="L286" s="131" t="s">
        <v>513</v>
      </c>
    </row>
    <row r="287" spans="12:12" x14ac:dyDescent="0.25">
      <c r="L287" s="131" t="s">
        <v>514</v>
      </c>
    </row>
    <row r="288" spans="12:12" x14ac:dyDescent="0.25">
      <c r="L288" s="131" t="s">
        <v>515</v>
      </c>
    </row>
    <row r="289" spans="12:12" x14ac:dyDescent="0.25">
      <c r="L289" s="131" t="s">
        <v>516</v>
      </c>
    </row>
    <row r="290" spans="12:12" x14ac:dyDescent="0.25">
      <c r="L290" s="131" t="s">
        <v>517</v>
      </c>
    </row>
    <row r="291" spans="12:12" x14ac:dyDescent="0.25">
      <c r="L291" s="131" t="s">
        <v>518</v>
      </c>
    </row>
    <row r="292" spans="12:12" x14ac:dyDescent="0.25">
      <c r="L292" s="131" t="s">
        <v>519</v>
      </c>
    </row>
    <row r="293" spans="12:12" x14ac:dyDescent="0.25">
      <c r="L293" s="131" t="s">
        <v>520</v>
      </c>
    </row>
    <row r="294" spans="12:12" x14ac:dyDescent="0.25">
      <c r="L294" s="131" t="s">
        <v>521</v>
      </c>
    </row>
    <row r="295" spans="12:12" x14ac:dyDescent="0.25">
      <c r="L295" s="131" t="s">
        <v>522</v>
      </c>
    </row>
    <row r="296" spans="12:12" x14ac:dyDescent="0.25">
      <c r="L296" s="131" t="s">
        <v>523</v>
      </c>
    </row>
    <row r="297" spans="12:12" x14ac:dyDescent="0.25">
      <c r="L297" s="131" t="s">
        <v>524</v>
      </c>
    </row>
    <row r="298" spans="12:12" x14ac:dyDescent="0.25">
      <c r="L298" s="131" t="s">
        <v>525</v>
      </c>
    </row>
    <row r="300" spans="12:12" x14ac:dyDescent="0.25">
      <c r="L300" s="132" t="s">
        <v>526</v>
      </c>
    </row>
    <row r="301" spans="12:12" x14ac:dyDescent="0.25">
      <c r="L301" s="131" t="s">
        <v>527</v>
      </c>
    </row>
    <row r="302" spans="12:12" x14ac:dyDescent="0.25">
      <c r="L302" s="131" t="s">
        <v>528</v>
      </c>
    </row>
    <row r="303" spans="12:12" x14ac:dyDescent="0.25">
      <c r="L303" s="131" t="s">
        <v>529</v>
      </c>
    </row>
    <row r="304" spans="12:12" x14ac:dyDescent="0.25">
      <c r="L304" s="131" t="s">
        <v>530</v>
      </c>
    </row>
    <row r="305" spans="12:12" x14ac:dyDescent="0.25">
      <c r="L305" s="131" t="s">
        <v>531</v>
      </c>
    </row>
    <row r="306" spans="12:12" x14ac:dyDescent="0.25">
      <c r="L306" s="131" t="s">
        <v>532</v>
      </c>
    </row>
    <row r="307" spans="12:12" x14ac:dyDescent="0.25">
      <c r="L307" s="131" t="s">
        <v>533</v>
      </c>
    </row>
    <row r="308" spans="12:12" x14ac:dyDescent="0.25">
      <c r="L308" s="131" t="s">
        <v>534</v>
      </c>
    </row>
    <row r="309" spans="12:12" x14ac:dyDescent="0.25">
      <c r="L309" s="131" t="s">
        <v>535</v>
      </c>
    </row>
    <row r="310" spans="12:12" x14ac:dyDescent="0.25">
      <c r="L310" s="131" t="s">
        <v>536</v>
      </c>
    </row>
    <row r="311" spans="12:12" x14ac:dyDescent="0.25">
      <c r="L311" s="131" t="s">
        <v>537</v>
      </c>
    </row>
    <row r="312" spans="12:12" x14ac:dyDescent="0.25">
      <c r="L312" s="131" t="s">
        <v>538</v>
      </c>
    </row>
    <row r="313" spans="12:12" x14ac:dyDescent="0.25">
      <c r="L313" s="131" t="s">
        <v>539</v>
      </c>
    </row>
    <row r="314" spans="12:12" x14ac:dyDescent="0.25">
      <c r="L314" s="131" t="s">
        <v>540</v>
      </c>
    </row>
    <row r="315" spans="12:12" x14ac:dyDescent="0.25">
      <c r="L315" s="131" t="s">
        <v>541</v>
      </c>
    </row>
    <row r="316" spans="12:12" x14ac:dyDescent="0.25">
      <c r="L316" s="131" t="s">
        <v>542</v>
      </c>
    </row>
    <row r="317" spans="12:12" x14ac:dyDescent="0.25">
      <c r="L317" s="131" t="s">
        <v>543</v>
      </c>
    </row>
    <row r="318" spans="12:12" x14ac:dyDescent="0.25">
      <c r="L318" s="131" t="s">
        <v>544</v>
      </c>
    </row>
    <row r="319" spans="12:12" x14ac:dyDescent="0.25">
      <c r="L319" s="131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5" t="str">
        <f ca="1">B1</f>
        <v>base_w</v>
      </c>
      <c r="E1" s="1"/>
    </row>
    <row r="2" spans="1:9" x14ac:dyDescent="0.25">
      <c r="A2" s="6" t="s">
        <v>603</v>
      </c>
      <c r="B2" s="235" t="s">
        <v>570</v>
      </c>
      <c r="C2" s="243"/>
      <c r="D2" s="236"/>
      <c r="E2" s="1"/>
    </row>
    <row r="3" spans="1:9" x14ac:dyDescent="0.25">
      <c r="A3" s="6" t="s">
        <v>603</v>
      </c>
      <c r="B3" s="234" t="s">
        <v>700</v>
      </c>
      <c r="C3" s="244"/>
      <c r="D3" s="236" t="s">
        <v>695</v>
      </c>
      <c r="E3" s="1"/>
    </row>
    <row r="4" spans="1:9" x14ac:dyDescent="0.25">
      <c r="A4" s="6" t="s">
        <v>603</v>
      </c>
      <c r="B4" s="234" t="s">
        <v>571</v>
      </c>
      <c r="C4" s="244"/>
      <c r="D4" s="236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42"/>
      <c r="D5" s="236"/>
      <c r="E5" s="1"/>
    </row>
    <row r="6" spans="1:9" ht="24.75" customHeight="1" x14ac:dyDescent="0.25">
      <c r="A6" s="6">
        <v>10</v>
      </c>
      <c r="B6" s="239" t="s">
        <v>549</v>
      </c>
      <c r="C6" s="239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5" t="s">
        <v>570</v>
      </c>
      <c r="C2" s="243"/>
      <c r="D2" s="236"/>
      <c r="E2" s="1"/>
    </row>
    <row r="3" spans="1:10" x14ac:dyDescent="0.25">
      <c r="A3" s="6" t="s">
        <v>603</v>
      </c>
      <c r="B3" s="234" t="s">
        <v>700</v>
      </c>
      <c r="C3" s="244"/>
      <c r="D3" s="236" t="s">
        <v>694</v>
      </c>
      <c r="E3" s="1"/>
    </row>
    <row r="4" spans="1:10" x14ac:dyDescent="0.25">
      <c r="A4" s="6" t="s">
        <v>603</v>
      </c>
      <c r="B4" s="234" t="s">
        <v>571</v>
      </c>
      <c r="C4" s="244"/>
      <c r="D4" s="236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42"/>
      <c r="D5" s="236"/>
      <c r="E5" s="1"/>
    </row>
    <row r="6" spans="1:10" ht="24" customHeight="1" x14ac:dyDescent="0.25">
      <c r="A6" s="6">
        <v>10</v>
      </c>
      <c r="B6" s="239" t="s">
        <v>549</v>
      </c>
      <c r="C6" s="239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5" t="s">
        <v>570</v>
      </c>
      <c r="C2" s="240"/>
      <c r="D2" s="236"/>
      <c r="E2" s="1"/>
    </row>
    <row r="3" spans="1:24" ht="29.25" customHeight="1" x14ac:dyDescent="0.25">
      <c r="A3" s="6" t="s">
        <v>603</v>
      </c>
      <c r="B3" s="234" t="s">
        <v>572</v>
      </c>
      <c r="C3" s="241"/>
      <c r="D3" s="237" t="s">
        <v>518</v>
      </c>
      <c r="E3" s="1"/>
    </row>
    <row r="4" spans="1:24" ht="15.75" customHeight="1" x14ac:dyDescent="0.25">
      <c r="A4" s="6" t="s">
        <v>603</v>
      </c>
      <c r="B4" s="234" t="s">
        <v>571</v>
      </c>
      <c r="C4" s="12"/>
      <c r="D4" s="238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42"/>
      <c r="D5" s="236"/>
      <c r="E5" s="1"/>
    </row>
    <row r="6" spans="1:24" ht="24" customHeight="1" x14ac:dyDescent="0.25">
      <c r="A6" s="6">
        <v>10</v>
      </c>
      <c r="B6" s="239" t="s">
        <v>549</v>
      </c>
      <c r="C6" s="239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A13" zoomScale="90" zoomScaleNormal="90" workbookViewId="0">
      <selection activeCell="D7" sqref="D7"/>
    </sheetView>
  </sheetViews>
  <sheetFormatPr defaultColWidth="9.140625" defaultRowHeight="12.75" x14ac:dyDescent="0.2"/>
  <cols>
    <col min="1" max="1" width="2.7109375" style="228" customWidth="1"/>
    <col min="2" max="2" width="38.5703125" style="162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2" hidden="1" customWidth="1"/>
    <col min="12" max="12" width="9.140625" style="162" customWidth="1"/>
    <col min="13" max="13" width="16.7109375" style="162" customWidth="1"/>
    <col min="14" max="16384" width="9.140625" style="162"/>
  </cols>
  <sheetData>
    <row r="1" spans="1:12" s="158" customFormat="1" ht="15" customHeight="1" x14ac:dyDescent="0.2">
      <c r="A1" s="223"/>
      <c r="B1" s="155"/>
      <c r="C1" s="156"/>
      <c r="D1" s="156"/>
      <c r="E1" s="156"/>
      <c r="F1" s="156"/>
      <c r="G1" s="156"/>
      <c r="H1" s="156"/>
      <c r="I1" s="156"/>
      <c r="J1" s="157"/>
    </row>
    <row r="2" spans="1:12" s="158" customFormat="1" ht="20.25" customHeight="1" x14ac:dyDescent="0.2">
      <c r="A2" s="224"/>
      <c r="B2" s="159" t="s">
        <v>623</v>
      </c>
      <c r="C2" s="160"/>
      <c r="D2" s="160"/>
      <c r="E2" s="160"/>
      <c r="F2" s="160"/>
      <c r="G2" s="160"/>
      <c r="H2" s="160"/>
      <c r="I2" s="160"/>
    </row>
    <row r="3" spans="1:12" s="158" customFormat="1" ht="14.25" customHeight="1" x14ac:dyDescent="0.2">
      <c r="A3" s="223"/>
      <c r="B3" s="155"/>
      <c r="C3" s="156"/>
      <c r="D3" s="156"/>
      <c r="E3" s="156"/>
      <c r="F3" s="156"/>
      <c r="G3" s="156"/>
      <c r="H3" s="156"/>
      <c r="I3" s="156"/>
    </row>
    <row r="4" spans="1:12" ht="46.15" customHeight="1" x14ac:dyDescent="0.2">
      <c r="A4" s="225"/>
      <c r="B4" s="255" t="s">
        <v>606</v>
      </c>
      <c r="C4" s="255"/>
      <c r="D4" s="255"/>
      <c r="E4" s="255"/>
      <c r="F4" s="255"/>
      <c r="G4" s="255"/>
      <c r="H4" s="255"/>
      <c r="I4" s="255"/>
    </row>
    <row r="5" spans="1:12" ht="17.45" customHeight="1" x14ac:dyDescent="0.2">
      <c r="A5" s="226"/>
      <c r="B5" s="163"/>
      <c r="C5" s="164"/>
      <c r="D5" s="164"/>
      <c r="E5" s="164"/>
      <c r="F5" s="165"/>
      <c r="G5" s="166" t="s">
        <v>607</v>
      </c>
      <c r="H5" s="167"/>
      <c r="I5" s="168"/>
      <c r="J5" s="169"/>
      <c r="K5" s="169"/>
      <c r="L5" s="161"/>
    </row>
    <row r="6" spans="1:12" ht="44.45" customHeight="1" x14ac:dyDescent="0.2">
      <c r="A6" s="227">
        <v>19</v>
      </c>
      <c r="B6" s="170" t="s">
        <v>608</v>
      </c>
      <c r="C6" s="171" t="s">
        <v>609</v>
      </c>
      <c r="D6" s="171" t="str">
        <f>CONCATENATE("Gross 
Floor Area
",IF(Setup!$F$9="SI Units","(sq m)","(sq ft)"))</f>
        <v>Gross 
Floor Area
(sq ft)</v>
      </c>
      <c r="E6" s="171" t="s">
        <v>610</v>
      </c>
      <c r="F6" s="171" t="s">
        <v>611</v>
      </c>
      <c r="G6" s="172" t="s">
        <v>612</v>
      </c>
      <c r="H6" s="173" t="s">
        <v>613</v>
      </c>
      <c r="I6" s="174" t="s">
        <v>614</v>
      </c>
      <c r="J6" s="175" t="s">
        <v>615</v>
      </c>
      <c r="K6" s="221" t="s">
        <v>616</v>
      </c>
      <c r="L6" s="222"/>
    </row>
    <row r="7" spans="1:12" ht="15" customHeight="1" x14ac:dyDescent="0.2">
      <c r="A7" s="176"/>
      <c r="B7" s="177"/>
      <c r="C7" s="181"/>
      <c r="D7" s="179"/>
      <c r="E7" s="178"/>
      <c r="F7" s="178"/>
      <c r="G7" s="178"/>
      <c r="H7" s="182"/>
      <c r="I7" s="180" t="str">
        <f t="shared" ref="I7" si="0">IFERROR((G7/K7)*H7," ")</f>
        <v xml:space="preserve"> </v>
      </c>
      <c r="J7" s="162">
        <f t="shared" ref="J7" si="1">E7*D7</f>
        <v>0</v>
      </c>
      <c r="K7" s="162">
        <f t="shared" ref="K7" si="2">E7/7</f>
        <v>0</v>
      </c>
    </row>
    <row r="8" spans="1:12" ht="15" customHeight="1" x14ac:dyDescent="0.2">
      <c r="A8" s="176"/>
      <c r="B8" s="177"/>
      <c r="C8" s="181"/>
      <c r="D8" s="179"/>
      <c r="E8" s="178"/>
      <c r="F8" s="178"/>
      <c r="G8" s="178"/>
      <c r="H8" s="182"/>
      <c r="I8" s="180" t="str">
        <f t="shared" ref="I8:I16" si="3">IFERROR((G8/K8)*H8," ")</f>
        <v xml:space="preserve"> </v>
      </c>
      <c r="J8" s="162">
        <f t="shared" ref="J8:J16" si="4">E8*D8</f>
        <v>0</v>
      </c>
      <c r="K8" s="162">
        <f t="shared" ref="K8:K16" si="5">E8/7</f>
        <v>0</v>
      </c>
    </row>
    <row r="9" spans="1:12" ht="15" customHeight="1" x14ac:dyDescent="0.2">
      <c r="A9" s="176"/>
      <c r="B9" s="177"/>
      <c r="C9" s="181"/>
      <c r="D9" s="179"/>
      <c r="E9" s="178"/>
      <c r="F9" s="178"/>
      <c r="G9" s="178"/>
      <c r="H9" s="182"/>
      <c r="I9" s="180" t="str">
        <f t="shared" si="3"/>
        <v xml:space="preserve"> </v>
      </c>
      <c r="J9" s="162">
        <f t="shared" si="4"/>
        <v>0</v>
      </c>
      <c r="K9" s="162">
        <f t="shared" si="5"/>
        <v>0</v>
      </c>
    </row>
    <row r="10" spans="1:12" ht="15" customHeight="1" x14ac:dyDescent="0.2">
      <c r="A10" s="176"/>
      <c r="B10" s="177"/>
      <c r="C10" s="181"/>
      <c r="D10" s="179"/>
      <c r="E10" s="178"/>
      <c r="F10" s="178"/>
      <c r="G10" s="178"/>
      <c r="H10" s="182"/>
      <c r="I10" s="180" t="str">
        <f t="shared" si="3"/>
        <v xml:space="preserve"> </v>
      </c>
      <c r="J10" s="162">
        <f t="shared" si="4"/>
        <v>0</v>
      </c>
      <c r="K10" s="162">
        <f t="shared" si="5"/>
        <v>0</v>
      </c>
    </row>
    <row r="11" spans="1:12" ht="15" customHeight="1" x14ac:dyDescent="0.2">
      <c r="A11" s="176"/>
      <c r="B11" s="177"/>
      <c r="C11" s="181"/>
      <c r="D11" s="179"/>
      <c r="E11" s="178"/>
      <c r="F11" s="178"/>
      <c r="G11" s="178"/>
      <c r="H11" s="182"/>
      <c r="I11" s="180" t="str">
        <f t="shared" si="3"/>
        <v xml:space="preserve"> </v>
      </c>
      <c r="J11" s="162">
        <f t="shared" si="4"/>
        <v>0</v>
      </c>
      <c r="K11" s="162">
        <f t="shared" si="5"/>
        <v>0</v>
      </c>
    </row>
    <row r="12" spans="1:12" ht="15" customHeight="1" x14ac:dyDescent="0.2">
      <c r="A12" s="176"/>
      <c r="B12" s="177"/>
      <c r="C12" s="181"/>
      <c r="D12" s="179"/>
      <c r="E12" s="178"/>
      <c r="F12" s="178"/>
      <c r="G12" s="178"/>
      <c r="H12" s="182"/>
      <c r="I12" s="180" t="str">
        <f t="shared" si="3"/>
        <v xml:space="preserve"> </v>
      </c>
      <c r="J12" s="162">
        <f t="shared" si="4"/>
        <v>0</v>
      </c>
      <c r="K12" s="162">
        <f t="shared" si="5"/>
        <v>0</v>
      </c>
    </row>
    <row r="13" spans="1:12" ht="15" customHeight="1" x14ac:dyDescent="0.2">
      <c r="A13" s="176"/>
      <c r="B13" s="177"/>
      <c r="C13" s="181"/>
      <c r="D13" s="179"/>
      <c r="E13" s="178"/>
      <c r="F13" s="178"/>
      <c r="G13" s="178"/>
      <c r="H13" s="182"/>
      <c r="I13" s="180" t="str">
        <f t="shared" si="3"/>
        <v xml:space="preserve"> </v>
      </c>
      <c r="J13" s="162">
        <f t="shared" si="4"/>
        <v>0</v>
      </c>
      <c r="K13" s="162">
        <f t="shared" si="5"/>
        <v>0</v>
      </c>
    </row>
    <row r="14" spans="1:12" ht="15" customHeight="1" x14ac:dyDescent="0.2">
      <c r="A14" s="176"/>
      <c r="B14" s="177"/>
      <c r="C14" s="181"/>
      <c r="D14" s="179"/>
      <c r="E14" s="178"/>
      <c r="F14" s="178"/>
      <c r="G14" s="178"/>
      <c r="H14" s="182"/>
      <c r="I14" s="180" t="str">
        <f t="shared" si="3"/>
        <v xml:space="preserve"> </v>
      </c>
      <c r="J14" s="162">
        <f t="shared" si="4"/>
        <v>0</v>
      </c>
      <c r="K14" s="162">
        <f t="shared" si="5"/>
        <v>0</v>
      </c>
    </row>
    <row r="15" spans="1:12" ht="15" customHeight="1" x14ac:dyDescent="0.2">
      <c r="A15" s="176"/>
      <c r="B15" s="177"/>
      <c r="C15" s="181"/>
      <c r="D15" s="179"/>
      <c r="E15" s="178"/>
      <c r="F15" s="178"/>
      <c r="G15" s="178"/>
      <c r="H15" s="182"/>
      <c r="I15" s="180" t="str">
        <f t="shared" si="3"/>
        <v xml:space="preserve"> </v>
      </c>
      <c r="J15" s="162">
        <f t="shared" si="4"/>
        <v>0</v>
      </c>
      <c r="K15" s="162">
        <f t="shared" si="5"/>
        <v>0</v>
      </c>
    </row>
    <row r="16" spans="1:12" ht="15" customHeight="1" x14ac:dyDescent="0.2">
      <c r="A16" s="176"/>
      <c r="B16" s="177"/>
      <c r="C16" s="181"/>
      <c r="D16" s="179"/>
      <c r="E16" s="178"/>
      <c r="F16" s="178"/>
      <c r="G16" s="178"/>
      <c r="H16" s="182"/>
      <c r="I16" s="180" t="str">
        <f t="shared" si="3"/>
        <v xml:space="preserve"> </v>
      </c>
      <c r="J16" s="162">
        <f t="shared" si="4"/>
        <v>0</v>
      </c>
      <c r="K16" s="162">
        <f t="shared" si="5"/>
        <v>0</v>
      </c>
    </row>
    <row r="17" spans="1:11" ht="15" customHeight="1" x14ac:dyDescent="0.2">
      <c r="A17" s="176"/>
      <c r="B17" s="177"/>
      <c r="C17" s="181"/>
      <c r="D17" s="179"/>
      <c r="E17" s="178"/>
      <c r="F17" s="178"/>
      <c r="G17" s="178"/>
      <c r="H17" s="182"/>
      <c r="I17" s="180" t="str">
        <f t="shared" ref="I17:I18" si="6">IFERROR((G17/K17)*H17," ")</f>
        <v xml:space="preserve"> </v>
      </c>
      <c r="J17" s="162">
        <f t="shared" ref="J17:J18" si="7">E17*D17</f>
        <v>0</v>
      </c>
      <c r="K17" s="162">
        <f t="shared" ref="K17:K18" si="8">E17/7</f>
        <v>0</v>
      </c>
    </row>
    <row r="18" spans="1:11" ht="15" customHeight="1" x14ac:dyDescent="0.2">
      <c r="A18" s="176"/>
      <c r="B18" s="177"/>
      <c r="C18" s="181"/>
      <c r="D18" s="179"/>
      <c r="E18" s="178"/>
      <c r="F18" s="178"/>
      <c r="G18" s="178"/>
      <c r="H18" s="182"/>
      <c r="I18" s="180" t="str">
        <f t="shared" si="6"/>
        <v xml:space="preserve"> </v>
      </c>
      <c r="J18" s="162">
        <f t="shared" si="7"/>
        <v>0</v>
      </c>
      <c r="K18" s="162">
        <f t="shared" si="8"/>
        <v>0</v>
      </c>
    </row>
    <row r="19" spans="1:11" ht="20.25" customHeight="1" x14ac:dyDescent="0.2">
      <c r="A19" s="176" t="s">
        <v>551</v>
      </c>
      <c r="B19" s="256" t="s">
        <v>617</v>
      </c>
      <c r="C19" s="257"/>
      <c r="D19" s="248">
        <f>IFERROR(SUM(D7:D18)," ")</f>
        <v>0</v>
      </c>
      <c r="E19" s="183">
        <f>SUM(E7:E18)</f>
        <v>0</v>
      </c>
      <c r="F19" s="183">
        <f>SUM(F7:F18)+J22</f>
        <v>0</v>
      </c>
      <c r="G19" s="183">
        <f>SUM(G7:G18)</f>
        <v>0</v>
      </c>
      <c r="H19" s="183">
        <f>SUM(H7:H18)</f>
        <v>0</v>
      </c>
      <c r="I19" s="184">
        <f>SUM(I7:I18)</f>
        <v>0</v>
      </c>
    </row>
    <row r="20" spans="1:11" ht="33.75" customHeight="1" x14ac:dyDescent="0.2"/>
    <row r="21" spans="1:11" x14ac:dyDescent="0.2">
      <c r="B21" s="161"/>
    </row>
    <row r="22" spans="1:11" x14ac:dyDescent="0.2">
      <c r="A22" s="229"/>
      <c r="B22" s="258" t="str">
        <f>CONCATENATE("Gross 
Floor Area 
",IF(Setup!$F$9="SI Units","(sq m)","(sq ft)"))</f>
        <v>Gross 
Floor Area 
(sq ft)</v>
      </c>
      <c r="C22" s="259"/>
      <c r="D22" s="246">
        <f>IFERROR(D19," ")</f>
        <v>0</v>
      </c>
      <c r="F22" s="186"/>
      <c r="G22" s="260" t="s">
        <v>618</v>
      </c>
      <c r="H22" s="261"/>
      <c r="J22" s="230">
        <f>(G24*H24)/8</f>
        <v>0</v>
      </c>
    </row>
    <row r="23" spans="1:11" ht="38.25" x14ac:dyDescent="0.2">
      <c r="A23" s="229"/>
      <c r="B23" s="253" t="s">
        <v>619</v>
      </c>
      <c r="C23" s="262"/>
      <c r="D23" s="247" t="str">
        <f>IFERROR(SUM(J7:J18)/D19," ")</f>
        <v xml:space="preserve"> </v>
      </c>
      <c r="F23" s="187"/>
      <c r="G23" s="188" t="s">
        <v>620</v>
      </c>
      <c r="H23" s="188" t="s">
        <v>621</v>
      </c>
    </row>
    <row r="24" spans="1:11" x14ac:dyDescent="0.2">
      <c r="A24" s="229"/>
      <c r="B24" s="253" t="s">
        <v>622</v>
      </c>
      <c r="C24" s="254"/>
      <c r="D24" s="189">
        <f>IFERROR((F19+I19)," ")</f>
        <v>0</v>
      </c>
      <c r="G24" s="190"/>
      <c r="H24" s="191"/>
    </row>
    <row r="25" spans="1:11" x14ac:dyDescent="0.2">
      <c r="C25" s="192"/>
      <c r="D25" s="192"/>
      <c r="I25" s="187"/>
    </row>
    <row r="26" spans="1:11" x14ac:dyDescent="0.2">
      <c r="I26" s="187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0"/>
  <sheetViews>
    <sheetView zoomScaleNormal="100" workbookViewId="0">
      <selection activeCell="E12" sqref="E12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65" t="s">
        <v>570</v>
      </c>
      <c r="C2" s="266"/>
      <c r="D2" s="42" t="s">
        <v>605</v>
      </c>
      <c r="E2" s="1"/>
    </row>
    <row r="3" spans="1:6" x14ac:dyDescent="0.25">
      <c r="A3" s="6" t="s">
        <v>603</v>
      </c>
      <c r="B3" s="263" t="s">
        <v>700</v>
      </c>
      <c r="C3" s="264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8" t="s">
        <v>634</v>
      </c>
      <c r="C5" s="154"/>
      <c r="D5" s="217"/>
      <c r="E5" s="1"/>
    </row>
    <row r="6" spans="1:6" ht="48" customHeight="1" x14ac:dyDescent="0.25">
      <c r="A6" s="6">
        <v>12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 t="str">
        <f>INDEX(Dates,1,E7)</f>
        <v/>
      </c>
      <c r="C7" s="114" t="str">
        <f t="shared" ref="C7" si="0">B7</f>
        <v/>
      </c>
      <c r="D7" s="115">
        <f>HLOOKUP(B7,ReadingTable,2,FALSE)</f>
        <v>0</v>
      </c>
      <c r="E7" s="116">
        <f>IF(E6="",7,E6+1)</f>
        <v>7</v>
      </c>
    </row>
    <row r="8" spans="1:6" x14ac:dyDescent="0.25">
      <c r="A8" s="6" t="s">
        <v>551</v>
      </c>
      <c r="B8" s="45"/>
      <c r="C8" s="45"/>
      <c r="D8" s="45"/>
      <c r="E8" s="45"/>
    </row>
    <row r="9" spans="1:6" x14ac:dyDescent="0.25">
      <c r="A9" s="6"/>
      <c r="B9" s="45"/>
      <c r="C9" s="45"/>
      <c r="D9" s="45"/>
      <c r="E9" s="45"/>
    </row>
    <row r="10" spans="1:6" ht="36.6" customHeight="1" x14ac:dyDescent="0.25">
      <c r="A10" s="6" t="s">
        <v>551</v>
      </c>
      <c r="B10" s="34"/>
      <c r="C10" s="34"/>
      <c r="D10" s="34"/>
      <c r="E10" s="1"/>
    </row>
  </sheetData>
  <sheetProtection algorithmName="SHA-512" hashValue="kP3KMWpqV0irsqYnYAkQMFRKLKA6f5vs8u4bva8ag6OryU1NE8ZI3J+JM6Zk4b6o3J56bVptDC5vYsIS1pGtOg==" saltValue="jIAdknf1U6xwNR+SiOA9b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7" xr:uid="{00000000-0002-0000-0500-000001000000}">
      <formula1>1</formula1>
      <formula2>73051</formula2>
    </dataValidation>
    <dataValidation type="decimal" allowBlank="1" showInputMessage="1" showErrorMessage="1" error="Please enter a valid reading." sqref="D7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2</xdr:col>
                    <xdr:colOff>447675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9</xdr:row>
                    <xdr:rowOff>400050</xdr:rowOff>
                  </from>
                  <to>
                    <xdr:col>3</xdr:col>
                    <xdr:colOff>981075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24"/>
  <sheetViews>
    <sheetView showGridLines="0" zoomScale="90" zoomScaleNormal="90" workbookViewId="0">
      <pane ySplit="2" topLeftCell="A3" activePane="bottomLeft" state="frozen"/>
      <selection pane="bottomLeft" activeCell="C3" sqref="C3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7" ht="36" customHeight="1" x14ac:dyDescent="0.25">
      <c r="A1" s="85" t="s">
        <v>603</v>
      </c>
      <c r="B1" s="86" t="s">
        <v>632</v>
      </c>
    </row>
    <row r="2" spans="1:7" ht="33.75" customHeight="1" x14ac:dyDescent="0.25">
      <c r="A2" s="85" t="s">
        <v>603</v>
      </c>
      <c r="B2" s="88" t="s">
        <v>583</v>
      </c>
      <c r="C2" s="89" t="s">
        <v>709</v>
      </c>
      <c r="D2" s="90" t="s">
        <v>584</v>
      </c>
      <c r="E2" s="91" t="s">
        <v>585</v>
      </c>
      <c r="F2" s="92" t="s">
        <v>595</v>
      </c>
    </row>
    <row r="3" spans="1:7" x14ac:dyDescent="0.25">
      <c r="B3" s="122"/>
      <c r="C3" s="232"/>
      <c r="D3" s="143"/>
      <c r="E3" s="152"/>
      <c r="F3" s="144"/>
    </row>
    <row r="4" spans="1:7" x14ac:dyDescent="0.25">
      <c r="B4" s="122"/>
      <c r="C4" s="232"/>
      <c r="D4" s="143"/>
      <c r="E4" s="152"/>
      <c r="F4" s="144"/>
    </row>
    <row r="5" spans="1:7" ht="39" customHeight="1" x14ac:dyDescent="0.25"/>
    <row r="6" spans="1:7" s="93" customFormat="1" ht="51" customHeight="1" x14ac:dyDescent="0.2">
      <c r="A6" s="85" t="s">
        <v>593</v>
      </c>
      <c r="B6" s="86" t="s">
        <v>587</v>
      </c>
      <c r="F6" s="94"/>
      <c r="G6" s="95">
        <f>IF(G8="",1,0)</f>
        <v>1</v>
      </c>
    </row>
    <row r="7" spans="1:7" ht="21" customHeight="1" x14ac:dyDescent="0.25">
      <c r="A7" s="85" t="s">
        <v>603</v>
      </c>
      <c r="B7" s="267" t="s">
        <v>583</v>
      </c>
      <c r="C7" s="96"/>
      <c r="D7" s="96"/>
      <c r="E7" s="96"/>
      <c r="F7" s="97"/>
      <c r="G7" s="98" t="s">
        <v>584</v>
      </c>
    </row>
    <row r="8" spans="1:7" ht="15" customHeight="1" x14ac:dyDescent="0.25">
      <c r="A8" s="85" t="s">
        <v>603</v>
      </c>
      <c r="B8" s="268"/>
      <c r="C8" s="99"/>
      <c r="D8" s="99"/>
      <c r="E8" s="99"/>
      <c r="F8" s="100"/>
      <c r="G8" s="231" t="str">
        <f t="array" ref="G8">IFERROR(INDEX($D$3:$D$5, MATCH(0,IF(ISBLANK($D$3:$D$5),1,COUNTIF($F$8:F8, $D$3:$D$5)), 0)),"")</f>
        <v/>
      </c>
    </row>
    <row r="9" spans="1:7" ht="27.75" customHeight="1" x14ac:dyDescent="0.25">
      <c r="A9" s="85" t="s">
        <v>603</v>
      </c>
      <c r="B9" s="269"/>
      <c r="C9" s="101"/>
      <c r="D9" s="101"/>
      <c r="E9" s="101"/>
      <c r="F9" s="102"/>
      <c r="G9" s="103" t="s">
        <v>594</v>
      </c>
    </row>
    <row r="10" spans="1:7" ht="15" customHeight="1" x14ac:dyDescent="0.25">
      <c r="A10" s="85">
        <f>IF(B10="",1,0)</f>
        <v>1</v>
      </c>
      <c r="B10" s="104" t="str">
        <f t="array" ref="B10">IFERROR(INDEX($B$3:$B$5, MATCH(0,IF(ISBLANK($B$3:$B$5),1,COUNTIF($B$9:B9, $B$3:$B$5)), 0)),"")</f>
        <v/>
      </c>
      <c r="C10" s="105"/>
      <c r="D10" s="105"/>
      <c r="E10" s="105"/>
      <c r="F10" s="106"/>
      <c r="G10" s="145" t="str">
        <f t="array" ref="G10">IFERROR(PERCENTILE(IF($B$3:$B$5=$B10,IF($D$3:$D$5=G$8,IF($F$3:$F$5&lt;&gt;"",$F$3:$F$5))),0.95),"")</f>
        <v/>
      </c>
    </row>
    <row r="11" spans="1:7" ht="15" customHeight="1" x14ac:dyDescent="0.25">
      <c r="A11" s="85">
        <f t="shared" ref="A11" si="0">IF(B11="",1,0)</f>
        <v>1</v>
      </c>
      <c r="B11" s="104" t="str">
        <f t="array" ref="B11">IFERROR(INDEX($B$3:$B$5, MATCH(0,IF(ISBLANK($B$3:$B$5),1,COUNTIF($B$9:B10, $B$3:$B$5)), 0)),"")</f>
        <v/>
      </c>
      <c r="C11" s="105"/>
      <c r="D11" s="105"/>
      <c r="E11" s="105"/>
      <c r="F11" s="106"/>
      <c r="G11" s="145" t="str">
        <f t="array" ref="G11">IFERROR(PERCENTILE(IF($B$3:$B$5=$B11,IF($D$3:$D$5=G$8,IF($F$3:$F$5&lt;&gt;"",$F$3:$F$5))),0.95),"")</f>
        <v/>
      </c>
    </row>
    <row r="12" spans="1:7" ht="9" customHeight="1" x14ac:dyDescent="0.25">
      <c r="G12" s="146"/>
    </row>
    <row r="13" spans="1:7" ht="9" customHeight="1" x14ac:dyDescent="0.25">
      <c r="A13" s="85" t="s">
        <v>551</v>
      </c>
      <c r="G13" s="146"/>
    </row>
    <row r="14" spans="1:7" ht="15" hidden="1" customHeight="1" x14ac:dyDescent="0.25">
      <c r="G14" s="107" t="str">
        <f>G8</f>
        <v/>
      </c>
    </row>
    <row r="15" spans="1:7" ht="20.25" customHeight="1" x14ac:dyDescent="0.25">
      <c r="B15" s="108" t="s">
        <v>588</v>
      </c>
      <c r="C15" s="109"/>
      <c r="D15" s="109"/>
      <c r="E15" s="109"/>
      <c r="F15" s="110"/>
      <c r="G15" s="147">
        <f>IFERROR(AVERAGE(G10:G13),0)</f>
        <v>0</v>
      </c>
    </row>
    <row r="16" spans="1:7" ht="24.75" customHeight="1" x14ac:dyDescent="0.25"/>
    <row r="17" spans="1:5" ht="28.5" hidden="1" customHeight="1" x14ac:dyDescent="0.25">
      <c r="A17" s="85">
        <v>10</v>
      </c>
      <c r="B17" s="111" t="s">
        <v>589</v>
      </c>
      <c r="C17" s="111" t="s">
        <v>590</v>
      </c>
      <c r="D17" s="111" t="s">
        <v>591</v>
      </c>
      <c r="E17" s="112"/>
    </row>
    <row r="18" spans="1:5" ht="15" hidden="1" customHeight="1" x14ac:dyDescent="0.25">
      <c r="A18" s="113">
        <f>IFERROR(IF(D18="",1,0),1)</f>
        <v>0</v>
      </c>
      <c r="B18" s="114" t="str">
        <f>INDEX(Dates,1,E18)</f>
        <v/>
      </c>
      <c r="C18" s="114" t="str">
        <f t="shared" ref="C18" si="1">B18</f>
        <v/>
      </c>
      <c r="D18" s="115">
        <f>HLOOKUP(B18,ReadingTable,2,FALSE)</f>
        <v>0</v>
      </c>
      <c r="E18" s="116">
        <f>IF(E17="",7,E17+1)</f>
        <v>7</v>
      </c>
    </row>
    <row r="19" spans="1:5" hidden="1" x14ac:dyDescent="0.25"/>
    <row r="20" spans="1:5" ht="24" hidden="1" x14ac:dyDescent="0.25">
      <c r="B20" s="117" t="s">
        <v>586</v>
      </c>
      <c r="C20" s="117" t="s">
        <v>592</v>
      </c>
    </row>
    <row r="21" spans="1:5" hidden="1" x14ac:dyDescent="0.25">
      <c r="B21" s="118">
        <f t="array" ref="B21">SUM(IF($D$3:$D$5&lt;&gt;"",1/COUNTIF($D$3:$D$5, $D$3:$D$5), 0))</f>
        <v>0</v>
      </c>
      <c r="C21" s="118">
        <f t="array" ref="C21">SUM(IF($B$3:$B$5&lt;&gt;"",1/COUNTIF($B$3:$B$5, $B$3:$B$5), 0))</f>
        <v>0</v>
      </c>
    </row>
    <row r="22" spans="1:5" hidden="1" x14ac:dyDescent="0.25"/>
    <row r="23" spans="1:5" ht="25.5" hidden="1" x14ac:dyDescent="0.25">
      <c r="B23" s="111" t="s">
        <v>597</v>
      </c>
    </row>
    <row r="24" spans="1:5" ht="15" hidden="1" x14ac:dyDescent="0.25">
      <c r="A24" s="28"/>
      <c r="B24" s="48"/>
      <c r="C24" s="48"/>
      <c r="D24" s="84"/>
      <c r="E24" s="119"/>
    </row>
  </sheetData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0"/>
  <sheetViews>
    <sheetView zoomScaleNormal="100" workbookViewId="0">
      <selection activeCell="G11" sqref="G11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65" t="s">
        <v>570</v>
      </c>
      <c r="C2" s="266"/>
      <c r="D2" s="41" t="s">
        <v>629</v>
      </c>
      <c r="E2" s="45"/>
    </row>
    <row r="3" spans="1:5" x14ac:dyDescent="0.25">
      <c r="A3" s="6" t="s">
        <v>603</v>
      </c>
      <c r="B3" s="263" t="s">
        <v>700</v>
      </c>
      <c r="C3" s="264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218" t="s">
        <v>635</v>
      </c>
      <c r="C5" s="154"/>
      <c r="D5" s="217"/>
      <c r="E5" s="1"/>
    </row>
    <row r="6" spans="1:5" ht="33.75" customHeight="1" x14ac:dyDescent="0.25">
      <c r="A6" s="6">
        <v>12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 t="str">
        <f>INDEX(DatesVOC,1,E7)</f>
        <v/>
      </c>
      <c r="C7" s="66" t="str">
        <f t="shared" ref="C7" si="0">B7</f>
        <v/>
      </c>
      <c r="D7" s="67">
        <f t="array" ref="D7">HLOOKUP(B7,ReadingTableVOC,2,FALSE)</f>
        <v>0</v>
      </c>
      <c r="E7" s="82">
        <f>IF(E6="",8,E6+1)</f>
        <v>8</v>
      </c>
    </row>
    <row r="8" spans="1:5" ht="15" customHeight="1" x14ac:dyDescent="0.25">
      <c r="A8" s="6" t="s">
        <v>551</v>
      </c>
      <c r="B8" s="47"/>
      <c r="C8" s="47"/>
      <c r="D8" s="47"/>
      <c r="E8" s="45"/>
    </row>
    <row r="9" spans="1:5" ht="15" hidden="1" customHeight="1" x14ac:dyDescent="0.25">
      <c r="A9" s="6"/>
      <c r="B9" s="47"/>
      <c r="C9" s="47"/>
      <c r="D9" s="47"/>
      <c r="E9" s="45"/>
    </row>
    <row r="10" spans="1:5" ht="33.6" customHeight="1" x14ac:dyDescent="0.25">
      <c r="A10" s="6" t="s">
        <v>551</v>
      </c>
      <c r="B10" s="47"/>
      <c r="C10" s="47"/>
      <c r="D10" s="47"/>
      <c r="E10" s="45"/>
    </row>
  </sheetData>
  <sheetProtection algorithmName="SHA-512" hashValue="06CURWwK+AFCPQU8Dy1gQ+QFB9gRKweYN63KhBByQtKHKNQnmcxUkjfZnbSGmEvJueN084mOxDTbPJ0hIaTJsw==" saltValue="7BvtHlhWUmdL5SDVhTQ8V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 xr:uid="{00000000-0002-0000-0700-000000000000}"/>
    <dataValidation type="decimal" allowBlank="1" showInputMessage="1" showErrorMessage="1" error="Please enter a valid reading." sqref="D7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22"/>
  <sheetViews>
    <sheetView showGridLines="0" topLeftCell="C1" zoomScale="90" zoomScaleNormal="90" workbookViewId="0">
      <pane ySplit="2" topLeftCell="A3" activePane="bottomLeft" state="frozen"/>
      <selection pane="bottomLeft" activeCell="C3" sqref="C3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633</v>
      </c>
    </row>
    <row r="2" spans="1:8" ht="33.75" customHeight="1" x14ac:dyDescent="0.25">
      <c r="A2" s="52" t="s">
        <v>603</v>
      </c>
      <c r="B2" s="55" t="s">
        <v>583</v>
      </c>
      <c r="C2" s="56" t="s">
        <v>709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/>
      <c r="C3" s="123"/>
      <c r="D3" s="143"/>
      <c r="E3" s="152"/>
      <c r="F3" s="153"/>
      <c r="G3" s="144"/>
    </row>
    <row r="4" spans="1:8" x14ac:dyDescent="0.25">
      <c r="B4" s="122"/>
      <c r="C4" s="123"/>
      <c r="D4" s="143"/>
      <c r="E4" s="152"/>
      <c r="F4" s="153"/>
      <c r="G4" s="144"/>
      <c r="H4" s="60"/>
    </row>
    <row r="5" spans="1:8" ht="39" customHeight="1" x14ac:dyDescent="0.25"/>
    <row r="6" spans="1:8" s="73" customFormat="1" ht="51" customHeight="1" x14ac:dyDescent="0.2">
      <c r="A6" s="52" t="s">
        <v>593</v>
      </c>
      <c r="B6" s="54" t="s">
        <v>587</v>
      </c>
      <c r="G6" s="74"/>
      <c r="H6" s="83">
        <f>IF(H8="",1,0)</f>
        <v>1</v>
      </c>
    </row>
    <row r="7" spans="1:8" ht="21" customHeight="1" x14ac:dyDescent="0.25">
      <c r="A7" s="52" t="s">
        <v>603</v>
      </c>
      <c r="B7" s="270" t="s">
        <v>583</v>
      </c>
      <c r="C7" s="75"/>
      <c r="D7" s="75"/>
      <c r="E7" s="75"/>
      <c r="F7" s="75"/>
      <c r="G7" s="76"/>
      <c r="H7" s="61" t="s">
        <v>584</v>
      </c>
    </row>
    <row r="8" spans="1:8" ht="15" customHeight="1" x14ac:dyDescent="0.25">
      <c r="A8" s="52" t="s">
        <v>603</v>
      </c>
      <c r="B8" s="271"/>
      <c r="C8" s="77"/>
      <c r="D8" s="77"/>
      <c r="E8" s="77"/>
      <c r="F8" s="77"/>
      <c r="G8" s="78"/>
      <c r="H8" s="233" t="str">
        <f t="array" ref="H8">IFERROR(INDEX($D$3:$D$5, MATCH(0,IF(ISBLANK($D$3:$D$5),1,COUNTIF($G$8:G8, $D$3:$D$5)), 0)),"")</f>
        <v/>
      </c>
    </row>
    <row r="9" spans="1:8" ht="27.75" customHeight="1" x14ac:dyDescent="0.25">
      <c r="A9" s="52" t="s">
        <v>603</v>
      </c>
      <c r="B9" s="272"/>
      <c r="C9" s="79"/>
      <c r="D9" s="79"/>
      <c r="E9" s="79"/>
      <c r="F9" s="79"/>
      <c r="G9" s="80"/>
      <c r="H9" s="121" t="s">
        <v>600</v>
      </c>
    </row>
    <row r="10" spans="1:8" ht="15" customHeight="1" x14ac:dyDescent="0.25">
      <c r="A10" s="52">
        <f>IF(B10="",1,0)</f>
        <v>1</v>
      </c>
      <c r="B10" s="62" t="str">
        <f t="array" ref="B10">IFERROR(INDEX($B$3:$B$5, MATCH(0,IF(ISBLANK($B$3:$B$5),1,COUNTIF($B$9:B9, $B$3:$B$5)), 0)),"")</f>
        <v/>
      </c>
      <c r="C10" s="63"/>
      <c r="D10" s="63"/>
      <c r="E10" s="63"/>
      <c r="F10" s="63"/>
      <c r="G10" s="72"/>
      <c r="H10" s="148" t="str">
        <f t="array" ref="H10">IFERROR(AVERAGE(IF($B$3:$B$5=$B10,IF($D$3:$D$5=H$8,IF($G$3:$G$5&lt;&gt;"",$G$3:$G$5)))),"")</f>
        <v/>
      </c>
    </row>
    <row r="11" spans="1:8" ht="15" customHeight="1" x14ac:dyDescent="0.25">
      <c r="A11" s="52">
        <f t="shared" ref="A11" si="0">IF(B11="",1,0)</f>
        <v>1</v>
      </c>
      <c r="B11" s="62" t="str">
        <f t="array" ref="B11">IFERROR(INDEX($B$3:$B$5, MATCH(0,IF(ISBLANK($B$3:$B$5),1,COUNTIF($B$9:B10, $B$3:$B$5)), 0)),"")</f>
        <v/>
      </c>
      <c r="C11" s="63"/>
      <c r="D11" s="63"/>
      <c r="E11" s="63"/>
      <c r="F11" s="63"/>
      <c r="G11" s="72"/>
      <c r="H11" s="148" t="str">
        <f t="array" ref="H11">IFERROR(AVERAGE(IF($B$3:$B$5=$B11,IF($D$3:$D$5=H$8,IF($G$3:$G$5&lt;&gt;"",$G$3:$G$5)))),"")</f>
        <v/>
      </c>
    </row>
    <row r="12" spans="1:8" ht="9" customHeight="1" x14ac:dyDescent="0.25">
      <c r="H12" s="149"/>
    </row>
    <row r="13" spans="1:8" ht="9" customHeight="1" x14ac:dyDescent="0.25">
      <c r="A13" s="52" t="s">
        <v>551</v>
      </c>
      <c r="H13" s="149"/>
    </row>
    <row r="14" spans="1:8" ht="15" hidden="1" customHeight="1" x14ac:dyDescent="0.25">
      <c r="H14" s="150" t="str">
        <f>H8</f>
        <v/>
      </c>
    </row>
    <row r="15" spans="1:8" ht="20.25" customHeight="1" x14ac:dyDescent="0.25">
      <c r="B15" s="69" t="s">
        <v>601</v>
      </c>
      <c r="C15" s="70"/>
      <c r="D15" s="70"/>
      <c r="E15" s="70"/>
      <c r="F15" s="70"/>
      <c r="G15" s="71"/>
      <c r="H15" s="151">
        <f>IFERROR(MAX(H10:H13),0)</f>
        <v>0</v>
      </c>
    </row>
    <row r="16" spans="1:8" ht="24.75" customHeight="1" x14ac:dyDescent="0.25"/>
    <row r="17" spans="1:6" ht="28.5" hidden="1" customHeight="1" x14ac:dyDescent="0.25">
      <c r="A17" s="52">
        <v>10</v>
      </c>
      <c r="B17" s="64" t="s">
        <v>589</v>
      </c>
      <c r="C17" s="64" t="s">
        <v>590</v>
      </c>
      <c r="D17" s="64" t="s">
        <v>596</v>
      </c>
      <c r="E17" s="81"/>
      <c r="F17" s="81"/>
    </row>
    <row r="18" spans="1:6" ht="15" hidden="1" customHeight="1" x14ac:dyDescent="0.25">
      <c r="A18" s="51">
        <f>IFERROR(IF(D18="",1,0),1)</f>
        <v>0</v>
      </c>
      <c r="B18" s="66" t="str">
        <f>INDEX(DatesVOC,1,E18)</f>
        <v/>
      </c>
      <c r="C18" s="66" t="str">
        <f t="shared" ref="C18" si="1">B18</f>
        <v/>
      </c>
      <c r="D18" s="67">
        <f t="array" ref="D18">HLOOKUP(B18,ReadingTableVOC,2,FALSE)</f>
        <v>0</v>
      </c>
      <c r="E18" s="82">
        <f>IF(E17="",8,E17+1)</f>
        <v>8</v>
      </c>
      <c r="F18" s="82"/>
    </row>
    <row r="19" spans="1:6" hidden="1" x14ac:dyDescent="0.25"/>
    <row r="20" spans="1:6" ht="24" hidden="1" x14ac:dyDescent="0.25">
      <c r="B20" s="65" t="s">
        <v>586</v>
      </c>
      <c r="C20" s="65" t="s">
        <v>592</v>
      </c>
    </row>
    <row r="21" spans="1:6" hidden="1" x14ac:dyDescent="0.25">
      <c r="B21" s="68">
        <f t="array" ref="B21">SUM(IF($D$3:$D$5&lt;&gt;"",1/COUNTIF($D$3:$D$5, $D$3:$D$5), 0))</f>
        <v>0</v>
      </c>
      <c r="C21" s="68">
        <f t="array" ref="C21">SUM(IF($B$3:$B$5&lt;&gt;"",1/COUNTIF($B$3:$B$5, $B$3:$B$5), 0))</f>
        <v>0</v>
      </c>
    </row>
    <row r="22" spans="1:6" hidden="1" x14ac:dyDescent="0.25"/>
  </sheetData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10" sqref="B10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9" x14ac:dyDescent="0.25">
      <c r="A1" s="6" t="s">
        <v>603</v>
      </c>
      <c r="B1" s="1"/>
      <c r="C1" s="1"/>
      <c r="D1" s="1"/>
      <c r="E1" s="1"/>
      <c r="F1" s="1"/>
    </row>
    <row r="2" spans="1:9" x14ac:dyDescent="0.25">
      <c r="A2" s="6" t="s">
        <v>603</v>
      </c>
      <c r="B2" s="265" t="s">
        <v>570</v>
      </c>
      <c r="C2" s="273"/>
      <c r="D2" s="266"/>
      <c r="E2" s="43" t="s">
        <v>577</v>
      </c>
      <c r="F2" s="1"/>
    </row>
    <row r="3" spans="1:9" ht="15" customHeight="1" x14ac:dyDescent="0.25">
      <c r="A3" s="6" t="s">
        <v>603</v>
      </c>
      <c r="B3" s="263" t="s">
        <v>700</v>
      </c>
      <c r="C3" s="274"/>
      <c r="D3" s="264"/>
      <c r="E3" s="43" t="s">
        <v>561</v>
      </c>
      <c r="F3" s="1"/>
    </row>
    <row r="4" spans="1:9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9" x14ac:dyDescent="0.25">
      <c r="A5" s="6" t="s">
        <v>603</v>
      </c>
      <c r="B5" s="1"/>
      <c r="C5" s="1"/>
      <c r="D5" s="1"/>
      <c r="E5" s="1"/>
      <c r="F5" s="1"/>
    </row>
    <row r="6" spans="1:9" ht="25.5" x14ac:dyDescent="0.25">
      <c r="A6" s="6">
        <v>10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9" x14ac:dyDescent="0.25">
      <c r="A7" s="6"/>
      <c r="B7" s="48"/>
      <c r="C7" s="48"/>
      <c r="D7" s="30"/>
      <c r="E7" s="30"/>
      <c r="F7" s="1"/>
    </row>
    <row r="8" spans="1:9" x14ac:dyDescent="0.25">
      <c r="A8" s="28"/>
      <c r="B8" s="33"/>
      <c r="C8" s="33"/>
      <c r="D8" s="36"/>
      <c r="E8" s="37"/>
      <c r="F8" s="1"/>
    </row>
    <row r="9" spans="1:9" hidden="1" x14ac:dyDescent="0.25">
      <c r="A9" s="7">
        <v>0</v>
      </c>
      <c r="B9" s="35"/>
      <c r="C9" s="35"/>
      <c r="D9" s="38"/>
      <c r="E9" s="39"/>
      <c r="F9" s="1"/>
    </row>
    <row r="10" spans="1:9" ht="25.5" customHeight="1" x14ac:dyDescent="0.25">
      <c r="A10" s="6" t="s">
        <v>551</v>
      </c>
      <c r="B10" s="34"/>
      <c r="C10" s="34"/>
      <c r="D10" s="34"/>
      <c r="E10" s="40"/>
      <c r="F10" s="1"/>
    </row>
    <row r="12" spans="1:9" x14ac:dyDescent="0.25">
      <c r="I12" s="3" t="s">
        <v>565</v>
      </c>
    </row>
    <row r="13" spans="1:9" x14ac:dyDescent="0.25">
      <c r="I13" s="3" t="s">
        <v>560</v>
      </c>
    </row>
    <row r="14" spans="1:9" x14ac:dyDescent="0.25">
      <c r="I14" s="3" t="s">
        <v>545</v>
      </c>
    </row>
  </sheetData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62</vt:i4>
      </vt:variant>
    </vt:vector>
  </HeadingPairs>
  <TitlesOfParts>
    <vt:vector size="7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elecName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water_meter_type</vt:lpstr>
      <vt:lpstr>water_type</vt:lpstr>
      <vt:lpstr>water_units</vt:lpstr>
      <vt:lpstr>WaterDrp</vt:lpstr>
      <vt:lpstr>waterType</vt:lpstr>
      <vt:lpstr>waterUnits</vt:lpstr>
      <vt:lpstr>watUn</vt:lpstr>
      <vt:lpstr>watUni</vt:lpstr>
      <vt:lpstr>waUn</vt:lpstr>
      <vt:lpstr>waunit</vt:lpstr>
      <vt:lpstr>Wood</vt:lpstr>
      <vt:lpstr>woods</vt:lpstr>
      <vt:lpstr>woodunit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2019-03-12T06:00:43Z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