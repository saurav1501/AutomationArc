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71751EF2-7735-40DB-BDAB-F5740B7275EA}" xr6:coauthVersionLast="43" xr6:coauthVersionMax="43" xr10:uidLastSave="{00000000-0000-0000-0000-000000000000}"/>
  <workbookProtection workbookAlgorithmName="SHA-512" workbookHashValue="jfA2u3XdtuXLhrMkBnGn8ZGB1KY4PrIgQtjp8uHlW1EJM+x0VFX/V7zCiR0oNQmqabDftnqcwEUJgUp7FOYuVQ==" workbookSaltValue="vs2a6rjYSaHE9BX2YlQUFw==" workbookSpinCount="100000" lockStructure="1"/>
  <bookViews>
    <workbookView xWindow="-120" yWindow="-120" windowWidth="20730" windowHeight="11310"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D26" i="16"/>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<sst xmlns="http://schemas.openxmlformats.org/spreadsheetml/2006/main" count="4030" uniqueCount="763">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</sst>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 fillId="0" borderId="0" xfId="1" applyFont="1" applyFill="1" applyBorder="1" applyAlignment="1">
      <alignment horizontal="center" vertical="center"/>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6" borderId="57" xfId="0" applyFont="1" applyFill="1" applyBorder="1" applyAlignment="1">
      <alignment horizontal="left" vertical="center"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abSelected="1"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9" t="s">
        <v>723</v>
      </c>
      <c r="D3" s="220"/>
      <c r="E3" s="220"/>
      <c r="F3" s="220"/>
      <c r="G3" s="1"/>
      <c r="H3" s="1"/>
      <c r="I3" s="9"/>
      <c r="J3" s="1"/>
      <c r="K3" s="89"/>
      <c r="L3" s="77"/>
      <c r="M3" s="77"/>
      <c r="N3" s="77"/>
    </row>
    <row r="4" spans="2:14" ht="36" customHeight="1" x14ac:dyDescent="0.25">
      <c r="B4" s="88"/>
      <c r="C4" s="222" t="s">
        <v>724</v>
      </c>
      <c r="D4" s="222"/>
      <c r="E4" s="222"/>
      <c r="F4" s="222"/>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6" t="s">
        <v>725</v>
      </c>
      <c r="D12" s="217"/>
      <c r="E12" s="218"/>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3" t="s">
        <v>726</v>
      </c>
      <c r="D15" s="223"/>
      <c r="E15" s="223"/>
      <c r="F15" s="223"/>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21" t="s">
        <v>700</v>
      </c>
      <c r="E26" s="221"/>
      <c r="F26" s="221"/>
      <c r="G26" s="7"/>
      <c r="H26" s="7"/>
      <c r="I26" s="8"/>
      <c r="J26" s="7"/>
      <c r="K26" s="89"/>
      <c r="L26" s="77"/>
      <c r="M26" s="77"/>
      <c r="N26" s="77"/>
    </row>
    <row r="27" spans="2:14" ht="30" customHeight="1" x14ac:dyDescent="0.25">
      <c r="B27" s="88"/>
      <c r="C27" s="15"/>
      <c r="D27" s="221" t="s">
        <v>701</v>
      </c>
      <c r="E27" s="221"/>
      <c r="F27" s="221"/>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15" t="s">
        <v>730</v>
      </c>
      <c r="D35" s="215"/>
      <c r="E35" s="215"/>
      <c r="F35" s="215"/>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14" t="s">
        <v>733</v>
      </c>
      <c r="D43" s="214"/>
      <c r="E43" s="214"/>
      <c r="F43" s="214"/>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13" t="s">
        <v>735</v>
      </c>
      <c r="D45" s="213"/>
      <c r="E45" s="213"/>
      <c r="F45" s="213"/>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13" t="s">
        <v>736</v>
      </c>
      <c r="D47" s="213"/>
      <c r="E47" s="213"/>
      <c r="F47" s="213"/>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14" t="s">
        <v>737</v>
      </c>
      <c r="D49" s="214"/>
      <c r="E49" s="214"/>
      <c r="F49" s="214"/>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12:E12"/>
    <mergeCell ref="C3:F3"/>
    <mergeCell ref="D26:F26"/>
    <mergeCell ref="D27:F27"/>
    <mergeCell ref="C4:F4"/>
    <mergeCell ref="C15:F15"/>
    <mergeCell ref="C45:F45"/>
    <mergeCell ref="C47:F47"/>
    <mergeCell ref="C49:F49"/>
    <mergeCell ref="C43:F43"/>
    <mergeCell ref="C35:F3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activeCell="D28" sqref="C28:D32"/>
      <selection pane="topRight" activeCell="D15" sqref="D15"/>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24" t="s">
        <v>740</v>
      </c>
      <c r="C4" s="224"/>
      <c r="D4" s="224"/>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25" t="s">
        <v>720</v>
      </c>
      <c r="O5" s="226"/>
      <c r="P5" s="226"/>
      <c r="Q5" s="226"/>
      <c r="R5" s="227"/>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6</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36" t="s">
        <v>722</v>
      </c>
      <c r="C19" s="237"/>
      <c r="D19" s="158">
        <f>IFERROR(SUM(D7:D18)," ")</f>
        <v>5000</v>
      </c>
      <c r="E19" s="119">
        <f t="shared" ref="E19:J19" si="5">SUM(E7:E18)</f>
        <v>60</v>
      </c>
      <c r="F19" s="119">
        <f t="shared" si="5"/>
        <v>9</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31" t="str">
        <f>CONCATENATE("Gross 
Floor Area 
",IF(Instructions!$F$10="SI Units","(sq m)","(sq ft)"))</f>
        <v>Gross 
Floor Area 
(sq ft)</v>
      </c>
      <c r="C24" s="232"/>
      <c r="D24" s="156">
        <f>IFERROR(D19," ")</f>
        <v>5000</v>
      </c>
      <c r="F24" s="228"/>
      <c r="G24" s="228"/>
      <c r="H24" s="228"/>
      <c r="I24" s="228"/>
      <c r="L24" s="144"/>
    </row>
    <row r="25" spans="1:18" x14ac:dyDescent="0.2">
      <c r="A25" s="143"/>
      <c r="B25" s="238" t="s">
        <v>746</v>
      </c>
      <c r="C25" s="233"/>
      <c r="D25" s="157">
        <f>IFERROR(ROUND(SUM(L7:L18)/D19, 0)," ")</f>
        <v>30</v>
      </c>
      <c r="F25" s="176"/>
      <c r="G25" s="176"/>
      <c r="H25" s="176"/>
      <c r="I25" s="176"/>
    </row>
    <row r="26" spans="1:18" x14ac:dyDescent="0.2">
      <c r="A26" s="143"/>
      <c r="B26" s="173" t="s">
        <v>595</v>
      </c>
      <c r="C26" s="164"/>
      <c r="D26" s="120">
        <f>F19</f>
        <v>9</v>
      </c>
      <c r="F26" s="176"/>
      <c r="G26" s="176"/>
      <c r="H26" s="176"/>
      <c r="I26" s="176"/>
    </row>
    <row r="27" spans="1:18" x14ac:dyDescent="0.2">
      <c r="A27" s="143"/>
      <c r="B27" s="173" t="s">
        <v>592</v>
      </c>
      <c r="C27" s="164"/>
      <c r="D27" s="120">
        <f>ROUND(J19,0)</f>
        <v>2</v>
      </c>
      <c r="F27" s="178"/>
      <c r="G27" s="178"/>
      <c r="H27" s="176"/>
      <c r="I27" s="176"/>
    </row>
    <row r="28" spans="1:18" x14ac:dyDescent="0.2">
      <c r="A28" s="143"/>
      <c r="B28" s="234" t="s">
        <v>747</v>
      </c>
      <c r="C28" s="235"/>
      <c r="D28" s="120">
        <f>IFERROR(ROUND((F19+J19), 0)," ")</f>
        <v>11</v>
      </c>
      <c r="F28" s="179"/>
      <c r="G28" s="179"/>
      <c r="H28" s="177"/>
      <c r="I28" s="177"/>
    </row>
    <row r="29" spans="1:18" x14ac:dyDescent="0.2">
      <c r="C29" s="174"/>
      <c r="D29" s="121"/>
    </row>
    <row r="30" spans="1:18" x14ac:dyDescent="0.2">
      <c r="B30" s="229" t="s">
        <v>712</v>
      </c>
      <c r="C30" s="230"/>
      <c r="D30" s="192">
        <v>40179</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31" t="str">
        <f>CONCATENATE("Gross 
Floor Area 
",IF(Instructions!$F$10="SI Units","(sq m)","(sq ft)"))</f>
        <v>Gross 
Floor Area 
(sq ft)</v>
      </c>
      <c r="C38" s="232"/>
      <c r="D38" s="156">
        <v>5000</v>
      </c>
    </row>
    <row r="39" spans="2:4" hidden="1" x14ac:dyDescent="0.2">
      <c r="B39" s="233" t="s">
        <v>597</v>
      </c>
      <c r="C39" s="233"/>
      <c r="D39" s="157">
        <v>30</v>
      </c>
    </row>
    <row r="40" spans="2:4" hidden="1" x14ac:dyDescent="0.2">
      <c r="B40" s="234" t="s">
        <v>598</v>
      </c>
      <c r="C40" s="235"/>
      <c r="D40" s="157">
        <v>9</v>
      </c>
    </row>
    <row r="41" spans="2:4" hidden="1" x14ac:dyDescent="0.2"/>
    <row r="42" spans="2:4" hidden="1" x14ac:dyDescent="0.2">
      <c r="B42" s="104" t="s">
        <v>716</v>
      </c>
    </row>
    <row r="43" spans="2:4" hidden="1" x14ac:dyDescent="0.2"/>
    <row r="44" spans="2:4" hidden="1" x14ac:dyDescent="0.2">
      <c r="B44" s="231" t="str">
        <f>CONCATENATE("Gross 
Floor Area 
",IF(Instructions!$F$10="SI Units","(sq m)","(sq ft)"))</f>
        <v>Gross 
Floor Area 
(sq ft)</v>
      </c>
      <c r="C44" s="232"/>
      <c r="D44" s="156">
        <v>5000</v>
      </c>
    </row>
    <row r="45" spans="2:4" hidden="1" x14ac:dyDescent="0.2">
      <c r="B45" s="233" t="s">
        <v>597</v>
      </c>
      <c r="C45" s="233"/>
      <c r="D45" s="157">
        <v>30</v>
      </c>
    </row>
    <row r="46" spans="2:4" hidden="1" x14ac:dyDescent="0.2">
      <c r="B46" s="234" t="s">
        <v>598</v>
      </c>
      <c r="C46" s="235"/>
      <c r="D46" s="157">
        <v>9</v>
      </c>
    </row>
    <row r="47" spans="2:4" hidden="1" x14ac:dyDescent="0.2"/>
    <row r="48" spans="2:4" hidden="1" x14ac:dyDescent="0.2">
      <c r="B48" s="104" t="s">
        <v>717</v>
      </c>
    </row>
    <row r="49" spans="2:4" hidden="1" x14ac:dyDescent="0.2"/>
    <row r="50" spans="2:4" hidden="1" x14ac:dyDescent="0.2">
      <c r="B50" s="231" t="str">
        <f>CONCATENATE("Gross 
Floor Area 
",IF(Instructions!$F$10="SI Units","(sq m)","(sq ft)"))</f>
        <v>Gross 
Floor Area 
(sq ft)</v>
      </c>
      <c r="C50" s="232"/>
      <c r="D50" s="156">
        <v>5000</v>
      </c>
    </row>
    <row r="51" spans="2:4" hidden="1" x14ac:dyDescent="0.2">
      <c r="B51" s="233" t="s">
        <v>597</v>
      </c>
      <c r="C51" s="233"/>
      <c r="D51" s="157">
        <v>30</v>
      </c>
    </row>
    <row r="52" spans="2:4" hidden="1" x14ac:dyDescent="0.2">
      <c r="B52" s="234" t="s">
        <v>598</v>
      </c>
      <c r="C52" s="235"/>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34" t="s">
        <v>598</v>
      </c>
      <c r="C58" s="235"/>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34" t="s">
        <v>598</v>
      </c>
      <c r="C64" s="235"/>
      <c r="D64" s="157">
        <v>9</v>
      </c>
    </row>
  </sheetData>
  <mergeCells count="20">
    <mergeCell ref="B51:C51"/>
    <mergeCell ref="B52:C52"/>
    <mergeCell ref="B58:C58"/>
    <mergeCell ref="B64:C64"/>
    <mergeCell ref="B40:C40"/>
    <mergeCell ref="B44:C44"/>
    <mergeCell ref="B45:C45"/>
    <mergeCell ref="B46:C46"/>
    <mergeCell ref="B50:C50"/>
    <mergeCell ref="B39:C39"/>
    <mergeCell ref="B28:C28"/>
    <mergeCell ref="B19:C19"/>
    <mergeCell ref="B24:C24"/>
    <mergeCell ref="H24:I24"/>
    <mergeCell ref="B25:C25"/>
    <mergeCell ref="B4:D4"/>
    <mergeCell ref="N5:R5"/>
    <mergeCell ref="F24:G24"/>
    <mergeCell ref="B30:C30"/>
    <mergeCell ref="B38:C38"/>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 t="shared" ref="B7:B31" si="0">INDEX(Dates,1,E7)</f>
        <v>44012</v>
      </c>
      <c r="C7" s="52">
        <f t="shared" ref="C7" si="1">B7</f>
        <v>44012</v>
      </c>
      <c r="D7" s="53">
        <f t="shared" ref="D7:D31" si="2">HLOOKUP(B7,ReadingTable,2,FALSE)</f>
        <v>0.62</v>
      </c>
      <c r="E7" s="68">
        <f>IF(E6="",7,E6+1)</f>
        <v>7</v>
      </c>
    </row>
    <row r="8" spans="1:6" x14ac:dyDescent="0.25">
      <c r="A8" s="37">
        <f t="shared" ref="A8:A31" si="3">IFERROR(IF(D8="",1,0),1)</f>
        <v>0</v>
      </c>
      <c r="B8" s="52">
        <f t="shared" si="0"/>
        <v>43982</v>
      </c>
      <c r="C8" s="52">
        <f t="shared" ref="C8:C31" si="4">B8</f>
        <v>43982</v>
      </c>
      <c r="D8" s="53">
        <f t="shared" si="2"/>
        <v>0.19</v>
      </c>
      <c r="E8" s="68">
        <f t="shared" ref="E8:E31" si="5">IF(E7="",7,E7+1)</f>
        <v>8</v>
      </c>
    </row>
    <row r="9" spans="1:6" x14ac:dyDescent="0.25">
      <c r="A9" s="37">
        <f t="shared" si="3"/>
        <v>0</v>
      </c>
      <c r="B9" s="52">
        <f t="shared" si="0"/>
        <v>43951</v>
      </c>
      <c r="C9" s="52">
        <f t="shared" si="4"/>
        <v>43951</v>
      </c>
      <c r="D9" s="53">
        <f t="shared" si="2"/>
        <v>0.44</v>
      </c>
      <c r="E9" s="68">
        <f t="shared" si="5"/>
        <v>9</v>
      </c>
    </row>
    <row r="10" spans="1:6" x14ac:dyDescent="0.25">
      <c r="A10" s="37">
        <f t="shared" si="3"/>
        <v>0</v>
      </c>
      <c r="B10" s="52">
        <f t="shared" si="0"/>
        <v>43921</v>
      </c>
      <c r="C10" s="52">
        <f t="shared" si="4"/>
        <v>43921</v>
      </c>
      <c r="D10" s="53">
        <f t="shared" si="2"/>
        <v>0.73</v>
      </c>
      <c r="E10" s="68">
        <f t="shared" si="5"/>
        <v>10</v>
      </c>
    </row>
    <row r="11" spans="1:6" x14ac:dyDescent="0.25">
      <c r="A11" s="37">
        <f t="shared" si="3"/>
        <v>0</v>
      </c>
      <c r="B11" s="52">
        <f t="shared" si="0"/>
        <v>43889</v>
      </c>
      <c r="C11" s="52">
        <f t="shared" si="4"/>
        <v>43889</v>
      </c>
      <c r="D11" s="53">
        <f t="shared" si="2"/>
        <v>0.99</v>
      </c>
      <c r="E11" s="68">
        <f t="shared" si="5"/>
        <v>11</v>
      </c>
    </row>
    <row r="12" spans="1:6" x14ac:dyDescent="0.25">
      <c r="A12" s="37">
        <f t="shared" si="3"/>
        <v>0</v>
      </c>
      <c r="B12" s="52">
        <f t="shared" si="0"/>
        <v>43861</v>
      </c>
      <c r="C12" s="52">
        <f t="shared" si="4"/>
        <v>43861</v>
      </c>
      <c r="D12" s="53">
        <f t="shared" si="2"/>
        <v>0.11</v>
      </c>
      <c r="E12" s="68">
        <f t="shared" si="5"/>
        <v>12</v>
      </c>
    </row>
    <row r="13" spans="1:6" x14ac:dyDescent="0.25">
      <c r="A13" s="37">
        <f t="shared" si="3"/>
        <v>0</v>
      </c>
      <c r="B13" s="52">
        <f t="shared" si="0"/>
        <v>43830</v>
      </c>
      <c r="C13" s="52">
        <f t="shared" si="4"/>
        <v>43830</v>
      </c>
      <c r="D13" s="53">
        <f t="shared" si="2"/>
        <v>0.25</v>
      </c>
      <c r="E13" s="68">
        <f t="shared" si="5"/>
        <v>13</v>
      </c>
    </row>
    <row r="14" spans="1:6" x14ac:dyDescent="0.25">
      <c r="A14" s="37">
        <f t="shared" si="3"/>
        <v>0</v>
      </c>
      <c r="B14" s="52">
        <f t="shared" si="0"/>
        <v>43799</v>
      </c>
      <c r="C14" s="52">
        <f t="shared" si="4"/>
        <v>43799</v>
      </c>
      <c r="D14" s="53">
        <f t="shared" si="2"/>
        <v>0.25</v>
      </c>
      <c r="E14" s="68">
        <f t="shared" si="5"/>
        <v>14</v>
      </c>
    </row>
    <row r="15" spans="1:6" x14ac:dyDescent="0.25">
      <c r="A15" s="37">
        <f t="shared" si="3"/>
        <v>0</v>
      </c>
      <c r="B15" s="52">
        <f t="shared" si="0"/>
        <v>43769</v>
      </c>
      <c r="C15" s="52">
        <f t="shared" si="4"/>
        <v>43769</v>
      </c>
      <c r="D15" s="53">
        <f t="shared" si="2"/>
        <v>0.33</v>
      </c>
      <c r="E15" s="68">
        <f t="shared" si="5"/>
        <v>15</v>
      </c>
    </row>
    <row r="16" spans="1:6" x14ac:dyDescent="0.25">
      <c r="A16" s="37">
        <f t="shared" si="3"/>
        <v>0</v>
      </c>
      <c r="B16" s="52">
        <f t="shared" si="0"/>
        <v>43738</v>
      </c>
      <c r="C16" s="52">
        <f t="shared" si="4"/>
        <v>43738</v>
      </c>
      <c r="D16" s="53">
        <f t="shared" si="2"/>
        <v>0.19</v>
      </c>
      <c r="E16" s="68">
        <f t="shared" si="5"/>
        <v>16</v>
      </c>
    </row>
    <row r="17" spans="1:5" x14ac:dyDescent="0.25">
      <c r="A17" s="37">
        <f t="shared" si="3"/>
        <v>0</v>
      </c>
      <c r="B17" s="52">
        <f t="shared" si="0"/>
        <v>43708</v>
      </c>
      <c r="C17" s="52">
        <f t="shared" si="4"/>
        <v>43708</v>
      </c>
      <c r="D17" s="53">
        <f t="shared" si="2"/>
        <v>0.5</v>
      </c>
      <c r="E17" s="68">
        <f t="shared" si="5"/>
        <v>17</v>
      </c>
    </row>
    <row r="18" spans="1:5" x14ac:dyDescent="0.25">
      <c r="A18" s="37">
        <f t="shared" si="3"/>
        <v>0</v>
      </c>
      <c r="B18" s="52">
        <f t="shared" si="0"/>
        <v>43677</v>
      </c>
      <c r="C18" s="52">
        <f t="shared" si="4"/>
        <v>43677</v>
      </c>
      <c r="D18" s="53">
        <f t="shared" si="2"/>
        <v>0.5</v>
      </c>
      <c r="E18" s="68">
        <f t="shared" si="5"/>
        <v>18</v>
      </c>
    </row>
    <row r="19" spans="1:5" x14ac:dyDescent="0.25">
      <c r="A19" s="37">
        <f t="shared" si="3"/>
        <v>0</v>
      </c>
      <c r="B19" s="52">
        <f t="shared" si="0"/>
        <v>43646</v>
      </c>
      <c r="C19" s="52">
        <f t="shared" si="4"/>
        <v>43646</v>
      </c>
      <c r="D19" s="53">
        <f t="shared" si="2"/>
        <v>0.5</v>
      </c>
      <c r="E19" s="68">
        <f t="shared" si="5"/>
        <v>19</v>
      </c>
    </row>
    <row r="20" spans="1:5" x14ac:dyDescent="0.25">
      <c r="A20" s="37">
        <f t="shared" si="3"/>
        <v>0</v>
      </c>
      <c r="B20" s="52">
        <f t="shared" si="0"/>
        <v>43616</v>
      </c>
      <c r="C20" s="52">
        <f t="shared" si="4"/>
        <v>43616</v>
      </c>
      <c r="D20" s="53">
        <f t="shared" si="2"/>
        <v>0.19</v>
      </c>
      <c r="E20" s="68">
        <f t="shared" si="5"/>
        <v>20</v>
      </c>
    </row>
    <row r="21" spans="1:5" x14ac:dyDescent="0.25">
      <c r="A21" s="37">
        <f t="shared" si="3"/>
        <v>0</v>
      </c>
      <c r="B21" s="52">
        <f t="shared" si="0"/>
        <v>43585</v>
      </c>
      <c r="C21" s="52">
        <f t="shared" si="4"/>
        <v>43585</v>
      </c>
      <c r="D21" s="53">
        <f t="shared" si="2"/>
        <v>0.44</v>
      </c>
      <c r="E21" s="68">
        <f t="shared" si="5"/>
        <v>21</v>
      </c>
    </row>
    <row r="22" spans="1:5" x14ac:dyDescent="0.25">
      <c r="A22" s="37">
        <f t="shared" si="3"/>
        <v>0</v>
      </c>
      <c r="B22" s="52">
        <f t="shared" si="0"/>
        <v>43555</v>
      </c>
      <c r="C22" s="52">
        <f t="shared" si="4"/>
        <v>43555</v>
      </c>
      <c r="D22" s="53">
        <f t="shared" si="2"/>
        <v>0.73</v>
      </c>
      <c r="E22" s="68">
        <f t="shared" si="5"/>
        <v>22</v>
      </c>
    </row>
    <row r="23" spans="1:5" x14ac:dyDescent="0.25">
      <c r="A23" s="37">
        <f t="shared" si="3"/>
        <v>0</v>
      </c>
      <c r="B23" s="52">
        <f t="shared" si="0"/>
        <v>43524</v>
      </c>
      <c r="C23" s="52">
        <f t="shared" si="4"/>
        <v>43524</v>
      </c>
      <c r="D23" s="53">
        <f t="shared" si="2"/>
        <v>0.99</v>
      </c>
      <c r="E23" s="68">
        <f t="shared" si="5"/>
        <v>23</v>
      </c>
    </row>
    <row r="24" spans="1:5" x14ac:dyDescent="0.25">
      <c r="A24" s="37">
        <f t="shared" si="3"/>
        <v>0</v>
      </c>
      <c r="B24" s="52">
        <f t="shared" si="0"/>
        <v>43496</v>
      </c>
      <c r="C24" s="52">
        <f t="shared" si="4"/>
        <v>43496</v>
      </c>
      <c r="D24" s="53">
        <f t="shared" si="2"/>
        <v>0.11</v>
      </c>
      <c r="E24" s="68">
        <f t="shared" si="5"/>
        <v>24</v>
      </c>
    </row>
    <row r="25" spans="1:5" x14ac:dyDescent="0.25">
      <c r="A25" s="37">
        <f t="shared" si="3"/>
        <v>0</v>
      </c>
      <c r="B25" s="52">
        <f t="shared" si="0"/>
        <v>43465</v>
      </c>
      <c r="C25" s="52">
        <f t="shared" si="4"/>
        <v>43465</v>
      </c>
      <c r="D25" s="53">
        <f t="shared" si="2"/>
        <v>0.25</v>
      </c>
      <c r="E25" s="68">
        <f t="shared" si="5"/>
        <v>25</v>
      </c>
    </row>
    <row r="26" spans="1:5" x14ac:dyDescent="0.25">
      <c r="A26" s="37">
        <f t="shared" si="3"/>
        <v>0</v>
      </c>
      <c r="B26" s="52">
        <f t="shared" si="0"/>
        <v>43434</v>
      </c>
      <c r="C26" s="52">
        <f t="shared" si="4"/>
        <v>43434</v>
      </c>
      <c r="D26" s="53">
        <f t="shared" si="2"/>
        <v>0.25</v>
      </c>
      <c r="E26" s="68">
        <f t="shared" si="5"/>
        <v>26</v>
      </c>
    </row>
    <row r="27" spans="1:5" x14ac:dyDescent="0.25">
      <c r="A27" s="37">
        <f t="shared" si="3"/>
        <v>0</v>
      </c>
      <c r="B27" s="52">
        <f t="shared" si="0"/>
        <v>43404</v>
      </c>
      <c r="C27" s="52">
        <f t="shared" si="4"/>
        <v>43404</v>
      </c>
      <c r="D27" s="53">
        <f t="shared" si="2"/>
        <v>0.33</v>
      </c>
      <c r="E27" s="68">
        <f t="shared" si="5"/>
        <v>27</v>
      </c>
    </row>
    <row r="28" spans="1:5" x14ac:dyDescent="0.25">
      <c r="A28" s="37">
        <f t="shared" si="3"/>
        <v>0</v>
      </c>
      <c r="B28" s="52">
        <f t="shared" si="0"/>
        <v>43373</v>
      </c>
      <c r="C28" s="52">
        <f t="shared" si="4"/>
        <v>43373</v>
      </c>
      <c r="D28" s="53">
        <f t="shared" si="2"/>
        <v>0.19</v>
      </c>
      <c r="E28" s="68">
        <f t="shared" si="5"/>
        <v>28</v>
      </c>
    </row>
    <row r="29" spans="1:5" x14ac:dyDescent="0.25">
      <c r="A29" s="37">
        <f t="shared" si="3"/>
        <v>0</v>
      </c>
      <c r="B29" s="52">
        <f t="shared" si="0"/>
        <v>43343</v>
      </c>
      <c r="C29" s="52">
        <f t="shared" si="4"/>
        <v>43343</v>
      </c>
      <c r="D29" s="53">
        <f t="shared" si="2"/>
        <v>0.5</v>
      </c>
      <c r="E29" s="68">
        <f t="shared" si="5"/>
        <v>29</v>
      </c>
    </row>
    <row r="30" spans="1:5" x14ac:dyDescent="0.25">
      <c r="A30" s="37">
        <f t="shared" si="3"/>
        <v>0</v>
      </c>
      <c r="B30" s="52">
        <f t="shared" si="0"/>
        <v>43312</v>
      </c>
      <c r="C30" s="52">
        <f t="shared" si="4"/>
        <v>43312</v>
      </c>
      <c r="D30" s="53">
        <f t="shared" si="2"/>
        <v>0.5</v>
      </c>
      <c r="E30" s="68">
        <f t="shared" si="5"/>
        <v>30</v>
      </c>
    </row>
    <row r="31" spans="1:5" x14ac:dyDescent="0.25">
      <c r="A31" s="37">
        <f t="shared" si="3"/>
        <v>0</v>
      </c>
      <c r="B31" s="52">
        <f t="shared" si="0"/>
        <v>43281</v>
      </c>
      <c r="C31" s="52">
        <f t="shared" si="4"/>
        <v>43281</v>
      </c>
      <c r="D31" s="53">
        <f t="shared" si="2"/>
        <v>0.5</v>
      </c>
      <c r="E31" s="68">
        <f t="shared" si="5"/>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 t="shared" ref="G30:AE30" si="0">IF(G32="",1,0)</f>
        <v>0</v>
      </c>
      <c r="H30" s="69">
        <f t="shared" si="0"/>
        <v>0</v>
      </c>
      <c r="I30" s="69">
        <f t="shared" si="0"/>
        <v>0</v>
      </c>
      <c r="J30" s="69">
        <f t="shared" si="0"/>
        <v>0</v>
      </c>
      <c r="K30" s="69">
        <f t="shared" si="0"/>
        <v>0</v>
      </c>
      <c r="L30" s="69">
        <f t="shared" si="0"/>
        <v>0</v>
      </c>
      <c r="M30" s="69">
        <f t="shared" si="0"/>
        <v>0</v>
      </c>
      <c r="N30" s="69">
        <f t="shared" si="0"/>
        <v>0</v>
      </c>
      <c r="O30" s="69">
        <f t="shared" si="0"/>
        <v>0</v>
      </c>
      <c r="P30" s="69">
        <f t="shared" si="0"/>
        <v>0</v>
      </c>
      <c r="Q30" s="69">
        <f t="shared" si="0"/>
        <v>0</v>
      </c>
      <c r="R30" s="69">
        <f t="shared" si="0"/>
        <v>0</v>
      </c>
      <c r="S30" s="69">
        <f t="shared" si="0"/>
        <v>0</v>
      </c>
      <c r="T30" s="69">
        <f t="shared" si="0"/>
        <v>0</v>
      </c>
      <c r="U30" s="69">
        <f t="shared" si="0"/>
        <v>0</v>
      </c>
      <c r="V30" s="69">
        <f t="shared" si="0"/>
        <v>0</v>
      </c>
      <c r="W30" s="69">
        <f t="shared" si="0"/>
        <v>0</v>
      </c>
      <c r="X30" s="69">
        <f t="shared" si="0"/>
        <v>0</v>
      </c>
      <c r="Y30" s="69">
        <f t="shared" si="0"/>
        <v>0</v>
      </c>
      <c r="Z30" s="69">
        <f t="shared" si="0"/>
        <v>0</v>
      </c>
      <c r="AA30" s="69">
        <f t="shared" si="0"/>
        <v>0</v>
      </c>
      <c r="AB30" s="69">
        <f t="shared" si="0"/>
        <v>0</v>
      </c>
      <c r="AC30" s="69">
        <f t="shared" si="0"/>
        <v>0</v>
      </c>
      <c r="AD30" s="69">
        <f t="shared" si="0"/>
        <v>0</v>
      </c>
      <c r="AE30" s="69">
        <f t="shared" si="0"/>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1">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2">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2"/>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2"/>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2"/>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2"/>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2"/>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2"/>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2"/>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 t="shared" ref="G46:AE46" si="3">G32</f>
        <v>44012</v>
      </c>
      <c r="H46" s="72">
        <f t="shared" si="3"/>
        <v>43982</v>
      </c>
      <c r="I46" s="72">
        <f t="shared" si="3"/>
        <v>43951</v>
      </c>
      <c r="J46" s="72">
        <f t="shared" si="3"/>
        <v>43921</v>
      </c>
      <c r="K46" s="72">
        <f t="shared" si="3"/>
        <v>43889</v>
      </c>
      <c r="L46" s="72">
        <f t="shared" si="3"/>
        <v>43861</v>
      </c>
      <c r="M46" s="72">
        <f t="shared" si="3"/>
        <v>43830</v>
      </c>
      <c r="N46" s="72">
        <f t="shared" si="3"/>
        <v>43799</v>
      </c>
      <c r="O46" s="72">
        <f t="shared" si="3"/>
        <v>43769</v>
      </c>
      <c r="P46" s="72">
        <f t="shared" si="3"/>
        <v>43738</v>
      </c>
      <c r="Q46" s="72">
        <f t="shared" si="3"/>
        <v>43708</v>
      </c>
      <c r="R46" s="72">
        <f t="shared" si="3"/>
        <v>43677</v>
      </c>
      <c r="S46" s="72">
        <f t="shared" si="3"/>
        <v>43646</v>
      </c>
      <c r="T46" s="72">
        <f t="shared" si="3"/>
        <v>43616</v>
      </c>
      <c r="U46" s="72">
        <f t="shared" si="3"/>
        <v>43585</v>
      </c>
      <c r="V46" s="72">
        <f t="shared" si="3"/>
        <v>43555</v>
      </c>
      <c r="W46" s="72">
        <f t="shared" si="3"/>
        <v>43524</v>
      </c>
      <c r="X46" s="72">
        <f t="shared" si="3"/>
        <v>43496</v>
      </c>
      <c r="Y46" s="72">
        <f t="shared" si="3"/>
        <v>43465</v>
      </c>
      <c r="Z46" s="72">
        <f t="shared" si="3"/>
        <v>43434</v>
      </c>
      <c r="AA46" s="72">
        <f t="shared" si="3"/>
        <v>43404</v>
      </c>
      <c r="AB46" s="72">
        <f t="shared" si="3"/>
        <v>43373</v>
      </c>
      <c r="AC46" s="72">
        <f t="shared" si="3"/>
        <v>43343</v>
      </c>
      <c r="AD46" s="72">
        <f t="shared" si="3"/>
        <v>43312</v>
      </c>
      <c r="AE46" s="72">
        <f t="shared" si="3"/>
        <v>43281</v>
      </c>
    </row>
    <row r="47" spans="1:31" ht="20.25" customHeight="1" x14ac:dyDescent="0.25">
      <c r="B47" s="55" t="s">
        <v>578</v>
      </c>
      <c r="C47" s="56"/>
      <c r="D47" s="56"/>
      <c r="E47" s="56"/>
      <c r="F47" s="57"/>
      <c r="G47" s="95">
        <f t="shared" ref="G47:AE47" si="4">IFERROR(AVERAGE(G34:G45),0)</f>
        <v>0.62</v>
      </c>
      <c r="H47" s="95">
        <f t="shared" si="4"/>
        <v>0.19</v>
      </c>
      <c r="I47" s="95">
        <f t="shared" si="4"/>
        <v>0.44</v>
      </c>
      <c r="J47" s="95">
        <f t="shared" si="4"/>
        <v>0.73</v>
      </c>
      <c r="K47" s="95">
        <f t="shared" si="4"/>
        <v>0.99</v>
      </c>
      <c r="L47" s="95">
        <f t="shared" si="4"/>
        <v>0.11</v>
      </c>
      <c r="M47" s="95">
        <f t="shared" si="4"/>
        <v>0.25</v>
      </c>
      <c r="N47" s="95">
        <f t="shared" si="4"/>
        <v>0.25</v>
      </c>
      <c r="O47" s="95">
        <f t="shared" si="4"/>
        <v>0.33</v>
      </c>
      <c r="P47" s="95">
        <f t="shared" si="4"/>
        <v>0.19</v>
      </c>
      <c r="Q47" s="95">
        <f t="shared" si="4"/>
        <v>0.5</v>
      </c>
      <c r="R47" s="95">
        <f t="shared" si="4"/>
        <v>0.5</v>
      </c>
      <c r="S47" s="95">
        <f t="shared" si="4"/>
        <v>0.5</v>
      </c>
      <c r="T47" s="95">
        <f t="shared" si="4"/>
        <v>0.19</v>
      </c>
      <c r="U47" s="95">
        <f t="shared" si="4"/>
        <v>0.44</v>
      </c>
      <c r="V47" s="95">
        <f t="shared" si="4"/>
        <v>0.73</v>
      </c>
      <c r="W47" s="95">
        <f t="shared" si="4"/>
        <v>0.99</v>
      </c>
      <c r="X47" s="95">
        <f t="shared" si="4"/>
        <v>0.11</v>
      </c>
      <c r="Y47" s="95">
        <f t="shared" si="4"/>
        <v>0.25</v>
      </c>
      <c r="Z47" s="95">
        <f t="shared" si="4"/>
        <v>0.25</v>
      </c>
      <c r="AA47" s="95">
        <f t="shared" si="4"/>
        <v>0.33</v>
      </c>
      <c r="AB47" s="95">
        <f t="shared" si="4"/>
        <v>0.19</v>
      </c>
      <c r="AC47" s="95">
        <f t="shared" si="4"/>
        <v>0.5</v>
      </c>
      <c r="AD47" s="95">
        <f t="shared" si="4"/>
        <v>0.5</v>
      </c>
      <c r="AE47" s="95">
        <f t="shared" si="4"/>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5">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 t="shared" ref="B7:B31" si="0">INDEX(DatesVOC,1,E7)</f>
        <v>44012</v>
      </c>
      <c r="C7" s="52">
        <f t="shared" ref="C7" si="1">B7</f>
        <v>44012</v>
      </c>
      <c r="D7" s="53">
        <f t="array" ref="D7">HLOOKUP(B7,ReadingTableVOC,2,FALSE)</f>
        <v>2654</v>
      </c>
      <c r="E7" s="68">
        <f>IF(E6="",8,E6+1)</f>
        <v>8</v>
      </c>
    </row>
    <row r="8" spans="1:5" ht="15" customHeight="1" x14ac:dyDescent="0.25">
      <c r="A8" s="37">
        <f t="shared" ref="A8:A31" si="2">IFERROR(IF(D8="",1,0),1)</f>
        <v>0</v>
      </c>
      <c r="B8" s="52">
        <f t="shared" si="0"/>
        <v>43982</v>
      </c>
      <c r="C8" s="52">
        <f t="shared" ref="C8:C31" si="3">B8</f>
        <v>43982</v>
      </c>
      <c r="D8" s="53">
        <f t="array" ref="D8">HLOOKUP(B8,ReadingTableVOC,2,FALSE)</f>
        <v>1173</v>
      </c>
      <c r="E8" s="68">
        <f t="shared" ref="E8:E31" si="4">IF(E7="",8,E7+1)</f>
        <v>9</v>
      </c>
    </row>
    <row r="9" spans="1:5" ht="15" customHeight="1" x14ac:dyDescent="0.25">
      <c r="A9" s="37">
        <f t="shared" si="2"/>
        <v>0</v>
      </c>
      <c r="B9" s="52">
        <f t="shared" si="0"/>
        <v>43951</v>
      </c>
      <c r="C9" s="52">
        <f t="shared" si="3"/>
        <v>43951</v>
      </c>
      <c r="D9" s="53">
        <f t="array" ref="D9">HLOOKUP(B9,ReadingTableVOC,2,FALSE)</f>
        <v>1098</v>
      </c>
      <c r="E9" s="68">
        <f t="shared" si="4"/>
        <v>10</v>
      </c>
    </row>
    <row r="10" spans="1:5" ht="15" customHeight="1" x14ac:dyDescent="0.25">
      <c r="A10" s="37">
        <f t="shared" si="2"/>
        <v>0</v>
      </c>
      <c r="B10" s="52">
        <f t="shared" si="0"/>
        <v>43921</v>
      </c>
      <c r="C10" s="52">
        <f t="shared" si="3"/>
        <v>43921</v>
      </c>
      <c r="D10" s="53">
        <f t="array" ref="D10">HLOOKUP(B10,ReadingTableVOC,2,FALSE)</f>
        <v>986</v>
      </c>
      <c r="E10" s="68">
        <f t="shared" si="4"/>
        <v>11</v>
      </c>
    </row>
    <row r="11" spans="1:5" ht="15" customHeight="1" x14ac:dyDescent="0.25">
      <c r="A11" s="37">
        <f t="shared" si="2"/>
        <v>0</v>
      </c>
      <c r="B11" s="52">
        <f t="shared" si="0"/>
        <v>43889</v>
      </c>
      <c r="C11" s="52">
        <f t="shared" si="3"/>
        <v>43889</v>
      </c>
      <c r="D11" s="53">
        <f t="array" ref="D11">HLOOKUP(B11,ReadingTableVOC,2,FALSE)</f>
        <v>1212</v>
      </c>
      <c r="E11" s="68">
        <f t="shared" si="4"/>
        <v>12</v>
      </c>
    </row>
    <row r="12" spans="1:5" ht="15" customHeight="1" x14ac:dyDescent="0.25">
      <c r="A12" s="37">
        <f t="shared" si="2"/>
        <v>0</v>
      </c>
      <c r="B12" s="52">
        <f t="shared" si="0"/>
        <v>43861</v>
      </c>
      <c r="C12" s="52">
        <f t="shared" si="3"/>
        <v>43861</v>
      </c>
      <c r="D12" s="53">
        <f t="array" ref="D12">HLOOKUP(B12,ReadingTableVOC,2,FALSE)</f>
        <v>1993</v>
      </c>
      <c r="E12" s="68">
        <f t="shared" si="4"/>
        <v>13</v>
      </c>
    </row>
    <row r="13" spans="1:5" ht="15" customHeight="1" x14ac:dyDescent="0.25">
      <c r="A13" s="37">
        <f t="shared" si="2"/>
        <v>0</v>
      </c>
      <c r="B13" s="52">
        <f t="shared" si="0"/>
        <v>43830</v>
      </c>
      <c r="C13" s="52">
        <f t="shared" si="3"/>
        <v>43830</v>
      </c>
      <c r="D13" s="53">
        <f t="array" ref="D13">HLOOKUP(B13,ReadingTableVOC,2,FALSE)</f>
        <v>2323</v>
      </c>
      <c r="E13" s="68">
        <f t="shared" si="4"/>
        <v>14</v>
      </c>
    </row>
    <row r="14" spans="1:5" ht="15" customHeight="1" x14ac:dyDescent="0.25">
      <c r="A14" s="37">
        <f t="shared" si="2"/>
        <v>0</v>
      </c>
      <c r="B14" s="52">
        <f t="shared" si="0"/>
        <v>43799</v>
      </c>
      <c r="C14" s="52">
        <f t="shared" si="3"/>
        <v>43799</v>
      </c>
      <c r="D14" s="53">
        <f t="array" ref="D14">HLOOKUP(B14,ReadingTableVOC,2,FALSE)</f>
        <v>2566</v>
      </c>
      <c r="E14" s="68">
        <f t="shared" si="4"/>
        <v>15</v>
      </c>
    </row>
    <row r="15" spans="1:5" ht="15" customHeight="1" x14ac:dyDescent="0.25">
      <c r="A15" s="37">
        <f t="shared" si="2"/>
        <v>0</v>
      </c>
      <c r="B15" s="52">
        <f t="shared" si="0"/>
        <v>43769</v>
      </c>
      <c r="C15" s="52">
        <f t="shared" si="3"/>
        <v>43769</v>
      </c>
      <c r="D15" s="53">
        <f t="array" ref="D15">HLOOKUP(B15,ReadingTableVOC,2,FALSE)</f>
        <v>2577</v>
      </c>
      <c r="E15" s="68">
        <f t="shared" si="4"/>
        <v>16</v>
      </c>
    </row>
    <row r="16" spans="1:5" ht="15" customHeight="1" x14ac:dyDescent="0.25">
      <c r="A16" s="37">
        <f t="shared" si="2"/>
        <v>0</v>
      </c>
      <c r="B16" s="52">
        <f t="shared" si="0"/>
        <v>43738</v>
      </c>
      <c r="C16" s="52">
        <f t="shared" si="3"/>
        <v>43738</v>
      </c>
      <c r="D16" s="53">
        <f t="array" ref="D16">HLOOKUP(B16,ReadingTableVOC,2,FALSE)</f>
        <v>2756</v>
      </c>
      <c r="E16" s="68">
        <f t="shared" si="4"/>
        <v>17</v>
      </c>
    </row>
    <row r="17" spans="1:5" ht="15" customHeight="1" x14ac:dyDescent="0.25">
      <c r="A17" s="37">
        <f t="shared" si="2"/>
        <v>0</v>
      </c>
      <c r="B17" s="52">
        <f t="shared" si="0"/>
        <v>43708</v>
      </c>
      <c r="C17" s="52">
        <f t="shared" si="3"/>
        <v>43708</v>
      </c>
      <c r="D17" s="53">
        <f t="array" ref="D17">HLOOKUP(B17,ReadingTableVOC,2,FALSE)</f>
        <v>2677</v>
      </c>
      <c r="E17" s="68">
        <f t="shared" si="4"/>
        <v>18</v>
      </c>
    </row>
    <row r="18" spans="1:5" ht="15" customHeight="1" x14ac:dyDescent="0.25">
      <c r="A18" s="37">
        <f t="shared" si="2"/>
        <v>0</v>
      </c>
      <c r="B18" s="52">
        <f t="shared" si="0"/>
        <v>43677</v>
      </c>
      <c r="C18" s="52">
        <f t="shared" si="3"/>
        <v>43677</v>
      </c>
      <c r="D18" s="53">
        <f t="array" ref="D18">HLOOKUP(B18,ReadingTableVOC,2,FALSE)</f>
        <v>1232</v>
      </c>
      <c r="E18" s="68">
        <f t="shared" si="4"/>
        <v>19</v>
      </c>
    </row>
    <row r="19" spans="1:5" ht="15" customHeight="1" x14ac:dyDescent="0.25">
      <c r="A19" s="37">
        <f t="shared" si="2"/>
        <v>0</v>
      </c>
      <c r="B19" s="52">
        <f t="shared" si="0"/>
        <v>43646</v>
      </c>
      <c r="C19" s="52">
        <f t="shared" si="3"/>
        <v>43646</v>
      </c>
      <c r="D19" s="53">
        <f t="array" ref="D19">HLOOKUP(B19,ReadingTableVOC,2,FALSE)</f>
        <v>3221</v>
      </c>
      <c r="E19" s="68">
        <f t="shared" si="4"/>
        <v>20</v>
      </c>
    </row>
    <row r="20" spans="1:5" ht="15" customHeight="1" x14ac:dyDescent="0.25">
      <c r="A20" s="37">
        <f t="shared" si="2"/>
        <v>0</v>
      </c>
      <c r="B20" s="52">
        <f t="shared" si="0"/>
        <v>43616</v>
      </c>
      <c r="C20" s="52">
        <f t="shared" si="3"/>
        <v>43616</v>
      </c>
      <c r="D20" s="53">
        <f t="array" ref="D20">HLOOKUP(B20,ReadingTableVOC,2,FALSE)</f>
        <v>1173</v>
      </c>
      <c r="E20" s="68">
        <f t="shared" si="4"/>
        <v>21</v>
      </c>
    </row>
    <row r="21" spans="1:5" ht="15" customHeight="1" x14ac:dyDescent="0.25">
      <c r="A21" s="37">
        <f t="shared" si="2"/>
        <v>0</v>
      </c>
      <c r="B21" s="52">
        <f t="shared" si="0"/>
        <v>43585</v>
      </c>
      <c r="C21" s="52">
        <f t="shared" si="3"/>
        <v>43585</v>
      </c>
      <c r="D21" s="53">
        <f t="array" ref="D21">HLOOKUP(B21,ReadingTableVOC,2,FALSE)</f>
        <v>1098</v>
      </c>
      <c r="E21" s="68">
        <f t="shared" si="4"/>
        <v>22</v>
      </c>
    </row>
    <row r="22" spans="1:5" ht="15" customHeight="1" x14ac:dyDescent="0.25">
      <c r="A22" s="37">
        <f t="shared" si="2"/>
        <v>0</v>
      </c>
      <c r="B22" s="52">
        <f t="shared" si="0"/>
        <v>43555</v>
      </c>
      <c r="C22" s="52">
        <f t="shared" si="3"/>
        <v>43555</v>
      </c>
      <c r="D22" s="53">
        <f t="array" ref="D22">HLOOKUP(B22,ReadingTableVOC,2,FALSE)</f>
        <v>986</v>
      </c>
      <c r="E22" s="68">
        <f t="shared" si="4"/>
        <v>23</v>
      </c>
    </row>
    <row r="23" spans="1:5" ht="15" customHeight="1" x14ac:dyDescent="0.25">
      <c r="A23" s="37">
        <f t="shared" si="2"/>
        <v>0</v>
      </c>
      <c r="B23" s="52">
        <f t="shared" si="0"/>
        <v>43524</v>
      </c>
      <c r="C23" s="52">
        <f t="shared" si="3"/>
        <v>43524</v>
      </c>
      <c r="D23" s="53">
        <f t="array" ref="D23">HLOOKUP(B23,ReadingTableVOC,2,FALSE)</f>
        <v>1212</v>
      </c>
      <c r="E23" s="68">
        <f t="shared" si="4"/>
        <v>24</v>
      </c>
    </row>
    <row r="24" spans="1:5" ht="15" customHeight="1" x14ac:dyDescent="0.25">
      <c r="A24" s="37">
        <f t="shared" si="2"/>
        <v>0</v>
      </c>
      <c r="B24" s="52">
        <f t="shared" si="0"/>
        <v>43496</v>
      </c>
      <c r="C24" s="52">
        <f t="shared" si="3"/>
        <v>43496</v>
      </c>
      <c r="D24" s="53">
        <f t="array" ref="D24">HLOOKUP(B24,ReadingTableVOC,2,FALSE)</f>
        <v>1993</v>
      </c>
      <c r="E24" s="68">
        <f t="shared" si="4"/>
        <v>25</v>
      </c>
    </row>
    <row r="25" spans="1:5" ht="15" customHeight="1" x14ac:dyDescent="0.25">
      <c r="A25" s="37">
        <f t="shared" si="2"/>
        <v>0</v>
      </c>
      <c r="B25" s="52">
        <f t="shared" si="0"/>
        <v>43465</v>
      </c>
      <c r="C25" s="52">
        <f t="shared" si="3"/>
        <v>43465</v>
      </c>
      <c r="D25" s="53">
        <f t="array" ref="D25">HLOOKUP(B25,ReadingTableVOC,2,FALSE)</f>
        <v>2323</v>
      </c>
      <c r="E25" s="68">
        <f t="shared" si="4"/>
        <v>26</v>
      </c>
    </row>
    <row r="26" spans="1:5" ht="15" customHeight="1" x14ac:dyDescent="0.25">
      <c r="A26" s="37">
        <f t="shared" si="2"/>
        <v>0</v>
      </c>
      <c r="B26" s="52">
        <f t="shared" si="0"/>
        <v>43434</v>
      </c>
      <c r="C26" s="52">
        <f t="shared" si="3"/>
        <v>43434</v>
      </c>
      <c r="D26" s="53">
        <f t="array" ref="D26">HLOOKUP(B26,ReadingTableVOC,2,FALSE)</f>
        <v>2566</v>
      </c>
      <c r="E26" s="68">
        <f t="shared" si="4"/>
        <v>27</v>
      </c>
    </row>
    <row r="27" spans="1:5" ht="15" customHeight="1" x14ac:dyDescent="0.25">
      <c r="A27" s="37">
        <f t="shared" si="2"/>
        <v>0</v>
      </c>
      <c r="B27" s="52">
        <f t="shared" si="0"/>
        <v>43404</v>
      </c>
      <c r="C27" s="52">
        <f t="shared" si="3"/>
        <v>43404</v>
      </c>
      <c r="D27" s="53">
        <f t="array" ref="D27">HLOOKUP(B27,ReadingTableVOC,2,FALSE)</f>
        <v>2577</v>
      </c>
      <c r="E27" s="68">
        <f t="shared" si="4"/>
        <v>28</v>
      </c>
    </row>
    <row r="28" spans="1:5" ht="15" customHeight="1" x14ac:dyDescent="0.25">
      <c r="A28" s="37">
        <f t="shared" si="2"/>
        <v>0</v>
      </c>
      <c r="B28" s="52">
        <f t="shared" si="0"/>
        <v>43373</v>
      </c>
      <c r="C28" s="52">
        <f t="shared" si="3"/>
        <v>43373</v>
      </c>
      <c r="D28" s="53">
        <f t="array" ref="D28">HLOOKUP(B28,ReadingTableVOC,2,FALSE)</f>
        <v>2756</v>
      </c>
      <c r="E28" s="68">
        <f t="shared" si="4"/>
        <v>29</v>
      </c>
    </row>
    <row r="29" spans="1:5" ht="15" customHeight="1" x14ac:dyDescent="0.25">
      <c r="A29" s="37">
        <f t="shared" si="2"/>
        <v>0</v>
      </c>
      <c r="B29" s="52">
        <f t="shared" si="0"/>
        <v>43343</v>
      </c>
      <c r="C29" s="52">
        <f t="shared" si="3"/>
        <v>43343</v>
      </c>
      <c r="D29" s="53">
        <f t="array" ref="D29">HLOOKUP(B29,ReadingTableVOC,2,FALSE)</f>
        <v>2677</v>
      </c>
      <c r="E29" s="68">
        <f t="shared" si="4"/>
        <v>30</v>
      </c>
    </row>
    <row r="30" spans="1:5" ht="15" customHeight="1" x14ac:dyDescent="0.25">
      <c r="A30" s="37">
        <f t="shared" si="2"/>
        <v>0</v>
      </c>
      <c r="B30" s="52">
        <f t="shared" si="0"/>
        <v>43312</v>
      </c>
      <c r="C30" s="52">
        <f t="shared" si="3"/>
        <v>43312</v>
      </c>
      <c r="D30" s="53">
        <f t="array" ref="D30">HLOOKUP(B30,ReadingTableVOC,2,FALSE)</f>
        <v>1232</v>
      </c>
      <c r="E30" s="68">
        <f t="shared" si="4"/>
        <v>31</v>
      </c>
    </row>
    <row r="31" spans="1:5" ht="15" customHeight="1" x14ac:dyDescent="0.25">
      <c r="A31" s="37">
        <f t="shared" si="2"/>
        <v>0</v>
      </c>
      <c r="B31" s="52">
        <f t="shared" si="0"/>
        <v>43281</v>
      </c>
      <c r="C31" s="52">
        <f t="shared" si="3"/>
        <v>43281</v>
      </c>
      <c r="D31" s="53">
        <f t="array" ref="D31">HLOOKUP(B31,ReadingTableVOC,2,FALSE)</f>
        <v>3221</v>
      </c>
      <c r="E31" s="68">
        <f t="shared" si="4"/>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 t="shared" ref="H29:AF29" si="0">IF(H31="",1,0)</f>
        <v>0</v>
      </c>
      <c r="I29" s="69">
        <f t="shared" si="0"/>
        <v>0</v>
      </c>
      <c r="J29" s="69">
        <f t="shared" si="0"/>
        <v>0</v>
      </c>
      <c r="K29" s="69">
        <f t="shared" si="0"/>
        <v>0</v>
      </c>
      <c r="L29" s="69">
        <f t="shared" si="0"/>
        <v>0</v>
      </c>
      <c r="M29" s="69">
        <f t="shared" si="0"/>
        <v>0</v>
      </c>
      <c r="N29" s="69">
        <f t="shared" si="0"/>
        <v>0</v>
      </c>
      <c r="O29" s="69">
        <f t="shared" si="0"/>
        <v>0</v>
      </c>
      <c r="P29" s="69">
        <f t="shared" si="0"/>
        <v>0</v>
      </c>
      <c r="Q29" s="69">
        <f t="shared" si="0"/>
        <v>0</v>
      </c>
      <c r="R29" s="69">
        <f t="shared" si="0"/>
        <v>0</v>
      </c>
      <c r="S29" s="69">
        <f t="shared" si="0"/>
        <v>0</v>
      </c>
      <c r="T29" s="69">
        <f t="shared" si="0"/>
        <v>0</v>
      </c>
      <c r="U29" s="69">
        <f t="shared" si="0"/>
        <v>0</v>
      </c>
      <c r="V29" s="69">
        <f t="shared" si="0"/>
        <v>0</v>
      </c>
      <c r="W29" s="69">
        <f t="shared" si="0"/>
        <v>0</v>
      </c>
      <c r="X29" s="69">
        <f t="shared" si="0"/>
        <v>0</v>
      </c>
      <c r="Y29" s="69">
        <f t="shared" si="0"/>
        <v>0</v>
      </c>
      <c r="Z29" s="69">
        <f t="shared" si="0"/>
        <v>0</v>
      </c>
      <c r="AA29" s="69">
        <f t="shared" si="0"/>
        <v>0</v>
      </c>
      <c r="AB29" s="69">
        <f t="shared" si="0"/>
        <v>0</v>
      </c>
      <c r="AC29" s="69">
        <f t="shared" si="0"/>
        <v>0</v>
      </c>
      <c r="AD29" s="69">
        <f t="shared" si="0"/>
        <v>0</v>
      </c>
      <c r="AE29" s="69">
        <f t="shared" si="0"/>
        <v>0</v>
      </c>
      <c r="AF29" s="69">
        <f t="shared" si="0"/>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1">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1"/>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1"/>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1"/>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1"/>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1"/>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1"/>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1"/>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1"/>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 t="shared" ref="H45:AF45" si="2">H31</f>
        <v>44012</v>
      </c>
      <c r="I45" s="96">
        <f t="shared" si="2"/>
        <v>43982</v>
      </c>
      <c r="J45" s="96">
        <f t="shared" si="2"/>
        <v>43951</v>
      </c>
      <c r="K45" s="96">
        <f t="shared" si="2"/>
        <v>43921</v>
      </c>
      <c r="L45" s="96">
        <f t="shared" si="2"/>
        <v>43889</v>
      </c>
      <c r="M45" s="96">
        <f t="shared" si="2"/>
        <v>43861</v>
      </c>
      <c r="N45" s="96">
        <f t="shared" si="2"/>
        <v>43830</v>
      </c>
      <c r="O45" s="96">
        <f t="shared" si="2"/>
        <v>43799</v>
      </c>
      <c r="P45" s="96">
        <f t="shared" si="2"/>
        <v>43769</v>
      </c>
      <c r="Q45" s="96">
        <f t="shared" si="2"/>
        <v>43738</v>
      </c>
      <c r="R45" s="96">
        <f t="shared" si="2"/>
        <v>43708</v>
      </c>
      <c r="S45" s="96">
        <f t="shared" si="2"/>
        <v>43677</v>
      </c>
      <c r="T45" s="96">
        <f t="shared" si="2"/>
        <v>43646</v>
      </c>
      <c r="U45" s="96">
        <f t="shared" si="2"/>
        <v>43616</v>
      </c>
      <c r="V45" s="96">
        <f t="shared" si="2"/>
        <v>43585</v>
      </c>
      <c r="W45" s="96">
        <f t="shared" si="2"/>
        <v>43555</v>
      </c>
      <c r="X45" s="96">
        <f t="shared" si="2"/>
        <v>43524</v>
      </c>
      <c r="Y45" s="96">
        <f t="shared" si="2"/>
        <v>43496</v>
      </c>
      <c r="Z45" s="96">
        <f t="shared" si="2"/>
        <v>43465</v>
      </c>
      <c r="AA45" s="96">
        <f t="shared" si="2"/>
        <v>43434</v>
      </c>
      <c r="AB45" s="96">
        <f t="shared" si="2"/>
        <v>43404</v>
      </c>
      <c r="AC45" s="96">
        <f t="shared" si="2"/>
        <v>43373</v>
      </c>
      <c r="AD45" s="96">
        <f t="shared" si="2"/>
        <v>43343</v>
      </c>
      <c r="AE45" s="96">
        <f t="shared" si="2"/>
        <v>43312</v>
      </c>
      <c r="AF45" s="96">
        <f t="shared" si="2"/>
        <v>43281</v>
      </c>
    </row>
    <row r="46" spans="1:32" ht="20.25" customHeight="1" x14ac:dyDescent="0.25">
      <c r="B46" s="55" t="s">
        <v>587</v>
      </c>
      <c r="C46" s="56"/>
      <c r="D46" s="56"/>
      <c r="E46" s="56"/>
      <c r="F46" s="56"/>
      <c r="G46" s="57"/>
      <c r="H46" s="95">
        <f t="shared" ref="H46:AF46" si="3">IFERROR(MAX(H33:H44),0)</f>
        <v>2654</v>
      </c>
      <c r="I46" s="95">
        <f t="shared" si="3"/>
        <v>1173</v>
      </c>
      <c r="J46" s="95">
        <f t="shared" si="3"/>
        <v>1098</v>
      </c>
      <c r="K46" s="95">
        <f t="shared" si="3"/>
        <v>986</v>
      </c>
      <c r="L46" s="95">
        <f t="shared" si="3"/>
        <v>1212</v>
      </c>
      <c r="M46" s="95">
        <f t="shared" si="3"/>
        <v>1993</v>
      </c>
      <c r="N46" s="95">
        <f t="shared" si="3"/>
        <v>2323</v>
      </c>
      <c r="O46" s="95">
        <f t="shared" si="3"/>
        <v>2566</v>
      </c>
      <c r="P46" s="95">
        <f t="shared" si="3"/>
        <v>2577</v>
      </c>
      <c r="Q46" s="95">
        <f t="shared" si="3"/>
        <v>2756</v>
      </c>
      <c r="R46" s="95">
        <f t="shared" si="3"/>
        <v>2677</v>
      </c>
      <c r="S46" s="95">
        <f t="shared" si="3"/>
        <v>1232</v>
      </c>
      <c r="T46" s="95">
        <f t="shared" si="3"/>
        <v>3221</v>
      </c>
      <c r="U46" s="95">
        <f t="shared" si="3"/>
        <v>1173</v>
      </c>
      <c r="V46" s="95">
        <f t="shared" si="3"/>
        <v>1098</v>
      </c>
      <c r="W46" s="95">
        <f t="shared" si="3"/>
        <v>986</v>
      </c>
      <c r="X46" s="95">
        <f t="shared" si="3"/>
        <v>1212</v>
      </c>
      <c r="Y46" s="95">
        <f t="shared" si="3"/>
        <v>1993</v>
      </c>
      <c r="Z46" s="95">
        <f t="shared" si="3"/>
        <v>2323</v>
      </c>
      <c r="AA46" s="95">
        <f t="shared" si="3"/>
        <v>2566</v>
      </c>
      <c r="AB46" s="95">
        <f t="shared" si="3"/>
        <v>2577</v>
      </c>
      <c r="AC46" s="95">
        <f t="shared" si="3"/>
        <v>2756</v>
      </c>
      <c r="AD46" s="95">
        <f t="shared" si="3"/>
        <v>2677</v>
      </c>
      <c r="AE46" s="95">
        <f t="shared" si="3"/>
        <v>1232</v>
      </c>
      <c r="AF46" s="95">
        <f t="shared" si="3"/>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4">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2019-07-16T11:31:20Z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