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New Excel templates\"/>
    </mc:Choice>
  </mc:AlternateContent>
  <xr:revisionPtr revIDLastSave="0" documentId="13_ncr:1_{13C04E70-7E58-4E35-938E-C7B253A4AE49}" xr6:coauthVersionLast="36" xr6:coauthVersionMax="43" xr10:uidLastSave="{00000000-0000-0000-0000-000000000000}"/>
  <bookViews>
    <workbookView xWindow="0" yWindow="0" windowWidth="20490" windowHeight="8790" firstSheet="5" activeTab="8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Setup!$L$28:$M$271</definedName>
    <definedName name="CountriesDetails">Setup!$L$28:$L$271</definedName>
    <definedName name="countryName">Setup!$L$27:$L$271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Setup!$L$303:$L$321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31" i="15" l="1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3"/>
  <c r="E8" i="13" s="1"/>
  <c r="E9" i="13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D6" i="29"/>
  <c r="B1" i="29"/>
  <c r="D1" i="29" s="1"/>
  <c r="D6" i="28"/>
  <c r="B1" i="28"/>
  <c r="D1" i="28" s="1"/>
  <c r="AF29" i="15" l="1"/>
  <c r="AF37" i="15" a="1"/>
  <c r="AF37" i="15" s="1"/>
  <c r="AF45" i="15"/>
  <c r="AF41" i="15" a="1"/>
  <c r="AF41" i="15" s="1"/>
  <c r="AF39" i="15" a="1"/>
  <c r="AF39" i="15" s="1"/>
  <c r="AF35" i="15" a="1"/>
  <c r="AF35" i="15" s="1"/>
  <c r="AF33" i="15" a="1"/>
  <c r="AF33" i="15" s="1"/>
  <c r="AF38" i="15" a="1"/>
  <c r="AF38" i="15" s="1"/>
  <c r="AF42" i="15" a="1"/>
  <c r="AF42" i="15" s="1"/>
  <c r="AF40" i="15" a="1"/>
  <c r="AF40" i="15" s="1"/>
  <c r="AF36" i="15" a="1"/>
  <c r="AF36" i="15" s="1"/>
  <c r="AF34" i="15" a="1"/>
  <c r="AF34" i="15" s="1"/>
  <c r="AE29" i="15"/>
  <c r="AE45" i="15"/>
  <c r="AE41" i="15" a="1"/>
  <c r="AE41" i="15" s="1"/>
  <c r="AE39" i="15" a="1"/>
  <c r="AE39" i="15" s="1"/>
  <c r="AE37" i="15" a="1"/>
  <c r="AE37" i="15" s="1"/>
  <c r="AE35" i="15" a="1"/>
  <c r="AE35" i="15" s="1"/>
  <c r="AE33" i="15" a="1"/>
  <c r="AE33" i="15" s="1"/>
  <c r="AE42" i="15" a="1"/>
  <c r="AE42" i="15" s="1"/>
  <c r="AE40" i="15" a="1"/>
  <c r="AE40" i="15" s="1"/>
  <c r="AE38" i="15" a="1"/>
  <c r="AE38" i="15" s="1"/>
  <c r="AE36" i="15" a="1"/>
  <c r="AE36" i="15" s="1"/>
  <c r="AE34" i="15" a="1"/>
  <c r="AE34" i="15" s="1"/>
  <c r="AD29" i="15"/>
  <c r="AD37" i="15" a="1"/>
  <c r="AD37" i="15" s="1"/>
  <c r="AD33" i="15" a="1"/>
  <c r="AD33" i="15" s="1"/>
  <c r="AD45" i="15"/>
  <c r="AD41" i="15" a="1"/>
  <c r="AD41" i="15" s="1"/>
  <c r="AD39" i="15" a="1"/>
  <c r="AD39" i="15" s="1"/>
  <c r="AD35" i="15" a="1"/>
  <c r="AD35" i="15" s="1"/>
  <c r="AD38" i="15" a="1"/>
  <c r="AD38" i="15" s="1"/>
  <c r="AD34" i="15" a="1"/>
  <c r="AD34" i="15" s="1"/>
  <c r="AD42" i="15" a="1"/>
  <c r="AD42" i="15" s="1"/>
  <c r="AD40" i="15" a="1"/>
  <c r="AD40" i="15" s="1"/>
  <c r="AD36" i="15" a="1"/>
  <c r="AD36" i="15" s="1"/>
  <c r="AC29" i="15"/>
  <c r="AC45" i="15"/>
  <c r="AC41" i="15" a="1"/>
  <c r="AC41" i="15" s="1"/>
  <c r="AC39" i="15" a="1"/>
  <c r="AC39" i="15" s="1"/>
  <c r="AC37" i="15" a="1"/>
  <c r="AC37" i="15" s="1"/>
  <c r="AC35" i="15" a="1"/>
  <c r="AC35" i="15" s="1"/>
  <c r="AC33" i="15" a="1"/>
  <c r="AC33" i="15" s="1"/>
  <c r="AC42" i="15" a="1"/>
  <c r="AC42" i="15" s="1"/>
  <c r="AC40" i="15" a="1"/>
  <c r="AC40" i="15" s="1"/>
  <c r="AC38" i="15" a="1"/>
  <c r="AC38" i="15" s="1"/>
  <c r="AC36" i="15" a="1"/>
  <c r="AC36" i="15" s="1"/>
  <c r="AC34" i="15" a="1"/>
  <c r="AC34" i="15" s="1"/>
  <c r="AB29" i="15"/>
  <c r="AB39" i="15" a="1"/>
  <c r="AB39" i="15" s="1"/>
  <c r="AB33" i="15" a="1"/>
  <c r="AB33" i="15" s="1"/>
  <c r="AB40" i="15" a="1"/>
  <c r="AB40" i="15" s="1"/>
  <c r="AB36" i="15" a="1"/>
  <c r="AB36" i="15" s="1"/>
  <c r="AB45" i="15"/>
  <c r="AB41" i="15" a="1"/>
  <c r="AB41" i="15" s="1"/>
  <c r="AB37" i="15" a="1"/>
  <c r="AB37" i="15" s="1"/>
  <c r="AB35" i="15" a="1"/>
  <c r="AB35" i="15" s="1"/>
  <c r="AB42" i="15" a="1"/>
  <c r="AB42" i="15" s="1"/>
  <c r="AB38" i="15" a="1"/>
  <c r="AB38" i="15" s="1"/>
  <c r="AB34" i="15" a="1"/>
  <c r="AB34" i="15" s="1"/>
  <c r="AA29" i="15"/>
  <c r="AA45" i="15"/>
  <c r="AA41" i="15" a="1"/>
  <c r="AA41" i="15" s="1"/>
  <c r="AA39" i="15" a="1"/>
  <c r="AA39" i="15" s="1"/>
  <c r="AA37" i="15" a="1"/>
  <c r="AA37" i="15" s="1"/>
  <c r="AA35" i="15" a="1"/>
  <c r="AA35" i="15" s="1"/>
  <c r="AA33" i="15" a="1"/>
  <c r="AA33" i="15" s="1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Z29" i="15"/>
  <c r="Z39" i="15" a="1"/>
  <c r="Z39" i="15" s="1"/>
  <c r="Z33" i="15" a="1"/>
  <c r="Z33" i="15" s="1"/>
  <c r="Z45" i="15"/>
  <c r="Z41" i="15" a="1"/>
  <c r="Z41" i="15" s="1"/>
  <c r="Z37" i="15" a="1"/>
  <c r="Z37" i="15" s="1"/>
  <c r="Z35" i="15" a="1"/>
  <c r="Z35" i="15" s="1"/>
  <c r="Z40" i="15" a="1"/>
  <c r="Z40" i="15" s="1"/>
  <c r="Z34" i="15" a="1"/>
  <c r="Z34" i="15" s="1"/>
  <c r="Z42" i="15" a="1"/>
  <c r="Z42" i="15" s="1"/>
  <c r="Z38" i="15" a="1"/>
  <c r="Z38" i="15" s="1"/>
  <c r="Z36" i="15" a="1"/>
  <c r="Z36" i="15" s="1"/>
  <c r="Y29" i="15"/>
  <c r="Y45" i="15"/>
  <c r="Y41" i="15" a="1"/>
  <c r="Y41" i="15" s="1"/>
  <c r="Y39" i="15" a="1"/>
  <c r="Y39" i="15" s="1"/>
  <c r="Y37" i="15" a="1"/>
  <c r="Y37" i="15" s="1"/>
  <c r="Y35" i="15" a="1"/>
  <c r="Y35" i="15" s="1"/>
  <c r="Y33" i="15" a="1"/>
  <c r="Y33" i="15" s="1"/>
  <c r="Y42" i="15" a="1"/>
  <c r="Y42" i="15" s="1"/>
  <c r="Y40" i="15" a="1"/>
  <c r="Y40" i="15" s="1"/>
  <c r="Y38" i="15" a="1"/>
  <c r="Y38" i="15" s="1"/>
  <c r="Y36" i="15" a="1"/>
  <c r="Y36" i="15" s="1"/>
  <c r="Y34" i="15" a="1"/>
  <c r="Y34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29" i="15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36" i="15" a="1"/>
  <c r="V36" i="15" s="1"/>
  <c r="V42" i="15" a="1"/>
  <c r="V42" i="15" s="1"/>
  <c r="V40" i="15" a="1"/>
  <c r="V40" i="15" s="1"/>
  <c r="V38" i="15" a="1"/>
  <c r="V38" i="15" s="1"/>
  <c r="V34" i="15" a="1"/>
  <c r="V34" i="15" s="1"/>
  <c r="U29" i="15"/>
  <c r="U33" i="15" a="1"/>
  <c r="U33" i="15" s="1"/>
  <c r="U34" i="15" a="1"/>
  <c r="U34" i="15" s="1"/>
  <c r="U45" i="15"/>
  <c r="U41" i="15" a="1"/>
  <c r="U41" i="15" s="1"/>
  <c r="U39" i="15" a="1"/>
  <c r="U39" i="15" s="1"/>
  <c r="U37" i="15" a="1"/>
  <c r="U37" i="15" s="1"/>
  <c r="U35" i="15" a="1"/>
  <c r="U35" i="15" s="1"/>
  <c r="U40" i="15" a="1"/>
  <c r="U40" i="15" s="1"/>
  <c r="U36" i="15" a="1"/>
  <c r="U36" i="15" s="1"/>
  <c r="U42" i="15" a="1"/>
  <c r="U42" i="15" s="1"/>
  <c r="U38" i="15" a="1"/>
  <c r="U38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42" i="15" a="1"/>
  <c r="T42" i="15" s="1"/>
  <c r="T38" i="15" a="1"/>
  <c r="T38" i="15" s="1"/>
  <c r="T36" i="15" a="1"/>
  <c r="T36" i="15" s="1"/>
  <c r="T40" i="15" a="1"/>
  <c r="T40" i="15" s="1"/>
  <c r="T34" i="15" a="1"/>
  <c r="T34" i="15" s="1"/>
  <c r="S29" i="15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29" i="15"/>
  <c r="R37" i="15" a="1"/>
  <c r="R37" i="15" s="1"/>
  <c r="R33" i="15" a="1"/>
  <c r="R33" i="15" s="1"/>
  <c r="R45" i="15"/>
  <c r="R41" i="15" a="1"/>
  <c r="R41" i="15" s="1"/>
  <c r="R39" i="15" a="1"/>
  <c r="R39" i="15" s="1"/>
  <c r="R35" i="15" a="1"/>
  <c r="R35" i="15" s="1"/>
  <c r="R38" i="15" a="1"/>
  <c r="R38" i="15" s="1"/>
  <c r="R34" i="15" a="1"/>
  <c r="R34" i="15" s="1"/>
  <c r="R42" i="15" a="1"/>
  <c r="R42" i="15" s="1"/>
  <c r="R40" i="15" a="1"/>
  <c r="R40" i="15" s="1"/>
  <c r="R36" i="15" a="1"/>
  <c r="R36" i="15" s="1"/>
  <c r="Q29" i="15"/>
  <c r="Q33" i="15" a="1"/>
  <c r="Q33" i="15" s="1"/>
  <c r="Q36" i="15" a="1"/>
  <c r="Q36" i="15" s="1"/>
  <c r="Q45" i="15"/>
  <c r="Q41" i="15" a="1"/>
  <c r="Q41" i="15" s="1"/>
  <c r="Q39" i="15" a="1"/>
  <c r="Q39" i="15" s="1"/>
  <c r="Q37" i="15" a="1"/>
  <c r="Q37" i="15" s="1"/>
  <c r="Q35" i="15" a="1"/>
  <c r="Q35" i="15" s="1"/>
  <c r="Q40" i="15" a="1"/>
  <c r="Q40" i="15" s="1"/>
  <c r="Q34" i="15" a="1"/>
  <c r="Q34" i="15" s="1"/>
  <c r="Q42" i="15" a="1"/>
  <c r="Q42" i="15" s="1"/>
  <c r="Q38" i="15" a="1"/>
  <c r="Q38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34" i="15" a="1"/>
  <c r="P34" i="15" s="1"/>
  <c r="P42" i="15" a="1"/>
  <c r="P42" i="15" s="1"/>
  <c r="P40" i="15" a="1"/>
  <c r="P40" i="15" s="1"/>
  <c r="P38" i="15" a="1"/>
  <c r="P38" i="15" s="1"/>
  <c r="P36" i="15" a="1"/>
  <c r="P36" i="15" s="1"/>
  <c r="O29" i="15"/>
  <c r="O33" i="15" a="1"/>
  <c r="O33" i="15" s="1"/>
  <c r="O36" i="15" a="1"/>
  <c r="O36" i="15" s="1"/>
  <c r="O45" i="15"/>
  <c r="O41" i="15" a="1"/>
  <c r="O41" i="15" s="1"/>
  <c r="O39" i="15" a="1"/>
  <c r="O39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34" i="15" a="1"/>
  <c r="N34" i="15" s="1"/>
  <c r="N42" i="15" a="1"/>
  <c r="N42" i="15" s="1"/>
  <c r="N40" i="15" a="1"/>
  <c r="N40" i="15" s="1"/>
  <c r="N38" i="15" a="1"/>
  <c r="N38" i="15" s="1"/>
  <c r="N36" i="15" a="1"/>
  <c r="N36" i="15" s="1"/>
  <c r="M29" i="15"/>
  <c r="M40" i="15" a="1"/>
  <c r="M40" i="15" s="1"/>
  <c r="M45" i="15"/>
  <c r="M41" i="15" a="1"/>
  <c r="M41" i="15" s="1"/>
  <c r="M39" i="15" a="1"/>
  <c r="M39" i="15" s="1"/>
  <c r="M37" i="15" a="1"/>
  <c r="M37" i="15" s="1"/>
  <c r="M35" i="15" a="1"/>
  <c r="M35" i="15" s="1"/>
  <c r="M33" i="15" a="1"/>
  <c r="M33" i="15" s="1"/>
  <c r="M38" i="15" a="1"/>
  <c r="M38" i="15" s="1"/>
  <c r="M34" i="15" a="1"/>
  <c r="M34" i="15" s="1"/>
  <c r="M42" i="15" a="1"/>
  <c r="M42" i="15" s="1"/>
  <c r="M36" i="15" a="1"/>
  <c r="M36" i="15" s="1"/>
  <c r="L29" i="15"/>
  <c r="L39" i="15" a="1"/>
  <c r="L39" i="15" s="1"/>
  <c r="L35" i="15" a="1"/>
  <c r="L35" i="15" s="1"/>
  <c r="L45" i="15"/>
  <c r="L41" i="15" a="1"/>
  <c r="L41" i="15" s="1"/>
  <c r="L37" i="15" a="1"/>
  <c r="L37" i="15" s="1"/>
  <c r="L33" i="15" a="1"/>
  <c r="L33" i="15" s="1"/>
  <c r="L34" i="15" a="1"/>
  <c r="L34" i="15" s="1"/>
  <c r="L42" i="15" a="1"/>
  <c r="L42" i="15" s="1"/>
  <c r="L40" i="15" a="1"/>
  <c r="L40" i="15" s="1"/>
  <c r="L38" i="15" a="1"/>
  <c r="L38" i="15" s="1"/>
  <c r="L36" i="15" a="1"/>
  <c r="L36" i="15" s="1"/>
  <c r="K29" i="15"/>
  <c r="K45" i="15"/>
  <c r="K41" i="15" a="1"/>
  <c r="K41" i="15" s="1"/>
  <c r="K39" i="15" a="1"/>
  <c r="K39" i="15" s="1"/>
  <c r="K37" i="15" a="1"/>
  <c r="K37" i="15" s="1"/>
  <c r="K35" i="15" a="1"/>
  <c r="K35" i="15" s="1"/>
  <c r="K33" i="15" a="1"/>
  <c r="K33" i="15" s="1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34" i="15" a="1"/>
  <c r="J34" i="15" s="1"/>
  <c r="J42" i="15" a="1"/>
  <c r="J42" i="15" s="1"/>
  <c r="J40" i="15" a="1"/>
  <c r="J40" i="15" s="1"/>
  <c r="J38" i="15" a="1"/>
  <c r="J38" i="15" s="1"/>
  <c r="J36" i="15" a="1"/>
  <c r="J36" i="15" s="1"/>
  <c r="I29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I45" i="15"/>
  <c r="I41" i="15" a="1"/>
  <c r="I41" i="15" s="1"/>
  <c r="I39" i="15" a="1"/>
  <c r="I39" i="15" s="1"/>
  <c r="I37" i="15" a="1"/>
  <c r="I37" i="15" s="1"/>
  <c r="I35" i="15" a="1"/>
  <c r="I35" i="15" s="1"/>
  <c r="I33" i="15" a="1"/>
  <c r="I33" i="15" s="1"/>
  <c r="E10" i="13"/>
  <c r="E8" i="12"/>
  <c r="B8" i="12" s="1"/>
  <c r="C8" i="12" s="1"/>
  <c r="D7" i="12"/>
  <c r="A7" i="12" s="1"/>
  <c r="C7" i="12"/>
  <c r="AE29" i="14"/>
  <c r="AE39" i="14" a="1"/>
  <c r="AE39" i="14" s="1"/>
  <c r="AE37" i="14" a="1"/>
  <c r="AE37" i="14" s="1"/>
  <c r="AE33" i="14" a="1"/>
  <c r="AE33" i="14" s="1"/>
  <c r="AE34" i="14" a="1"/>
  <c r="AE34" i="14" s="1"/>
  <c r="AE45" i="14"/>
  <c r="AE41" i="14" a="1"/>
  <c r="AE41" i="14" s="1"/>
  <c r="AE35" i="14" a="1"/>
  <c r="AE35" i="14" s="1"/>
  <c r="AE42" i="14" a="1"/>
  <c r="AE42" i="14" s="1"/>
  <c r="AE40" i="14" a="1"/>
  <c r="AE40" i="14" s="1"/>
  <c r="AE38" i="14" a="1"/>
  <c r="AE38" i="14" s="1"/>
  <c r="AE36" i="14" a="1"/>
  <c r="AE36" i="14" s="1"/>
  <c r="AD29" i="14"/>
  <c r="AD45" i="14"/>
  <c r="AD41" i="14" a="1"/>
  <c r="AD41" i="14" s="1"/>
  <c r="AD39" i="14" a="1"/>
  <c r="AD39" i="14" s="1"/>
  <c r="AD37" i="14" a="1"/>
  <c r="AD37" i="14" s="1"/>
  <c r="AD35" i="14" a="1"/>
  <c r="AD35" i="14" s="1"/>
  <c r="AD33" i="14" a="1"/>
  <c r="AD33" i="14" s="1"/>
  <c r="AD34" i="14" a="1"/>
  <c r="AD34" i="14" s="1"/>
  <c r="AD42" i="14" a="1"/>
  <c r="AD42" i="14" s="1"/>
  <c r="AD40" i="14" a="1"/>
  <c r="AD40" i="14" s="1"/>
  <c r="AD38" i="14" a="1"/>
  <c r="AD38" i="14" s="1"/>
  <c r="AD36" i="14" a="1"/>
  <c r="AD36" i="14" s="1"/>
  <c r="AC29" i="14"/>
  <c r="AC39" i="14" a="1"/>
  <c r="AC39" i="14" s="1"/>
  <c r="AC35" i="14" a="1"/>
  <c r="AC35" i="14" s="1"/>
  <c r="AC34" i="14" a="1"/>
  <c r="AC34" i="14" s="1"/>
  <c r="AC45" i="14"/>
  <c r="AC41" i="14" a="1"/>
  <c r="AC41" i="14" s="1"/>
  <c r="AC37" i="14" a="1"/>
  <c r="AC37" i="14" s="1"/>
  <c r="AC33" i="14" a="1"/>
  <c r="AC33" i="14" s="1"/>
  <c r="AC42" i="14" a="1"/>
  <c r="AC42" i="14" s="1"/>
  <c r="AC40" i="14" a="1"/>
  <c r="AC40" i="14" s="1"/>
  <c r="AC38" i="14" a="1"/>
  <c r="AC38" i="14" s="1"/>
  <c r="AC36" i="14" a="1"/>
  <c r="AC36" i="14" s="1"/>
  <c r="AB29" i="14"/>
  <c r="AB45" i="14"/>
  <c r="AB41" i="14" a="1"/>
  <c r="AB41" i="14" s="1"/>
  <c r="AB39" i="14" a="1"/>
  <c r="AB39" i="14" s="1"/>
  <c r="AB37" i="14" a="1"/>
  <c r="AB37" i="14" s="1"/>
  <c r="AB35" i="14" a="1"/>
  <c r="AB35" i="14" s="1"/>
  <c r="AB33" i="14" a="1"/>
  <c r="AB33" i="14" s="1"/>
  <c r="AB42" i="14" a="1"/>
  <c r="AB42" i="14" s="1"/>
  <c r="AB40" i="14" a="1"/>
  <c r="AB40" i="14" s="1"/>
  <c r="AB38" i="14" a="1"/>
  <c r="AB38" i="14" s="1"/>
  <c r="AB36" i="14" a="1"/>
  <c r="AB36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4" i="14" a="1"/>
  <c r="AA34" i="14" s="1"/>
  <c r="AA42" i="14" a="1"/>
  <c r="AA42" i="14" s="1"/>
  <c r="AA38" i="14" a="1"/>
  <c r="AA38" i="14" s="1"/>
  <c r="AA36" i="14" a="1"/>
  <c r="AA36" i="14" s="1"/>
  <c r="Z29" i="14"/>
  <c r="Z33" i="14" a="1"/>
  <c r="Z33" i="14" s="1"/>
  <c r="Z45" i="14"/>
  <c r="Z41" i="14" a="1"/>
  <c r="Z41" i="14" s="1"/>
  <c r="Z39" i="14" a="1"/>
  <c r="Z39" i="14" s="1"/>
  <c r="Z37" i="14" a="1"/>
  <c r="Z37" i="14" s="1"/>
  <c r="Z35" i="14" a="1"/>
  <c r="Z35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45" i="14"/>
  <c r="X41" i="14" a="1"/>
  <c r="X41" i="14" s="1"/>
  <c r="X39" i="14" a="1"/>
  <c r="X39" i="14" s="1"/>
  <c r="X37" i="14" a="1"/>
  <c r="X37" i="14" s="1"/>
  <c r="X35" i="14" a="1"/>
  <c r="X35" i="14" s="1"/>
  <c r="X33" i="14" a="1"/>
  <c r="X33" i="14" s="1"/>
  <c r="X42" i="14" a="1"/>
  <c r="X42" i="14" s="1"/>
  <c r="X40" i="14" a="1"/>
  <c r="X40" i="14" s="1"/>
  <c r="X38" i="14" a="1"/>
  <c r="X38" i="14" s="1"/>
  <c r="X36" i="14" a="1"/>
  <c r="X36" i="14" s="1"/>
  <c r="X34" i="14" a="1"/>
  <c r="X34" i="14" s="1"/>
  <c r="W29" i="14"/>
  <c r="W33" i="14" a="1"/>
  <c r="W33" i="14" s="1"/>
  <c r="W45" i="14"/>
  <c r="W41" i="14" a="1"/>
  <c r="W41" i="14" s="1"/>
  <c r="W39" i="14" a="1"/>
  <c r="W39" i="14" s="1"/>
  <c r="W37" i="14" a="1"/>
  <c r="W37" i="14" s="1"/>
  <c r="W35" i="14" a="1"/>
  <c r="W35" i="14" s="1"/>
  <c r="W40" i="14" a="1"/>
  <c r="W40" i="14" s="1"/>
  <c r="W42" i="14" a="1"/>
  <c r="W42" i="14" s="1"/>
  <c r="W38" i="14" a="1"/>
  <c r="W38" i="14" s="1"/>
  <c r="W36" i="14" a="1"/>
  <c r="W36" i="14" s="1"/>
  <c r="W34" i="14" a="1"/>
  <c r="W34" i="14" s="1"/>
  <c r="V29" i="14"/>
  <c r="V33" i="14" a="1"/>
  <c r="V33" i="14" s="1"/>
  <c r="V45" i="14"/>
  <c r="V41" i="14" a="1"/>
  <c r="V41" i="14" s="1"/>
  <c r="V39" i="14" a="1"/>
  <c r="V39" i="14" s="1"/>
  <c r="V37" i="14" a="1"/>
  <c r="V37" i="14" s="1"/>
  <c r="V35" i="14" a="1"/>
  <c r="V35" i="14" s="1"/>
  <c r="V34" i="14" a="1"/>
  <c r="V34" i="14" s="1"/>
  <c r="V42" i="14" a="1"/>
  <c r="V42" i="14" s="1"/>
  <c r="V40" i="14" a="1"/>
  <c r="V40" i="14" s="1"/>
  <c r="V38" i="14" a="1"/>
  <c r="V38" i="14" s="1"/>
  <c r="V36" i="14" a="1"/>
  <c r="V36" i="14" s="1"/>
  <c r="U29" i="14"/>
  <c r="U39" i="14" a="1"/>
  <c r="U39" i="14" s="1"/>
  <c r="U35" i="14" a="1"/>
  <c r="U35" i="14" s="1"/>
  <c r="U45" i="14"/>
  <c r="U41" i="14" a="1"/>
  <c r="U41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45" i="14"/>
  <c r="T41" i="14" a="1"/>
  <c r="T41" i="14" s="1"/>
  <c r="T39" i="14" a="1"/>
  <c r="T39" i="14" s="1"/>
  <c r="T37" i="14" a="1"/>
  <c r="T37" i="14" s="1"/>
  <c r="T35" i="14" a="1"/>
  <c r="T35" i="14" s="1"/>
  <c r="T33" i="14" a="1"/>
  <c r="T33" i="14" s="1"/>
  <c r="T42" i="14" a="1"/>
  <c r="T42" i="14" s="1"/>
  <c r="T40" i="14" a="1"/>
  <c r="T40" i="14" s="1"/>
  <c r="T38" i="14" a="1"/>
  <c r="T38" i="14" s="1"/>
  <c r="T36" i="14" a="1"/>
  <c r="T36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4" i="14" a="1"/>
  <c r="S34" i="14" s="1"/>
  <c r="S42" i="14" a="1"/>
  <c r="S42" i="14" s="1"/>
  <c r="S38" i="14" a="1"/>
  <c r="S38" i="14" s="1"/>
  <c r="S36" i="14" a="1"/>
  <c r="S36" i="14" s="1"/>
  <c r="R29" i="14"/>
  <c r="R45" i="14"/>
  <c r="R41" i="14" a="1"/>
  <c r="R41" i="14" s="1"/>
  <c r="R39" i="14" a="1"/>
  <c r="R39" i="14" s="1"/>
  <c r="R37" i="14" a="1"/>
  <c r="R37" i="14" s="1"/>
  <c r="R35" i="14" a="1"/>
  <c r="R35" i="14" s="1"/>
  <c r="R33" i="14" a="1"/>
  <c r="R33" i="14" s="1"/>
  <c r="R42" i="14" a="1"/>
  <c r="R42" i="14" s="1"/>
  <c r="R40" i="14" a="1"/>
  <c r="R40" i="14" s="1"/>
  <c r="R38" i="14" a="1"/>
  <c r="R38" i="14" s="1"/>
  <c r="R36" i="14" a="1"/>
  <c r="R36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4" i="14" a="1"/>
  <c r="Q34" i="14" s="1"/>
  <c r="Q42" i="14" a="1"/>
  <c r="Q42" i="14" s="1"/>
  <c r="Q38" i="14" a="1"/>
  <c r="Q38" i="14" s="1"/>
  <c r="Q36" i="14" a="1"/>
  <c r="Q36" i="14" s="1"/>
  <c r="P29" i="14"/>
  <c r="P45" i="14"/>
  <c r="P41" i="14" a="1"/>
  <c r="P41" i="14" s="1"/>
  <c r="P39" i="14" a="1"/>
  <c r="P39" i="14" s="1"/>
  <c r="P37" i="14" a="1"/>
  <c r="P37" i="14" s="1"/>
  <c r="P35" i="14" a="1"/>
  <c r="P35" i="14" s="1"/>
  <c r="P33" i="14" a="1"/>
  <c r="P33" i="14" s="1"/>
  <c r="P42" i="14" a="1"/>
  <c r="P42" i="14" s="1"/>
  <c r="P40" i="14" a="1"/>
  <c r="P40" i="14" s="1"/>
  <c r="P38" i="14" a="1"/>
  <c r="P38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3" i="14" a="1"/>
  <c r="N33" i="14" s="1"/>
  <c r="N45" i="14"/>
  <c r="N41" i="14" a="1"/>
  <c r="N41" i="14" s="1"/>
  <c r="N39" i="14" a="1"/>
  <c r="N39" i="14" s="1"/>
  <c r="N37" i="14" a="1"/>
  <c r="N37" i="14" s="1"/>
  <c r="N35" i="14" a="1"/>
  <c r="N35" i="14" s="1"/>
  <c r="N34" i="14" a="1"/>
  <c r="N34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45" i="14"/>
  <c r="L41" i="14" a="1"/>
  <c r="L41" i="14" s="1"/>
  <c r="L39" i="14" a="1"/>
  <c r="L39" i="14" s="1"/>
  <c r="L37" i="14" a="1"/>
  <c r="L37" i="14" s="1"/>
  <c r="L35" i="14" a="1"/>
  <c r="L35" i="14" s="1"/>
  <c r="L33" i="14" a="1"/>
  <c r="L33" i="14" s="1"/>
  <c r="L42" i="14" a="1"/>
  <c r="L42" i="14" s="1"/>
  <c r="L40" i="14" a="1"/>
  <c r="L40" i="14" s="1"/>
  <c r="L38" i="14" a="1"/>
  <c r="L38" i="14" s="1"/>
  <c r="L36" i="14" a="1"/>
  <c r="L36" i="14" s="1"/>
  <c r="L34" i="14" a="1"/>
  <c r="L34" i="14" s="1"/>
  <c r="K29" i="14"/>
  <c r="K45" i="14"/>
  <c r="K41" i="14" a="1"/>
  <c r="K41" i="14" s="1"/>
  <c r="K39" i="14" a="1"/>
  <c r="K39" i="14" s="1"/>
  <c r="K37" i="14" a="1"/>
  <c r="K37" i="14" s="1"/>
  <c r="K35" i="14" a="1"/>
  <c r="K35" i="14" s="1"/>
  <c r="K33" i="14" a="1"/>
  <c r="K33" i="14" s="1"/>
  <c r="K42" i="14" a="1"/>
  <c r="K42" i="14" s="1"/>
  <c r="K40" i="14" a="1"/>
  <c r="K40" i="14" s="1"/>
  <c r="K38" i="14" a="1"/>
  <c r="K38" i="14" s="1"/>
  <c r="K36" i="14" a="1"/>
  <c r="K36" i="14" s="1"/>
  <c r="K34" i="14" a="1"/>
  <c r="K34" i="14" s="1"/>
  <c r="J29" i="14"/>
  <c r="J37" i="14" a="1"/>
  <c r="J37" i="14" s="1"/>
  <c r="J38" i="14" a="1"/>
  <c r="J38" i="14" s="1"/>
  <c r="J45" i="14"/>
  <c r="J41" i="14" a="1"/>
  <c r="J41" i="14" s="1"/>
  <c r="J39" i="14" a="1"/>
  <c r="J39" i="14" s="1"/>
  <c r="J35" i="14" a="1"/>
  <c r="J35" i="14" s="1"/>
  <c r="J33" i="14" a="1"/>
  <c r="J33" i="14" s="1"/>
  <c r="J36" i="14" a="1"/>
  <c r="J36" i="14" s="1"/>
  <c r="J42" i="14" a="1"/>
  <c r="J42" i="14" s="1"/>
  <c r="J40" i="14" a="1"/>
  <c r="J40" i="14" s="1"/>
  <c r="J34" i="14" a="1"/>
  <c r="J34" i="14" s="1"/>
  <c r="I29" i="14"/>
  <c r="I39" i="14" a="1"/>
  <c r="I39" i="14" s="1"/>
  <c r="I35" i="14" a="1"/>
  <c r="I35" i="14" s="1"/>
  <c r="I45" i="14"/>
  <c r="I41" i="14" a="1"/>
  <c r="I41" i="14" s="1"/>
  <c r="I37" i="14" a="1"/>
  <c r="I37" i="14" s="1"/>
  <c r="I33" i="14" a="1"/>
  <c r="I33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45" i="14"/>
  <c r="H41" i="14" a="1"/>
  <c r="H41" i="14" s="1"/>
  <c r="H39" i="14" a="1"/>
  <c r="H39" i="14" s="1"/>
  <c r="H37" i="14" a="1"/>
  <c r="H37" i="14" s="1"/>
  <c r="H35" i="14" a="1"/>
  <c r="H35" i="14" s="1"/>
  <c r="H33" i="14" a="1"/>
  <c r="H33" i="14" s="1"/>
  <c r="H42" i="14" a="1"/>
  <c r="H42" i="14" s="1"/>
  <c r="H40" i="14" a="1"/>
  <c r="H40" i="14" s="1"/>
  <c r="H38" i="14" a="1"/>
  <c r="H38" i="14" s="1"/>
  <c r="H36" i="14" a="1"/>
  <c r="H36" i="14" s="1"/>
  <c r="H34" i="14" a="1"/>
  <c r="H34" i="14" s="1"/>
  <c r="T18" i="1"/>
  <c r="I46" i="15" l="1"/>
  <c r="M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L46" i="15"/>
  <c r="K46" i="15"/>
  <c r="J46" i="15"/>
  <c r="E11" i="13"/>
  <c r="E9" i="12"/>
  <c r="E10" i="12" s="1"/>
  <c r="D8" i="12"/>
  <c r="A8" i="12" s="1"/>
  <c r="B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E12" i="13" l="1"/>
  <c r="B10" i="12"/>
  <c r="E11" i="12"/>
  <c r="D9" i="12"/>
  <c r="A9" i="12" s="1"/>
  <c r="C9" i="12"/>
  <c r="D19" i="16"/>
  <c r="E13" i="13" l="1"/>
  <c r="C10" i="12"/>
  <c r="D10" i="12"/>
  <c r="A10" i="12" s="1"/>
  <c r="B11" i="12"/>
  <c r="E12" i="12"/>
  <c r="J8" i="16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E14" i="13" l="1"/>
  <c r="C11" i="12"/>
  <c r="D11" i="12"/>
  <c r="A11" i="12" s="1"/>
  <c r="B12" i="12"/>
  <c r="E13" i="12"/>
  <c r="J7" i="16"/>
  <c r="K7" i="16"/>
  <c r="E15" i="13" l="1"/>
  <c r="B13" i="12"/>
  <c r="E14" i="12"/>
  <c r="C12" i="12"/>
  <c r="D12" i="12"/>
  <c r="A12" i="12" s="1"/>
  <c r="H19" i="16"/>
  <c r="G19" i="16"/>
  <c r="E16" i="13" l="1"/>
  <c r="B14" i="12"/>
  <c r="E15" i="12"/>
  <c r="D13" i="12"/>
  <c r="A13" i="12" s="1"/>
  <c r="C13" i="12"/>
  <c r="H31" i="15" a="1"/>
  <c r="H31" i="15" s="1"/>
  <c r="G31" i="14" a="1"/>
  <c r="G31" i="14" s="1"/>
  <c r="E17" i="13" l="1"/>
  <c r="B15" i="12"/>
  <c r="E16" i="12"/>
  <c r="C14" i="12"/>
  <c r="D14" i="12"/>
  <c r="A14" i="12" s="1"/>
  <c r="E19" i="16"/>
  <c r="B8" i="13" l="1"/>
  <c r="C8" i="13" s="1"/>
  <c r="E18" i="13"/>
  <c r="B16" i="12"/>
  <c r="E17" i="12"/>
  <c r="C15" i="12"/>
  <c r="D15" i="12"/>
  <c r="A15" i="12" s="1"/>
  <c r="J17" i="16"/>
  <c r="K17" i="16"/>
  <c r="I17" i="16" s="1"/>
  <c r="J18" i="16"/>
  <c r="K18" i="16"/>
  <c r="I18" i="16" s="1"/>
  <c r="B9" i="13" l="1"/>
  <c r="C9" i="13" s="1"/>
  <c r="E19" i="13"/>
  <c r="B17" i="12"/>
  <c r="E18" i="12"/>
  <c r="C16" i="12"/>
  <c r="D16" i="12"/>
  <c r="A16" i="12" s="1"/>
  <c r="J22" i="16"/>
  <c r="F19" i="16" s="1"/>
  <c r="B33" i="15" a="1"/>
  <c r="B33" i="15" s="1"/>
  <c r="B33" i="14" a="1"/>
  <c r="B33" i="14" s="1"/>
  <c r="D22" i="16"/>
  <c r="B22" i="16"/>
  <c r="D6" i="16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10" i="13" l="1"/>
  <c r="E20" i="13"/>
  <c r="B18" i="12"/>
  <c r="E19" i="12"/>
  <c r="D17" i="12"/>
  <c r="A17" i="12" s="1"/>
  <c r="C17" i="12"/>
  <c r="B34" i="14" a="1"/>
  <c r="B34" i="14" s="1"/>
  <c r="A33" i="15"/>
  <c r="B34" i="15" a="1"/>
  <c r="B34" i="15" s="1"/>
  <c r="H33" i="15" a="1"/>
  <c r="H33" i="15" s="1"/>
  <c r="H29" i="15"/>
  <c r="H45" i="15"/>
  <c r="B7" i="13" s="1"/>
  <c r="C7" i="13" s="1"/>
  <c r="D23" i="16"/>
  <c r="D1" i="8"/>
  <c r="D1" i="6"/>
  <c r="D1" i="4"/>
  <c r="I19" i="16"/>
  <c r="D24" i="16" s="1"/>
  <c r="G29" i="14"/>
  <c r="G45" i="14"/>
  <c r="A33" i="14"/>
  <c r="G33" i="14" a="1"/>
  <c r="G33" i="14" s="1"/>
  <c r="B11" i="13" l="1"/>
  <c r="C10" i="13"/>
  <c r="E21" i="13"/>
  <c r="B35" i="15" a="1"/>
  <c r="B35" i="15" s="1"/>
  <c r="C18" i="12"/>
  <c r="D18" i="12"/>
  <c r="A18" i="12" s="1"/>
  <c r="B19" i="12"/>
  <c r="E20" i="12"/>
  <c r="B35" i="14" a="1"/>
  <c r="B35" i="14" s="1"/>
  <c r="B36" i="14" a="1"/>
  <c r="B36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5" i="15" l="1" a="1"/>
  <c r="H35" i="15" s="1"/>
  <c r="B12" i="13"/>
  <c r="C11" i="13"/>
  <c r="E22" i="13"/>
  <c r="A35" i="15"/>
  <c r="B36" i="15" a="1"/>
  <c r="B36" i="15" s="1"/>
  <c r="C19" i="12"/>
  <c r="D19" i="12"/>
  <c r="A19" i="12" s="1"/>
  <c r="B20" i="12"/>
  <c r="E21" i="12"/>
  <c r="G35" i="14" a="1"/>
  <c r="G35" i="14" s="1"/>
  <c r="A35" i="14"/>
  <c r="G36" i="14" a="1"/>
  <c r="G36" i="14" s="1"/>
  <c r="A36" i="14"/>
  <c r="B37" i="14" a="1"/>
  <c r="B37" i="14" s="1"/>
  <c r="B14" i="13" l="1"/>
  <c r="B13" i="13"/>
  <c r="C12" i="13"/>
  <c r="E23" i="13"/>
  <c r="B37" i="15" a="1"/>
  <c r="B37" i="15" s="1"/>
  <c r="H36" i="15" a="1"/>
  <c r="H36" i="15" s="1"/>
  <c r="A36" i="15"/>
  <c r="B21" i="12"/>
  <c r="E22" i="12"/>
  <c r="C20" i="12"/>
  <c r="D20" i="12"/>
  <c r="A20" i="12" s="1"/>
  <c r="A37" i="14"/>
  <c r="G37" i="14" a="1"/>
  <c r="G37" i="14" s="1"/>
  <c r="B38" i="14" a="1"/>
  <c r="B38" i="14" s="1"/>
  <c r="B15" i="13" l="1"/>
  <c r="C15" i="13" s="1"/>
  <c r="B38" i="15" a="1"/>
  <c r="B38" i="15" s="1"/>
  <c r="H38" i="15" s="1" a="1"/>
  <c r="H38" i="15" s="1"/>
  <c r="C13" i="13"/>
  <c r="C14" i="13"/>
  <c r="E24" i="13"/>
  <c r="A37" i="15"/>
  <c r="H37" i="15" a="1"/>
  <c r="H37" i="15" s="1"/>
  <c r="B22" i="12"/>
  <c r="E23" i="12"/>
  <c r="D21" i="12"/>
  <c r="A21" i="12" s="1"/>
  <c r="C21" i="12"/>
  <c r="B39" i="14" a="1"/>
  <c r="B39" i="14" s="1"/>
  <c r="A38" i="14"/>
  <c r="G38" i="14" a="1"/>
  <c r="G38" i="14" s="1"/>
  <c r="B16" i="13" l="1"/>
  <c r="C16" i="13" s="1"/>
  <c r="A38" i="15"/>
  <c r="B39" i="15" a="1"/>
  <c r="B39" i="15" s="1"/>
  <c r="A39" i="15" s="1"/>
  <c r="E25" i="13"/>
  <c r="C22" i="12"/>
  <c r="D22" i="12"/>
  <c r="A22" i="12" s="1"/>
  <c r="B23" i="12"/>
  <c r="E24" i="12"/>
  <c r="B40" i="14" a="1"/>
  <c r="B40" i="14" s="1"/>
  <c r="B41" i="14" s="1" a="1"/>
  <c r="B41" i="14" s="1"/>
  <c r="A39" i="14"/>
  <c r="G39" i="14" a="1"/>
  <c r="G39" i="14" s="1"/>
  <c r="B17" i="13" l="1"/>
  <c r="C17" i="13" s="1"/>
  <c r="H39" i="15" a="1"/>
  <c r="H39" i="15" s="1"/>
  <c r="B40" i="15" a="1"/>
  <c r="B40" i="15" s="1"/>
  <c r="H40" i="15" s="1" a="1"/>
  <c r="H40" i="15" s="1"/>
  <c r="E26" i="13"/>
  <c r="B24" i="12"/>
  <c r="E25" i="12"/>
  <c r="C23" i="12"/>
  <c r="D23" i="12"/>
  <c r="A23" i="12" s="1"/>
  <c r="A40" i="14"/>
  <c r="G40" i="14" a="1"/>
  <c r="G40" i="14" s="1"/>
  <c r="B42" i="14" a="1"/>
  <c r="B42" i="14" s="1"/>
  <c r="G42" i="14" a="1"/>
  <c r="G42" i="14" s="1"/>
  <c r="A42" i="14"/>
  <c r="G41" i="14" a="1"/>
  <c r="G41" i="14" s="1"/>
  <c r="A41" i="14"/>
  <c r="B18" i="13" l="1"/>
  <c r="C18" i="13" s="1"/>
  <c r="A40" i="15"/>
  <c r="B41" i="15" a="1"/>
  <c r="B41" i="15" s="1"/>
  <c r="E27" i="13"/>
  <c r="A41" i="15"/>
  <c r="H41" i="15" a="1"/>
  <c r="H41" i="15" s="1"/>
  <c r="B42" i="15" a="1"/>
  <c r="B42" i="15" s="1"/>
  <c r="B25" i="12"/>
  <c r="E26" i="12"/>
  <c r="C24" i="12"/>
  <c r="D24" i="12"/>
  <c r="A24" i="12" s="1"/>
  <c r="B19" i="13" l="1"/>
  <c r="C19" i="13" s="1"/>
  <c r="B20" i="13"/>
  <c r="E28" i="13"/>
  <c r="A42" i="15"/>
  <c r="H42" i="15" a="1"/>
  <c r="H42" i="15" s="1"/>
  <c r="B26" i="12"/>
  <c r="E27" i="12"/>
  <c r="D25" i="12"/>
  <c r="A25" i="12" s="1"/>
  <c r="C25" i="12"/>
  <c r="C20" i="13" l="1"/>
  <c r="E29" i="13"/>
  <c r="B27" i="12"/>
  <c r="E28" i="12"/>
  <c r="C26" i="12"/>
  <c r="D26" i="12"/>
  <c r="A26" i="12" s="1"/>
  <c r="B21" i="13" l="1"/>
  <c r="C21" i="13" s="1"/>
  <c r="E30" i="13"/>
  <c r="B28" i="12"/>
  <c r="E29" i="12"/>
  <c r="C27" i="12"/>
  <c r="D27" i="12"/>
  <c r="A27" i="12" s="1"/>
  <c r="B22" i="13" l="1"/>
  <c r="C22" i="13" s="1"/>
  <c r="E31" i="13"/>
  <c r="B29" i="12"/>
  <c r="E30" i="12"/>
  <c r="C28" i="12"/>
  <c r="D28" i="12"/>
  <c r="A28" i="12" s="1"/>
  <c r="B23" i="13" l="1"/>
  <c r="C23" i="13" s="1"/>
  <c r="B30" i="12"/>
  <c r="E31" i="12"/>
  <c r="D29" i="12"/>
  <c r="A29" i="12" s="1"/>
  <c r="C29" i="12"/>
  <c r="B25" i="13" l="1"/>
  <c r="B24" i="13"/>
  <c r="C24" i="13" s="1"/>
  <c r="B31" i="12"/>
  <c r="C30" i="12"/>
  <c r="D30" i="12"/>
  <c r="A30" i="12" s="1"/>
  <c r="C25" i="13" l="1"/>
  <c r="C31" i="12"/>
  <c r="D31" i="12"/>
  <c r="A31" i="12" s="1"/>
  <c r="B27" i="13" l="1"/>
  <c r="B26" i="13"/>
  <c r="C26" i="13" s="1"/>
  <c r="G46" i="14"/>
  <c r="D27" i="13" l="1" a="1"/>
  <c r="D27" i="13" s="1"/>
  <c r="A27" i="13" s="1"/>
  <c r="D15" i="13" a="1"/>
  <c r="D15" i="13" s="1"/>
  <c r="A15" i="13" s="1"/>
  <c r="D23" i="13" a="1"/>
  <c r="D23" i="13" s="1"/>
  <c r="A23" i="13" s="1"/>
  <c r="D14" i="13" a="1"/>
  <c r="D14" i="13" s="1"/>
  <c r="A14" i="13" s="1"/>
  <c r="D8" i="13" a="1"/>
  <c r="D8" i="13" s="1"/>
  <c r="A8" i="13" s="1"/>
  <c r="D20" i="13" a="1"/>
  <c r="D20" i="13" s="1"/>
  <c r="A20" i="13" s="1"/>
  <c r="D9" i="13" a="1"/>
  <c r="D9" i="13" s="1"/>
  <c r="A9" i="13" s="1"/>
  <c r="D22" i="13" a="1"/>
  <c r="D22" i="13" s="1"/>
  <c r="A22" i="13" s="1"/>
  <c r="D11" i="13" a="1"/>
  <c r="D11" i="13" s="1"/>
  <c r="A11" i="13" s="1"/>
  <c r="D19" i="13" a="1"/>
  <c r="D19" i="13" s="1"/>
  <c r="A19" i="13" s="1"/>
  <c r="D18" i="13" a="1"/>
  <c r="D18" i="13" s="1"/>
  <c r="A18" i="13" s="1"/>
  <c r="D24" i="13" a="1"/>
  <c r="D24" i="13" s="1"/>
  <c r="A24" i="13" s="1"/>
  <c r="D17" i="13" a="1"/>
  <c r="D17" i="13" s="1"/>
  <c r="A17" i="13" s="1"/>
  <c r="D10" i="13" a="1"/>
  <c r="D10" i="13" s="1"/>
  <c r="A10" i="13" s="1"/>
  <c r="D16" i="13" a="1"/>
  <c r="D16" i="13" s="1"/>
  <c r="A16" i="13" s="1"/>
  <c r="D13" i="13" a="1"/>
  <c r="D13" i="13" s="1"/>
  <c r="A13" i="13" s="1"/>
  <c r="D21" i="13" a="1"/>
  <c r="D21" i="13" s="1"/>
  <c r="A21" i="13" s="1"/>
  <c r="D26" i="13" a="1"/>
  <c r="D26" i="13" s="1"/>
  <c r="A26" i="13" s="1"/>
  <c r="D12" i="13" a="1"/>
  <c r="D12" i="13" s="1"/>
  <c r="A12" i="13" s="1"/>
  <c r="D25" i="13" a="1"/>
  <c r="D25" i="13" s="1"/>
  <c r="A25" i="13" s="1"/>
  <c r="C27" i="13"/>
  <c r="H46" i="15"/>
  <c r="D7" i="13" s="1" a="1"/>
  <c r="D7" i="13" s="1"/>
  <c r="A7" i="13" s="1"/>
  <c r="D49" i="14"/>
  <c r="A49" i="14" s="1"/>
  <c r="B28" i="13" l="1"/>
  <c r="C28" i="13" s="1"/>
  <c r="D49" i="15" a="1"/>
  <c r="D49" i="15" s="1"/>
  <c r="A49" i="15" s="1"/>
  <c r="D28" i="13" l="1" a="1"/>
  <c r="D28" i="13" s="1"/>
  <c r="A28" i="13" s="1"/>
  <c r="B29" i="13"/>
  <c r="C29" i="13" s="1"/>
  <c r="D29" i="13" l="1" a="1"/>
  <c r="D29" i="13" s="1"/>
  <c r="A29" i="13" s="1"/>
  <c r="B30" i="13"/>
  <c r="C30" i="13" s="1"/>
  <c r="B31" i="13"/>
  <c r="D30" i="13" l="1" a="1"/>
  <c r="D30" i="13" s="1"/>
  <c r="A30" i="13" s="1"/>
  <c r="D31" i="13" a="1"/>
  <c r="D31" i="13" s="1"/>
  <c r="A31" i="13" s="1"/>
  <c r="C3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<sst xmlns="http://schemas.openxmlformats.org/spreadsheetml/2006/main" count="3948" uniqueCount="746">
  <si>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</si>
  <si>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</si>
  <si>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</si>
  <si>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</si>
  <si>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</si>
  <si>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</si>
  <si>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</si>
  <si>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</si>
  <si>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</si>
  <si>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</si>
  <si>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</si>
  <si>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</si>
  <si>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</si>
  <si>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</si>
  <si>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</si>
  <si>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</si>
  <si>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</si>
  <si>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</si>
  <si>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</si>
  <si>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</si>
  <si>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</si>
  <si>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</si>
  <si>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</si>
  <si>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</si>
  <si>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</si>
  <si>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</si>
  <si>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</si>
  <si>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</si>
  <si>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</si>
  <si>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</si>
  <si>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</si>
  <si>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</si>
  <si>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</si>
  <si>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</si>
  <si>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</si>
  <si>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</si>
  <si>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</si>
  <si>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</si>
  <si>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</si>
  <si>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</si>
  <si>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</si>
  <si>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</si>
  <si>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</si>
  <si>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</si>
  <si>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</si>
  <si>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</si>
  <si>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</si>
  <si>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</si>
  <si>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</si>
  <si>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</si>
  <si>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</si>
  <si>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</si>
  <si>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</si>
  <si>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</si>
  <si>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</si>
  <si>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</si>
  <si>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</si>
  <si>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</si>
  <si>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</si>
  <si>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</si>
  <si>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</si>
  <si>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</si>
  <si>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</si>
  <si>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</si>
  <si>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</si>
  <si>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</si>
  <si>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</si>
  <si>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</si>
  <si>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</si>
  <si>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</si>
  <si>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</si>
  <si>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</si>
  <si>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</si>
  <si>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</si>
  <si>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</si>
  <si>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</si>
  <si>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</si>
  <si>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</si>
  <si>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</si>
  <si>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</si>
  <si>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</si>
  <si>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</si>
  <si>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</si>
  <si>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</si>
  <si>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</si>
  <si>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</si>
  <si>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</si>
  <si>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</si>
  <si>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</si>
  <si>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</si>
  <si>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</si>
  <si>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</si>
  <si>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</si>
  <si>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</si>
  <si>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</si>
  <si>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</si>
  <si>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</si>
  <si>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</si>
  <si>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</si>
  <si>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</si>
  <si>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</si>
  <si>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</si>
  <si>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</si>
  <si>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</si>
  <si>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</si>
  <si>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</si>
  <si>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</si>
  <si>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</si>
  <si>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</si>
  <si>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</si>
  <si>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</si>
  <si>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</si>
  <si>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</si>
  <si>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</si>
  <si>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</si>
  <si>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</si>
  <si>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</si>
  <si>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</si>
  <si>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</si>
  <si>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</si>
  <si>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</si>
  <si>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</si>
  <si>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</si>
  <si>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</si>
  <si>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</si>
  <si>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</si>
  <si>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</si>
  <si>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</si>
  <si>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</si>
  <si>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</si>
  <si>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</si>
  <si>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</si>
  <si>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</si>
  <si>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</si>
  <si>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</si>
  <si>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</si>
  <si>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</si>
  <si>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</si>
  <si>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</si>
  <si>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</si>
  <si>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</si>
  <si>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</si>
  <si>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</si>
  <si>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</si>
  <si>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</si>
  <si>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</si>
  <si>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</si>
  <si>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</si>
  <si>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</si>
  <si>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</si>
  <si>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</si>
  <si>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</si>
  <si>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</si>
  <si>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</si>
  <si>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</si>
  <si>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</si>
  <si>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</si>
  <si>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</si>
  <si>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</si>
  <si>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</si>
  <si>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</si>
  <si>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</si>
  <si>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</si>
  <si>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</si>
  <si>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</si>
  <si>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</si>
  <si>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</si>
  <si>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</si>
  <si>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</si>
  <si>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</si>
  <si>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</si>
  <si>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</si>
  <si>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</si>
  <si>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</si>
  <si>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</si>
  <si>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</si>
  <si>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</si>
  <si>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</si>
  <si>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</si>
  <si>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</si>
  <si>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</si>
  <si>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</si>
  <si>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</si>
  <si>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</si>
  <si>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</si>
  <si>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</si>
  <si>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</si>
  <si>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</si>
  <si>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</si>
  <si>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</si>
  <si>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</si>
  <si>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</si>
  <si>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</si>
  <si>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</si>
  <si>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</si>
  <si>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</si>
  <si>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</si>
  <si>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</si>
  <si>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</si>
  <si>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</si>
  <si>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</si>
  <si>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</si>
  <si>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</si>
  <si>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</si>
  <si>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</si>
  <si>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</si>
  <si>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</si>
  <si>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</si>
  <si>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</si>
  <si>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</si>
  <si>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</si>
  <si>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</si>
  <si>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</si>
  <si>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</si>
  <si>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</si>
  <si>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</si>
  <si>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</si>
  <si>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</si>
  <si>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</si>
  <si>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</si>
  <si>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</si>
  <si>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</si>
  <si>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</si>
  <si>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</si>
  <si>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</si>
  <si>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</si>
  <si>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</si>
  <si>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</si>
  <si>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</si>
  <si>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</si>
  <si>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</si>
  <si>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</si>
  <si>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</si>
  <si>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</si>
  <si>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</si>
  <si>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</si>
  <si>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</si>
  <si>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</si>
  <si>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</si>
  <si>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</si>
  <si>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</si>
  <si>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</si>
  <si>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</si>
  <si>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</si>
  <si>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</si>
  <si>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</si>
  <si>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</si>
  <si>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</si>
  <si>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</si>
  <si>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</si>
  <si>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</si>
  <si>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</si>
  <si>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</si>
  <si>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</si>
  <si>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</si>
  <si>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</si>
  <si>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</si>
  <si>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</si>
  <si>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</si>
  <si>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</si>
  <si>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</si>
  <si>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</si>
  <si>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</si>
  <si>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</si>
  <si>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</si>
  <si>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</si>
  <si>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</si>
  <si>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</si>
  <si>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</si>
  <si>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</si>
  <si>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</si>
  <si>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</si>
  <si>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</si>
  <si>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</si>
  <si>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</si>
  <si>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</si>
  <si>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</si>
  <si>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</si>
  <si>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</si>
  <si>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</si>
  <si>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</si>
  <si>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</si>
  <si>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</si>
  <si>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</si>
  <si>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</si>
  <si>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</si>
  <si>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</si>
  <si>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</si>
  <si>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</si>
  <si>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</si>
  <si>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</si>
  <si>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</si>
  <si>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</si>
  <si>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</si>
  <si>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</si>
  <si>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</si>
  <si>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</si>
  <si>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</si>
  <si>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</si>
  <si>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</si>
  <si>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</si>
  <si>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</si>
  <si>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</si>
  <si>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</si>
  <si>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</si>
  <si>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</si>
  <si>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</si>
  <si>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</si>
  <si>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</si>
  <si>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</si>
  <si>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</si>
  <si>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</si>
  <si>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</si>
  <si>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</si>
  <si>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</si>
  <si>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</si>
  <si>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</si>
  <si>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</si>
  <si>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</si>
  <si>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</si>
  <si>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</si>
  <si>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</si>
  <si>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</si>
  <si>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</si>
  <si>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</si>
  <si>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</si>
  <si>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</si>
  <si>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</si>
  <si>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</si>
  <si>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</si>
  <si>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</si>
  <si>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</si>
  <si>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</si>
  <si>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</si>
  <si>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</si>
  <si>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</si>
  <si>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</si>
  <si>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</si>
  <si>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</si>
  <si>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</si>
  <si>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</si>
  <si>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</si>
  <si>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</si>
  <si>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</si>
  <si>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</si>
  <si>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</si>
  <si>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</si>
  <si>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</si>
  <si>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</si>
  <si>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</si>
  <si>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</si>
  <si>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</si>
  <si>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</si>
  <si>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</si>
  <si>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</si>
  <si>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</si>
  <si>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</si>
  <si>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</si>
  <si>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</si>
  <si>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</si>
  <si>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</si>
  <si>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</si>
  <si>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</si>
  <si>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</si>
  <si>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</si>
  <si>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</si>
  <si>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</si>
  <si>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</si>
  <si>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</si>
  <si>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</si>
  <si>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</si>
  <si>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</si>
  <si>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</si>
  <si>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</si>
  <si>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</si>
  <si>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</si>
  <si>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</si>
  <si>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</si>
  <si>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</si>
  <si>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</si>
  <si>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</si>
  <si>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</si>
  <si>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</si>
  <si>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</si>
  <si>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</si>
  <si>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</si>
  <si>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</si>
  <si>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</si>
  <si>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</si>
  <si>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</si>
  <si>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</si>
  <si>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</si>
  <si>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</si>
  <si>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</si>
  <si>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</si>
  <si>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</si>
  <si>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</si>
  <si>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</si>
  <si>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</si>
  <si>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</si>
  <si>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</si>
  <si>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</si>
  <si>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</si>
  <si>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</si>
  <si>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</si>
  <si>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</si>
  <si>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</si>
  <si>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</si>
  <si>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</si>
  <si>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</si>
  <si>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</si>
  <si>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</si>
  <si>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</si>
  <si>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</si>
  <si>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</si>
  <si>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</si>
  <si>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</si>
  <si>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</si>
  <si>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</si>
  <si>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</si>
  <si>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</si>
  <si>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</si>
  <si>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</si>
  <si>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</si>
  <si>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</si>
  <si>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</si>
  <si>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</si>
  <si>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</si>
  <si>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</si>
  <si>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</si>
  <si>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</si>
  <si>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</si>
  <si>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</si>
  <si>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</si>
  <si>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</si>
  <si>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</si>
  <si>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</si>
  <si>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</si>
  <si>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</si>
  <si>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</si>
  <si>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</si>
  <si>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</si>
  <si>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</si>
  <si>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</si>
  <si>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</si>
  <si>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</si>
  <si>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</si>
  <si>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</si>
  <si>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</si>
  <si>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</si>
  <si>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</si>
  <si>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</si>
  <si>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</si>
  <si>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</si>
  <si>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</si>
  <si>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</si>
  <si>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</si>
  <si>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</si>
  <si>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</si>
  <si>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</si>
  <si>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</si>
  <si>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</si>
  <si>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</si>
  <si>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</si>
  <si>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</si>
  <si>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</si>
  <si>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</si>
  <si>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</si>
  <si>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</si>
  <si>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</si>
  <si>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</si>
  <si>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</si>
  <si>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</si>
  <si>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</si>
  <si>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</si>
  <si>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</si>
  <si>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</si>
  <si>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</si>
  <si>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</si>
  <si>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</si>
  <si>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</si>
  <si>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</si>
  <si>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</si>
  <si>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</si>
  <si>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</si>
  <si>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</si>
  <si>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</si>
  <si>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</si>
  <si>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</si>
  <si>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</si>
  <si>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</si>
  <si>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</si>
  <si>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</si>
  <si>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</si>
  <si>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</si>
  <si>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</si>
  <si>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</si>
  <si>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</si>
  <si>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</si>
  <si>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</si>
  <si>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</si>
  <si>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</si>
  <si>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</si>
  <si>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</si>
  <si>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</si>
  <si>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</si>
  <si>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</si>
  <si>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</si>
  <si>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</si>
  <si>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</si>
  <si>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</si>
  <si>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</si>
  <si>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</si>
  <si>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</si>
  <si>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</si>
  <si>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</si>
  <si>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</si>
  <si>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</si>
  <si>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</si>
  <si>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</si>
  <si>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</si>
  <si>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</si>
  <si>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</si>
  <si>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</si>
  <si>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</si>
  <si>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</si>
  <si>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</si>
  <si>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</si>
  <si>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</si>
  <si>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</si>
  <si>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</si>
  <si>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</si>
  <si>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</si>
  <si>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</si>
  <si>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</si>
  <si>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</si>
  <si>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</si>
  <si>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</si>
  <si>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</si>
  <si>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</si>
  <si>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</si>
  <si>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</si>
  <si>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</si>
  <si>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</si>
  <si>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</si>
  <si>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</si>
  <si>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</si>
  <si>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</si>
  <si>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</si>
  <si>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</si>
  <si>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</si>
  <si>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</si>
  <si>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</si>
  <si>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</si>
  <si>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</si>
  <si>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</si>
  <si>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</si>
  <si>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</si>
  <si>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</si>
  <si>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</si>
  <si>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</si>
  <si>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</si>
  <si>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</si>
  <si>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</si>
  <si>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</si>
  <si>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</si>
  <si>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</si>
  <si>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</si>
  <si>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</si>
  <si>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</si>
  <si>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</si>
  <si>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</si>
  <si>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</si>
  <si>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</si>
  <si>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</si>
  <si>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</si>
  <si>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</si>
  <si>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</si>
  <si>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</si>
  <si>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</si>
  <si>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</si>
  <si>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</si>
  <si>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</si>
  <si>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</si>
  <si>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</si>
  <si>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</si>
  <si>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</si>
  <si>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</si>
  <si>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</si>
  <si>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</si>
  <si>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</si>
  <si>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</si>
  <si>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</si>
  <si>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</si>
  <si>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</si>
  <si>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</si>
  <si>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</si>
  <si>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</si>
  <si>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</si>
  <si>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</si>
  <si>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</si>
  <si>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</si>
  <si>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</si>
  <si>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</si>
  <si>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</si>
  <si>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</si>
  <si>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</si>
  <si>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</si>
  <si>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</si>
  <si>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</si>
  <si>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</si>
  <si>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</si>
  <si>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</si>
  <si>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</si>
  <si>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</si>
  <si>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</si>
  <si>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</si>
  <si>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</si>
  <si>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</si>
  <si>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</si>
  <si>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</si>
  <si>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</si>
  <si>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</si>
  <si>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</si>
  <si>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</si>
  <si>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</si>
  <si>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</si>
  <si>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</si>
  <si>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</si>
  <si>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</si>
  <si>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</si>
  <si>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</si>
  <si>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</si>
  <si>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</si>
  <si>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</si>
  <si>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</si>
  <si>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</si>
  <si>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</si>
  <si>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</si>
  <si>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</si>
  <si>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</si>
  <si>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</si>
  <si>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</si>
  <si>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</si>
  <si>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</si>
  <si>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</si>
  <si>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</si>
  <si>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</si>
  <si>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</si>
  <si>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</si>
  <si>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</si>
  <si>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</si>
  <si>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</si>
  <si>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</si>
  <si>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</si>
  <si>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</si>
  <si>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</si>
  <si>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</si>
  <si>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</si>
  <si>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</si>
  <si>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</si>
  <si>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</si>
  <si>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</si>
  <si>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</si>
  <si>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</si>
  <si>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</si>
  <si>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</si>
  <si>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</si>
  <si>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</si>
  <si>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</si>
  <si>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</si>
  <si>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</si>
  <si>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</si>
  <si>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</si>
  <si>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</si>
  <si>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</si>
  <si>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</si>
  <si>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</si>
  <si>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</si>
  <si>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</si>
  <si>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</si>
  <si>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</si>
  <si>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</si>
  <si>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</si>
  <si>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</si>
  <si>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</si>
  <si>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</si>
  <si>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</si>
  <si>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</si>
  <si>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</si>
  <si>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</si>
  <si>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</si>
  <si>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</si>
  <si>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</si>
  <si>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</si>
  <si>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</si>
  <si>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</si>
  <si>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</si>
  <si>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</si>
  <si>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</si>
  <si>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</si>
  <si>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</si>
  <si>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</si>
  <si>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</si>
  <si>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</si>
  <si>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</si>
  <si>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</si>
  <si>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</si>
  <si>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</si>
  <si>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</si>
  <si>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</si>
  <si>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</si>
  <si>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</si>
  <si>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</si>
  <si>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</si>
  <si>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</si>
  <si>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</si>
  <si>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</si>
  <si>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</si>
  <si>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</si>
  <si>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</si>
  <si>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</si>
  <si>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</si>
  <si>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</si>
  <si>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</si>
  <si>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</si>
  <si>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</si>
  <si>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</si>
  <si>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</si>
  <si>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Energy Meter via upload</t>
  </si>
  <si>
    <t>Water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</si>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</sst>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6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31</xdr:row>
          <xdr:rowOff>0</xdr:rowOff>
        </xdr:from>
        <xdr:to>
          <xdr:col>2</xdr:col>
          <xdr:colOff>742950</xdr:colOff>
          <xdr:row>31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F53DD192-13D2-4538-8A30-19EBD4B82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D83362B1-3431-48A3-A4E9-7204F1BC9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2A5E8D63-50ED-44BD-A3E5-B8BBBBC65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F83981F-1079-4F88-B923-17BF6E7B9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5FCC7B7E-4FC8-482C-80B3-91B7C40C2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zoomScale="90" zoomScaleNormal="90" workbookViewId="0">
      <selection activeCell="V20" sqref="V20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2" t="s">
        <v>703</v>
      </c>
      <c r="D3" s="203"/>
      <c r="E3" s="203"/>
      <c r="F3" s="203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4" t="s">
        <v>728</v>
      </c>
      <c r="D15" s="206"/>
      <c r="E15" s="205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4"/>
      <c r="D17" s="205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43633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544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1" t="s">
        <v>573</v>
      </c>
      <c r="D28" s="201"/>
      <c r="E28" s="201"/>
      <c r="F28" s="201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CMP8LR30bra2EE/CeKDw7SsIH8J51Tghc09DE0LttiXvmMxMaempGSOkKPWAIPDDeIG8c2sHqeRnzDCQtslK1w==" saltValue="PD65IrlqtL+Q8p/dwM+EdQ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BDBE9E17-F406-4F82-9B9F-DB8000FBCEA2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1" zoomScale="90" zoomScaleNormal="90" workbookViewId="0">
      <selection activeCell="F26" sqref="F26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09" t="s">
        <v>604</v>
      </c>
      <c r="C4" s="209"/>
      <c r="D4" s="209"/>
      <c r="E4" s="209"/>
      <c r="F4" s="209"/>
      <c r="G4" s="209"/>
      <c r="H4" s="209"/>
      <c r="I4" s="209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731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732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733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734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735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8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0" t="s">
        <v>615</v>
      </c>
      <c r="C19" s="211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2" t="str">
        <f>CONCATENATE("Gross 
Floor Area 
",IF(Setup!$F$9="SI Units","(sq m)","(sq ft)"))</f>
        <v>Gross 
Floor Area 
(sq ft)</v>
      </c>
      <c r="C22" s="213"/>
      <c r="D22" s="183">
        <f>IFERROR(D19," ")</f>
        <v>1284</v>
      </c>
      <c r="F22" s="135"/>
      <c r="G22" s="214" t="s">
        <v>616</v>
      </c>
      <c r="H22" s="215"/>
      <c r="J22" s="171">
        <f>(G24*H24)/8</f>
        <v>15.125</v>
      </c>
    </row>
    <row r="23" spans="1:11" ht="38.25" x14ac:dyDescent="0.2">
      <c r="A23" s="170"/>
      <c r="B23" s="207" t="s">
        <v>617</v>
      </c>
      <c r="C23" s="216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7" t="s">
        <v>620</v>
      </c>
      <c r="C24" s="208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topLeftCell="A10" zoomScaleNormal="100" workbookViewId="0">
      <selection activeCell="B24" sqref="B24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9" t="s">
        <v>568</v>
      </c>
      <c r="C2" s="220"/>
      <c r="D2" s="35" t="s">
        <v>603</v>
      </c>
      <c r="E2" s="1"/>
    </row>
    <row r="3" spans="1:6" x14ac:dyDescent="0.25">
      <c r="A3" s="4" t="s">
        <v>601</v>
      </c>
      <c r="B3" s="217" t="s">
        <v>697</v>
      </c>
      <c r="C3" s="218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>INDEX(Dates,1,E7)</f>
        <v>44012</v>
      </c>
      <c r="C7" s="55">
        <f t="shared" ref="C7" si="0">B7</f>
        <v>44012</v>
      </c>
      <c r="D7" s="56">
        <f>HLOOKUP(B7,ReadingTable,2,FALSE)</f>
        <v>0.62</v>
      </c>
      <c r="E7" s="71">
        <f>IF(E6="",7,E6+1)</f>
        <v>7</v>
      </c>
    </row>
    <row r="8" spans="1:6" x14ac:dyDescent="0.25">
      <c r="A8" s="40">
        <f t="shared" ref="A8:A31" si="1">IFERROR(IF(D8="",1,0),1)</f>
        <v>0</v>
      </c>
      <c r="B8" s="55">
        <f>INDEX(Dates,1,E8)</f>
        <v>43982</v>
      </c>
      <c r="C8" s="55">
        <f t="shared" ref="C8:C31" si="2">B8</f>
        <v>43982</v>
      </c>
      <c r="D8" s="56">
        <f>HLOOKUP(B8,ReadingTable,2,FALSE)</f>
        <v>0.19</v>
      </c>
      <c r="E8" s="71">
        <f t="shared" ref="E8:E31" si="3">IF(E7="",7,E7+1)</f>
        <v>8</v>
      </c>
    </row>
    <row r="9" spans="1:6" x14ac:dyDescent="0.25">
      <c r="A9" s="40">
        <f t="shared" si="1"/>
        <v>0</v>
      </c>
      <c r="B9" s="55">
        <f>INDEX(Dates,1,E9)</f>
        <v>43951</v>
      </c>
      <c r="C9" s="55">
        <f t="shared" si="2"/>
        <v>43951</v>
      </c>
      <c r="D9" s="56">
        <f>HLOOKUP(B9,ReadingTable,2,FALSE)</f>
        <v>0.44</v>
      </c>
      <c r="E9" s="71">
        <f t="shared" si="3"/>
        <v>9</v>
      </c>
    </row>
    <row r="10" spans="1:6" x14ac:dyDescent="0.25">
      <c r="A10" s="40">
        <f t="shared" si="1"/>
        <v>0</v>
      </c>
      <c r="B10" s="55">
        <f>INDEX(Dates,1,E10)</f>
        <v>43921</v>
      </c>
      <c r="C10" s="55">
        <f t="shared" si="2"/>
        <v>43921</v>
      </c>
      <c r="D10" s="56">
        <f>HLOOKUP(B10,ReadingTable,2,FALSE)</f>
        <v>0.73</v>
      </c>
      <c r="E10" s="71">
        <f t="shared" si="3"/>
        <v>10</v>
      </c>
    </row>
    <row r="11" spans="1:6" x14ac:dyDescent="0.25">
      <c r="A11" s="40">
        <f t="shared" si="1"/>
        <v>0</v>
      </c>
      <c r="B11" s="55">
        <f>INDEX(Dates,1,E11)</f>
        <v>43889</v>
      </c>
      <c r="C11" s="55">
        <f t="shared" si="2"/>
        <v>43889</v>
      </c>
      <c r="D11" s="56">
        <f>HLOOKUP(B11,ReadingTable,2,FALSE)</f>
        <v>0.99</v>
      </c>
      <c r="E11" s="71">
        <f t="shared" si="3"/>
        <v>11</v>
      </c>
    </row>
    <row r="12" spans="1:6" x14ac:dyDescent="0.25">
      <c r="A12" s="40">
        <f t="shared" si="1"/>
        <v>0</v>
      </c>
      <c r="B12" s="55">
        <f>INDEX(Dates,1,E12)</f>
        <v>43861</v>
      </c>
      <c r="C12" s="55">
        <f t="shared" si="2"/>
        <v>43861</v>
      </c>
      <c r="D12" s="56">
        <f>HLOOKUP(B12,ReadingTable,2,FALSE)</f>
        <v>0.11</v>
      </c>
      <c r="E12" s="71">
        <f t="shared" si="3"/>
        <v>12</v>
      </c>
    </row>
    <row r="13" spans="1:6" x14ac:dyDescent="0.25">
      <c r="A13" s="40">
        <f t="shared" si="1"/>
        <v>0</v>
      </c>
      <c r="B13" s="55">
        <f>INDEX(Dates,1,E13)</f>
        <v>43830</v>
      </c>
      <c r="C13" s="55">
        <f t="shared" si="2"/>
        <v>43830</v>
      </c>
      <c r="D13" s="56">
        <f>HLOOKUP(B13,ReadingTable,2,FALSE)</f>
        <v>0.25</v>
      </c>
      <c r="E13" s="71">
        <f t="shared" si="3"/>
        <v>13</v>
      </c>
    </row>
    <row r="14" spans="1:6" x14ac:dyDescent="0.25">
      <c r="A14" s="40">
        <f t="shared" si="1"/>
        <v>0</v>
      </c>
      <c r="B14" s="55">
        <f>INDEX(Dates,1,E14)</f>
        <v>43799</v>
      </c>
      <c r="C14" s="55">
        <f t="shared" si="2"/>
        <v>43799</v>
      </c>
      <c r="D14" s="56">
        <f>HLOOKUP(B14,ReadingTable,2,FALSE)</f>
        <v>0.25</v>
      </c>
      <c r="E14" s="71">
        <f t="shared" si="3"/>
        <v>14</v>
      </c>
    </row>
    <row r="15" spans="1:6" x14ac:dyDescent="0.25">
      <c r="A15" s="40">
        <f t="shared" si="1"/>
        <v>0</v>
      </c>
      <c r="B15" s="55">
        <f>INDEX(Dates,1,E15)</f>
        <v>43769</v>
      </c>
      <c r="C15" s="55">
        <f t="shared" si="2"/>
        <v>43769</v>
      </c>
      <c r="D15" s="56">
        <f>HLOOKUP(B15,ReadingTable,2,FALSE)</f>
        <v>0.33</v>
      </c>
      <c r="E15" s="71">
        <f t="shared" si="3"/>
        <v>15</v>
      </c>
    </row>
    <row r="16" spans="1:6" x14ac:dyDescent="0.25">
      <c r="A16" s="40">
        <f t="shared" si="1"/>
        <v>0</v>
      </c>
      <c r="B16" s="55">
        <f>INDEX(Dates,1,E16)</f>
        <v>43738</v>
      </c>
      <c r="C16" s="55">
        <f t="shared" si="2"/>
        <v>43738</v>
      </c>
      <c r="D16" s="56">
        <f>HLOOKUP(B16,ReadingTable,2,FALSE)</f>
        <v>0.19</v>
      </c>
      <c r="E16" s="71">
        <f t="shared" si="3"/>
        <v>16</v>
      </c>
    </row>
    <row r="17" spans="1:5" x14ac:dyDescent="0.25">
      <c r="A17" s="40">
        <f t="shared" si="1"/>
        <v>0</v>
      </c>
      <c r="B17" s="55">
        <f>INDEX(Dates,1,E17)</f>
        <v>43708</v>
      </c>
      <c r="C17" s="55">
        <f t="shared" si="2"/>
        <v>43708</v>
      </c>
      <c r="D17" s="56">
        <f>HLOOKUP(B17,ReadingTable,2,FALSE)</f>
        <v>0.5</v>
      </c>
      <c r="E17" s="71">
        <f t="shared" si="3"/>
        <v>17</v>
      </c>
    </row>
    <row r="18" spans="1:5" x14ac:dyDescent="0.25">
      <c r="A18" s="40">
        <f t="shared" si="1"/>
        <v>0</v>
      </c>
      <c r="B18" s="55">
        <f>INDEX(Dates,1,E18)</f>
        <v>43677</v>
      </c>
      <c r="C18" s="55">
        <f t="shared" si="2"/>
        <v>43677</v>
      </c>
      <c r="D18" s="56">
        <f>HLOOKUP(B18,ReadingTable,2,FALSE)</f>
        <v>0.5</v>
      </c>
      <c r="E18" s="71">
        <f t="shared" si="3"/>
        <v>18</v>
      </c>
    </row>
    <row r="19" spans="1:5" x14ac:dyDescent="0.25">
      <c r="A19" s="40">
        <f t="shared" si="1"/>
        <v>0</v>
      </c>
      <c r="B19" s="55">
        <f>INDEX(Dates,1,E19)</f>
        <v>43646</v>
      </c>
      <c r="C19" s="55">
        <f t="shared" si="2"/>
        <v>43646</v>
      </c>
      <c r="D19" s="56">
        <f>HLOOKUP(B19,ReadingTable,2,FALSE)</f>
        <v>0.5</v>
      </c>
      <c r="E19" s="71">
        <f t="shared" si="3"/>
        <v>19</v>
      </c>
    </row>
    <row r="20" spans="1:5" x14ac:dyDescent="0.25">
      <c r="A20" s="40">
        <f t="shared" si="1"/>
        <v>0</v>
      </c>
      <c r="B20" s="55">
        <f>INDEX(Dates,1,E20)</f>
        <v>43616</v>
      </c>
      <c r="C20" s="55">
        <f t="shared" si="2"/>
        <v>43616</v>
      </c>
      <c r="D20" s="56">
        <f>HLOOKUP(B20,ReadingTable,2,FALSE)</f>
        <v>0.19</v>
      </c>
      <c r="E20" s="71">
        <f t="shared" si="3"/>
        <v>20</v>
      </c>
    </row>
    <row r="21" spans="1:5" x14ac:dyDescent="0.25">
      <c r="A21" s="40">
        <f t="shared" si="1"/>
        <v>0</v>
      </c>
      <c r="B21" s="55">
        <f>INDEX(Dates,1,E21)</f>
        <v>43585</v>
      </c>
      <c r="C21" s="55">
        <f t="shared" si="2"/>
        <v>43585</v>
      </c>
      <c r="D21" s="56">
        <f>HLOOKUP(B21,ReadingTable,2,FALSE)</f>
        <v>0.44</v>
      </c>
      <c r="E21" s="71">
        <f t="shared" si="3"/>
        <v>21</v>
      </c>
    </row>
    <row r="22" spans="1:5" x14ac:dyDescent="0.25">
      <c r="A22" s="40">
        <f t="shared" si="1"/>
        <v>0</v>
      </c>
      <c r="B22" s="55">
        <f>INDEX(Dates,1,E22)</f>
        <v>43555</v>
      </c>
      <c r="C22" s="55">
        <f t="shared" si="2"/>
        <v>43555</v>
      </c>
      <c r="D22" s="56">
        <f>HLOOKUP(B22,ReadingTable,2,FALSE)</f>
        <v>0.73</v>
      </c>
      <c r="E22" s="71">
        <f t="shared" si="3"/>
        <v>22</v>
      </c>
    </row>
    <row r="23" spans="1:5" x14ac:dyDescent="0.25">
      <c r="A23" s="40">
        <f t="shared" si="1"/>
        <v>0</v>
      </c>
      <c r="B23" s="55">
        <f>INDEX(Dates,1,E23)</f>
        <v>43524</v>
      </c>
      <c r="C23" s="55">
        <f t="shared" si="2"/>
        <v>43524</v>
      </c>
      <c r="D23" s="56">
        <f>HLOOKUP(B23,ReadingTable,2,FALSE)</f>
        <v>0.99</v>
      </c>
      <c r="E23" s="71">
        <f t="shared" si="3"/>
        <v>23</v>
      </c>
    </row>
    <row r="24" spans="1:5" x14ac:dyDescent="0.25">
      <c r="A24" s="40">
        <f t="shared" si="1"/>
        <v>0</v>
      </c>
      <c r="B24" s="55">
        <f>INDEX(Dates,1,E24)</f>
        <v>43496</v>
      </c>
      <c r="C24" s="55">
        <f t="shared" si="2"/>
        <v>43496</v>
      </c>
      <c r="D24" s="56">
        <f>HLOOKUP(B24,ReadingTable,2,FALSE)</f>
        <v>0.11</v>
      </c>
      <c r="E24" s="71">
        <f t="shared" si="3"/>
        <v>24</v>
      </c>
    </row>
    <row r="25" spans="1:5" x14ac:dyDescent="0.25">
      <c r="A25" s="40">
        <f t="shared" si="1"/>
        <v>0</v>
      </c>
      <c r="B25" s="55">
        <f>INDEX(Dates,1,E25)</f>
        <v>43465</v>
      </c>
      <c r="C25" s="55">
        <f t="shared" si="2"/>
        <v>43465</v>
      </c>
      <c r="D25" s="56">
        <f>HLOOKUP(B25,ReadingTable,2,FALSE)</f>
        <v>0.25</v>
      </c>
      <c r="E25" s="71">
        <f t="shared" si="3"/>
        <v>25</v>
      </c>
    </row>
    <row r="26" spans="1:5" x14ac:dyDescent="0.25">
      <c r="A26" s="40">
        <f t="shared" si="1"/>
        <v>0</v>
      </c>
      <c r="B26" s="55">
        <f>INDEX(Dates,1,E26)</f>
        <v>43434</v>
      </c>
      <c r="C26" s="55">
        <f t="shared" si="2"/>
        <v>43434</v>
      </c>
      <c r="D26" s="56">
        <f>HLOOKUP(B26,ReadingTable,2,FALSE)</f>
        <v>0.25</v>
      </c>
      <c r="E26" s="71">
        <f t="shared" si="3"/>
        <v>26</v>
      </c>
    </row>
    <row r="27" spans="1:5" x14ac:dyDescent="0.25">
      <c r="A27" s="40">
        <f t="shared" si="1"/>
        <v>0</v>
      </c>
      <c r="B27" s="55">
        <f>INDEX(Dates,1,E27)</f>
        <v>43404</v>
      </c>
      <c r="C27" s="55">
        <f t="shared" si="2"/>
        <v>43404</v>
      </c>
      <c r="D27" s="56">
        <f>HLOOKUP(B27,ReadingTable,2,FALSE)</f>
        <v>0.33</v>
      </c>
      <c r="E27" s="71">
        <f t="shared" si="3"/>
        <v>27</v>
      </c>
    </row>
    <row r="28" spans="1:5" x14ac:dyDescent="0.25">
      <c r="A28" s="40">
        <f t="shared" si="1"/>
        <v>0</v>
      </c>
      <c r="B28" s="55">
        <f>INDEX(Dates,1,E28)</f>
        <v>43373</v>
      </c>
      <c r="C28" s="55">
        <f t="shared" si="2"/>
        <v>43373</v>
      </c>
      <c r="D28" s="56">
        <f>HLOOKUP(B28,ReadingTable,2,FALSE)</f>
        <v>0.19</v>
      </c>
      <c r="E28" s="71">
        <f t="shared" si="3"/>
        <v>28</v>
      </c>
    </row>
    <row r="29" spans="1:5" x14ac:dyDescent="0.25">
      <c r="A29" s="40">
        <f t="shared" si="1"/>
        <v>0</v>
      </c>
      <c r="B29" s="55">
        <f>INDEX(Dates,1,E29)</f>
        <v>43343</v>
      </c>
      <c r="C29" s="55">
        <f t="shared" si="2"/>
        <v>43343</v>
      </c>
      <c r="D29" s="56">
        <f>HLOOKUP(B29,ReadingTable,2,FALSE)</f>
        <v>0.5</v>
      </c>
      <c r="E29" s="71">
        <f t="shared" si="3"/>
        <v>29</v>
      </c>
    </row>
    <row r="30" spans="1:5" x14ac:dyDescent="0.25">
      <c r="A30" s="40">
        <f t="shared" si="1"/>
        <v>0</v>
      </c>
      <c r="B30" s="55">
        <f>INDEX(Dates,1,E30)</f>
        <v>43312</v>
      </c>
      <c r="C30" s="55">
        <f t="shared" si="2"/>
        <v>43312</v>
      </c>
      <c r="D30" s="56">
        <f>HLOOKUP(B30,ReadingTable,2,FALSE)</f>
        <v>0.5</v>
      </c>
      <c r="E30" s="71">
        <f t="shared" si="3"/>
        <v>30</v>
      </c>
    </row>
    <row r="31" spans="1:5" x14ac:dyDescent="0.25">
      <c r="A31" s="40">
        <f t="shared" si="1"/>
        <v>0</v>
      </c>
      <c r="B31" s="55">
        <f>INDEX(Dates,1,E31)</f>
        <v>43281</v>
      </c>
      <c r="C31" s="55">
        <f t="shared" si="2"/>
        <v>43281</v>
      </c>
      <c r="D31" s="56">
        <f>HLOOKUP(B31,ReadingTable,2,FALSE)</f>
        <v>0.5</v>
      </c>
      <c r="E31" s="71">
        <f t="shared" si="3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DMVflNu6hXVCodccV/c8lZcVvXUuIGiK3b+Q6EHPkPOG8zrdbowcWrkWJ6K79NXQo0l2ScST09gz1tmxyML++g==" saltValue="F9aa2y0yMCA7+of5hv8lM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F24" sqref="F24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736</v>
      </c>
      <c r="C3" s="79">
        <v>223</v>
      </c>
      <c r="D3" s="99">
        <v>44012</v>
      </c>
      <c r="E3" s="105">
        <v>0.375</v>
      </c>
      <c r="F3" s="100">
        <v>0.62</v>
      </c>
    </row>
    <row r="4" spans="1:6" x14ac:dyDescent="0.25">
      <c r="B4" s="78" t="s">
        <v>737</v>
      </c>
      <c r="C4" s="79">
        <v>224</v>
      </c>
      <c r="D4" s="99">
        <v>43982</v>
      </c>
      <c r="E4" s="105">
        <v>0.41666666666666669</v>
      </c>
      <c r="F4" s="100">
        <v>0.19</v>
      </c>
    </row>
    <row r="5" spans="1:6" x14ac:dyDescent="0.25">
      <c r="A5" s="41">
        <v>0</v>
      </c>
      <c r="B5" s="78" t="s">
        <v>738</v>
      </c>
      <c r="C5" s="79">
        <v>225</v>
      </c>
      <c r="D5" s="99">
        <v>43951</v>
      </c>
      <c r="E5" s="105">
        <v>0.45833333333333331</v>
      </c>
      <c r="F5" s="100">
        <v>0.44</v>
      </c>
    </row>
    <row r="6" spans="1:6" x14ac:dyDescent="0.25">
      <c r="A6" s="41">
        <v>0</v>
      </c>
      <c r="B6" s="78" t="s">
        <v>739</v>
      </c>
      <c r="C6" s="79">
        <v>226</v>
      </c>
      <c r="D6" s="99">
        <v>43921</v>
      </c>
      <c r="E6" s="105">
        <v>0.10416666666666667</v>
      </c>
      <c r="F6" s="100">
        <v>0.73</v>
      </c>
    </row>
    <row r="7" spans="1:6" x14ac:dyDescent="0.25">
      <c r="A7" s="41">
        <v>0</v>
      </c>
      <c r="B7" s="78" t="s">
        <v>740</v>
      </c>
      <c r="C7" s="79">
        <v>227</v>
      </c>
      <c r="D7" s="99">
        <v>43889</v>
      </c>
      <c r="E7" s="105">
        <v>0.14583333333333334</v>
      </c>
      <c r="F7" s="100">
        <v>0.99</v>
      </c>
    </row>
    <row r="8" spans="1:6" x14ac:dyDescent="0.25">
      <c r="A8" s="41">
        <v>0</v>
      </c>
      <c r="B8" s="78" t="s">
        <v>737</v>
      </c>
      <c r="C8" s="79">
        <v>228</v>
      </c>
      <c r="D8" s="99">
        <v>43861</v>
      </c>
      <c r="E8" s="105">
        <v>8.3333333333333329E-2</v>
      </c>
      <c r="F8" s="100">
        <v>0.11</v>
      </c>
    </row>
    <row r="9" spans="1:6" x14ac:dyDescent="0.25">
      <c r="A9" s="41">
        <v>0</v>
      </c>
      <c r="B9" s="78" t="s">
        <v>738</v>
      </c>
      <c r="C9" s="79">
        <v>229</v>
      </c>
      <c r="D9" s="99">
        <v>43830</v>
      </c>
      <c r="E9" s="105">
        <v>0.125</v>
      </c>
      <c r="F9" s="100">
        <v>0.25</v>
      </c>
    </row>
    <row r="10" spans="1:6" x14ac:dyDescent="0.25">
      <c r="A10" s="41">
        <v>0</v>
      </c>
      <c r="B10" s="78" t="s">
        <v>736</v>
      </c>
      <c r="C10" s="79">
        <v>230</v>
      </c>
      <c r="D10" s="99">
        <v>43799</v>
      </c>
      <c r="E10" s="105">
        <v>0.33333333333333331</v>
      </c>
      <c r="F10" s="100">
        <v>0.25</v>
      </c>
    </row>
    <row r="11" spans="1:6" x14ac:dyDescent="0.25">
      <c r="A11" s="41">
        <v>0</v>
      </c>
      <c r="B11" s="78" t="s">
        <v>741</v>
      </c>
      <c r="C11" s="79">
        <v>231</v>
      </c>
      <c r="D11" s="99">
        <v>43769</v>
      </c>
      <c r="E11" s="105">
        <v>0.30555555555555552</v>
      </c>
      <c r="F11" s="100">
        <v>0.33</v>
      </c>
    </row>
    <row r="12" spans="1:6" x14ac:dyDescent="0.25">
      <c r="A12" s="41">
        <v>0</v>
      </c>
      <c r="B12" s="78" t="s">
        <v>742</v>
      </c>
      <c r="C12" s="79">
        <v>232</v>
      </c>
      <c r="D12" s="99">
        <v>43738</v>
      </c>
      <c r="E12" s="105">
        <v>0.26458333333333334</v>
      </c>
      <c r="F12" s="100">
        <v>0.19</v>
      </c>
    </row>
    <row r="13" spans="1:6" x14ac:dyDescent="0.25">
      <c r="A13" s="41">
        <v>0</v>
      </c>
      <c r="B13" s="78" t="s">
        <v>743</v>
      </c>
      <c r="C13" s="79">
        <v>233</v>
      </c>
      <c r="D13" s="99">
        <v>43708</v>
      </c>
      <c r="E13" s="105">
        <v>0.5083333333333333</v>
      </c>
      <c r="F13" s="100">
        <v>0.5</v>
      </c>
    </row>
    <row r="14" spans="1:6" x14ac:dyDescent="0.25">
      <c r="A14" s="41">
        <v>0</v>
      </c>
      <c r="B14" s="78" t="s">
        <v>744</v>
      </c>
      <c r="C14" s="79">
        <v>234</v>
      </c>
      <c r="D14" s="99">
        <v>43677</v>
      </c>
      <c r="E14" s="105">
        <v>5.486111111111111E-2</v>
      </c>
      <c r="F14" s="100">
        <v>0.5</v>
      </c>
    </row>
    <row r="15" spans="1:6" x14ac:dyDescent="0.25">
      <c r="A15" s="41">
        <v>0</v>
      </c>
      <c r="B15" s="78" t="s">
        <v>745</v>
      </c>
      <c r="C15" s="79">
        <v>235</v>
      </c>
      <c r="D15" s="99">
        <v>43646</v>
      </c>
      <c r="E15" s="105">
        <v>0.38194444444444442</v>
      </c>
      <c r="F15" s="100">
        <v>0.5</v>
      </c>
    </row>
    <row r="16" spans="1:6" x14ac:dyDescent="0.25">
      <c r="A16" s="41">
        <v>0</v>
      </c>
      <c r="B16" s="78" t="s">
        <v>736</v>
      </c>
      <c r="C16" s="79">
        <v>236</v>
      </c>
      <c r="D16" s="99">
        <v>43616</v>
      </c>
      <c r="E16" s="105">
        <v>0.375</v>
      </c>
      <c r="F16" s="100">
        <v>0.19</v>
      </c>
    </row>
    <row r="17" spans="1:31" x14ac:dyDescent="0.25">
      <c r="A17" s="41">
        <v>0</v>
      </c>
      <c r="B17" s="78" t="s">
        <v>737</v>
      </c>
      <c r="C17" s="79">
        <v>237</v>
      </c>
      <c r="D17" s="99">
        <v>43585</v>
      </c>
      <c r="E17" s="105">
        <v>0.41666666666666669</v>
      </c>
      <c r="F17" s="100">
        <v>0.44</v>
      </c>
    </row>
    <row r="18" spans="1:31" x14ac:dyDescent="0.25">
      <c r="A18" s="41">
        <v>0</v>
      </c>
      <c r="B18" s="78" t="s">
        <v>738</v>
      </c>
      <c r="C18" s="79">
        <v>238</v>
      </c>
      <c r="D18" s="99">
        <v>43555</v>
      </c>
      <c r="E18" s="105">
        <v>0.45833333333333331</v>
      </c>
      <c r="F18" s="100">
        <v>0.73</v>
      </c>
    </row>
    <row r="19" spans="1:31" x14ac:dyDescent="0.25">
      <c r="A19" s="41">
        <v>0</v>
      </c>
      <c r="B19" s="78" t="s">
        <v>739</v>
      </c>
      <c r="C19" s="79">
        <v>239</v>
      </c>
      <c r="D19" s="99">
        <v>43524</v>
      </c>
      <c r="E19" s="105">
        <v>0.10416666666666667</v>
      </c>
      <c r="F19" s="100">
        <v>0.99</v>
      </c>
    </row>
    <row r="20" spans="1:31" x14ac:dyDescent="0.25">
      <c r="A20" s="41">
        <v>0</v>
      </c>
      <c r="B20" s="78" t="s">
        <v>740</v>
      </c>
      <c r="C20" s="79">
        <v>240</v>
      </c>
      <c r="D20" s="99">
        <v>43496</v>
      </c>
      <c r="E20" s="105">
        <v>0.14583333333333334</v>
      </c>
      <c r="F20" s="100">
        <v>0.11</v>
      </c>
    </row>
    <row r="21" spans="1:31" x14ac:dyDescent="0.25">
      <c r="A21" s="41">
        <v>0</v>
      </c>
      <c r="B21" s="78" t="s">
        <v>737</v>
      </c>
      <c r="C21" s="79">
        <v>241</v>
      </c>
      <c r="D21" s="99">
        <v>43465</v>
      </c>
      <c r="E21" s="105">
        <v>8.3333333333333329E-2</v>
      </c>
      <c r="F21" s="100">
        <v>0.25</v>
      </c>
    </row>
    <row r="22" spans="1:31" x14ac:dyDescent="0.25">
      <c r="A22" s="41">
        <v>0</v>
      </c>
      <c r="B22" s="78" t="s">
        <v>738</v>
      </c>
      <c r="C22" s="79">
        <v>242</v>
      </c>
      <c r="D22" s="99">
        <v>43434</v>
      </c>
      <c r="E22" s="105">
        <v>0.125</v>
      </c>
      <c r="F22" s="100">
        <v>0.25</v>
      </c>
    </row>
    <row r="23" spans="1:31" x14ac:dyDescent="0.25">
      <c r="A23" s="41">
        <v>0</v>
      </c>
      <c r="B23" s="78" t="s">
        <v>736</v>
      </c>
      <c r="C23" s="79">
        <v>243</v>
      </c>
      <c r="D23" s="99">
        <v>43404</v>
      </c>
      <c r="E23" s="105">
        <v>0.33333333333333331</v>
      </c>
      <c r="F23" s="100">
        <v>0.33</v>
      </c>
    </row>
    <row r="24" spans="1:31" x14ac:dyDescent="0.25">
      <c r="A24" s="41">
        <v>0</v>
      </c>
      <c r="B24" s="78" t="s">
        <v>741</v>
      </c>
      <c r="C24" s="79">
        <v>244</v>
      </c>
      <c r="D24" s="99">
        <v>43373</v>
      </c>
      <c r="E24" s="105">
        <v>0.30555555555555552</v>
      </c>
      <c r="F24" s="100">
        <v>0.19</v>
      </c>
    </row>
    <row r="25" spans="1:31" x14ac:dyDescent="0.25">
      <c r="A25" s="41">
        <v>0</v>
      </c>
      <c r="B25" s="78" t="s">
        <v>742</v>
      </c>
      <c r="C25" s="79">
        <v>245</v>
      </c>
      <c r="D25" s="99">
        <v>43343</v>
      </c>
      <c r="E25" s="105">
        <v>0.26458333333333334</v>
      </c>
      <c r="F25" s="100">
        <v>0.5</v>
      </c>
    </row>
    <row r="26" spans="1:31" x14ac:dyDescent="0.25">
      <c r="A26" s="41">
        <v>0</v>
      </c>
      <c r="B26" s="78" t="s">
        <v>743</v>
      </c>
      <c r="C26" s="79">
        <v>246</v>
      </c>
      <c r="D26" s="99">
        <v>43312</v>
      </c>
      <c r="E26" s="105">
        <v>0.5083333333333333</v>
      </c>
      <c r="F26" s="100">
        <v>0.5</v>
      </c>
    </row>
    <row r="27" spans="1:31" x14ac:dyDescent="0.25">
      <c r="A27" s="41">
        <v>0</v>
      </c>
      <c r="B27" s="78" t="s">
        <v>740</v>
      </c>
      <c r="C27" s="79">
        <v>247</v>
      </c>
      <c r="D27" s="99">
        <v>43281</v>
      </c>
      <c r="E27" s="105">
        <v>0.26458333333333334</v>
      </c>
      <c r="F27" s="100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>IF(G31="",1,0)</f>
        <v>0</v>
      </c>
      <c r="H29" s="72">
        <f>IF(H31="",1,0)</f>
        <v>0</v>
      </c>
      <c r="I29" s="72">
        <f>IF(I31="",1,0)</f>
        <v>0</v>
      </c>
      <c r="J29" s="72">
        <f>IF(J31="",1,0)</f>
        <v>0</v>
      </c>
      <c r="K29" s="72">
        <f>IF(K31="",1,0)</f>
        <v>0</v>
      </c>
      <c r="L29" s="72">
        <f>IF(L31="",1,0)</f>
        <v>0</v>
      </c>
      <c r="M29" s="72">
        <f>IF(M31="",1,0)</f>
        <v>0</v>
      </c>
      <c r="N29" s="72">
        <f>IF(N31="",1,0)</f>
        <v>0</v>
      </c>
      <c r="O29" s="72">
        <f>IF(O31="",1,0)</f>
        <v>0</v>
      </c>
      <c r="P29" s="72">
        <f>IF(P31="",1,0)</f>
        <v>0</v>
      </c>
      <c r="Q29" s="72">
        <f>IF(Q31="",1,0)</f>
        <v>0</v>
      </c>
      <c r="R29" s="72">
        <f>IF(R31="",1,0)</f>
        <v>0</v>
      </c>
      <c r="S29" s="72">
        <f>IF(S31="",1,0)</f>
        <v>0</v>
      </c>
      <c r="T29" s="72">
        <f>IF(T31="",1,0)</f>
        <v>0</v>
      </c>
      <c r="U29" s="72">
        <f>IF(U31="",1,0)</f>
        <v>0</v>
      </c>
      <c r="V29" s="72">
        <f>IF(V31="",1,0)</f>
        <v>0</v>
      </c>
      <c r="W29" s="72">
        <f>IF(W31="",1,0)</f>
        <v>0</v>
      </c>
      <c r="X29" s="72">
        <f>IF(X31="",1,0)</f>
        <v>0</v>
      </c>
      <c r="Y29" s="72">
        <f>IF(Y31="",1,0)</f>
        <v>0</v>
      </c>
      <c r="Z29" s="72">
        <f>IF(Z31="",1,0)</f>
        <v>0</v>
      </c>
      <c r="AA29" s="72">
        <f>IF(AA31="",1,0)</f>
        <v>0</v>
      </c>
      <c r="AB29" s="72">
        <f>IF(AB31="",1,0)</f>
        <v>0</v>
      </c>
      <c r="AC29" s="72">
        <f>IF(AC31="",1,0)</f>
        <v>0</v>
      </c>
      <c r="AD29" s="72">
        <f>IF(AD31="",1,0)</f>
        <v>0</v>
      </c>
      <c r="AE29" s="72">
        <f>IF(AE31="",1,0)</f>
        <v>0</v>
      </c>
    </row>
    <row r="30" spans="1:31" ht="21" customHeight="1" x14ac:dyDescent="0.25">
      <c r="A30" s="41" t="s">
        <v>601</v>
      </c>
      <c r="B30" s="221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22"/>
      <c r="C31" s="66"/>
      <c r="D31" s="66"/>
      <c r="E31" s="66"/>
      <c r="F31" s="67"/>
      <c r="G31" s="172">
        <f t="array" ref="G31">IFERROR(INDEX($D$3:$D$28, MATCH(0,IF(ISBLANK($D$3:$D$28),1,COUNTIF($F$31:F31, $D$3:$D$28)), 0)),"")</f>
        <v>44012</v>
      </c>
      <c r="H31" s="172">
        <f t="array" ref="H31">IFERROR(INDEX($D$3:$D$28, MATCH(0,IF(ISBLANK($D$3:$D$28),1,COUNTIF($F$31:G31, $D$3:$D$28)), 0)),"")</f>
        <v>43982</v>
      </c>
      <c r="I31" s="172">
        <f t="array" ref="I31">IFERROR(INDEX($D$3:$D$28, MATCH(0,IF(ISBLANK($D$3:$D$28),1,COUNTIF($F$31:H31, $D$3:$D$28)), 0)),"")</f>
        <v>43951</v>
      </c>
      <c r="J31" s="172">
        <f t="array" ref="J31">IFERROR(INDEX($D$3:$D$28, MATCH(0,IF(ISBLANK($D$3:$D$28),1,COUNTIF($F$31:I31, $D$3:$D$28)), 0)),"")</f>
        <v>43921</v>
      </c>
      <c r="K31" s="172">
        <f t="array" ref="K31">IFERROR(INDEX($D$3:$D$28, MATCH(0,IF(ISBLANK($D$3:$D$28),1,COUNTIF($F$31:J31, $D$3:$D$28)), 0)),"")</f>
        <v>43889</v>
      </c>
      <c r="L31" s="172">
        <f t="array" ref="L31">IFERROR(INDEX($D$3:$D$28, MATCH(0,IF(ISBLANK($D$3:$D$28),1,COUNTIF($F$31:K31, $D$3:$D$28)), 0)),"")</f>
        <v>43861</v>
      </c>
      <c r="M31" s="172">
        <f t="array" ref="M31">IFERROR(INDEX($D$3:$D$28, MATCH(0,IF(ISBLANK($D$3:$D$28),1,COUNTIF($F$31:L31, $D$3:$D$28)), 0)),"")</f>
        <v>43830</v>
      </c>
      <c r="N31" s="172">
        <f t="array" ref="N31">IFERROR(INDEX($D$3:$D$28, MATCH(0,IF(ISBLANK($D$3:$D$28),1,COUNTIF($F$31:M31, $D$3:$D$28)), 0)),"")</f>
        <v>43799</v>
      </c>
      <c r="O31" s="172">
        <f t="array" ref="O31">IFERROR(INDEX($D$3:$D$28, MATCH(0,IF(ISBLANK($D$3:$D$28),1,COUNTIF($F$31:N31, $D$3:$D$28)), 0)),"")</f>
        <v>43769</v>
      </c>
      <c r="P31" s="172">
        <f t="array" ref="P31">IFERROR(INDEX($D$3:$D$28, MATCH(0,IF(ISBLANK($D$3:$D$28),1,COUNTIF($F$31:O31, $D$3:$D$28)), 0)),"")</f>
        <v>43738</v>
      </c>
      <c r="Q31" s="172">
        <f t="array" ref="Q31">IFERROR(INDEX($D$3:$D$28, MATCH(0,IF(ISBLANK($D$3:$D$28),1,COUNTIF($F$31:P31, $D$3:$D$28)), 0)),"")</f>
        <v>43708</v>
      </c>
      <c r="R31" s="172">
        <f t="array" ref="R31">IFERROR(INDEX($D$3:$D$28, MATCH(0,IF(ISBLANK($D$3:$D$28),1,COUNTIF($F$31:Q31, $D$3:$D$28)), 0)),"")</f>
        <v>43677</v>
      </c>
      <c r="S31" s="172">
        <f t="array" ref="S31">IFERROR(INDEX($D$3:$D$28, MATCH(0,IF(ISBLANK($D$3:$D$28),1,COUNTIF($F$31:R31, $D$3:$D$28)), 0)),"")</f>
        <v>43646</v>
      </c>
      <c r="T31" s="172">
        <f t="array" ref="T31">IFERROR(INDEX($D$3:$D$28, MATCH(0,IF(ISBLANK($D$3:$D$28),1,COUNTIF($F$31:S31, $D$3:$D$28)), 0)),"")</f>
        <v>43616</v>
      </c>
      <c r="U31" s="172">
        <f t="array" ref="U31">IFERROR(INDEX($D$3:$D$28, MATCH(0,IF(ISBLANK($D$3:$D$28),1,COUNTIF($F$31:T31, $D$3:$D$28)), 0)),"")</f>
        <v>43585</v>
      </c>
      <c r="V31" s="172">
        <f t="array" ref="V31">IFERROR(INDEX($D$3:$D$28, MATCH(0,IF(ISBLANK($D$3:$D$28),1,COUNTIF($F$31:U31, $D$3:$D$28)), 0)),"")</f>
        <v>43555</v>
      </c>
      <c r="W31" s="172">
        <f t="array" ref="W31">IFERROR(INDEX($D$3:$D$28, MATCH(0,IF(ISBLANK($D$3:$D$28),1,COUNTIF($F$31:V31, $D$3:$D$28)), 0)),"")</f>
        <v>43524</v>
      </c>
      <c r="X31" s="172">
        <f t="array" ref="X31">IFERROR(INDEX($D$3:$D$28, MATCH(0,IF(ISBLANK($D$3:$D$28),1,COUNTIF($F$31:W31, $D$3:$D$28)), 0)),"")</f>
        <v>43496</v>
      </c>
      <c r="Y31" s="172">
        <f t="array" ref="Y31">IFERROR(INDEX($D$3:$D$28, MATCH(0,IF(ISBLANK($D$3:$D$28),1,COUNTIF($F$31:X31, $D$3:$D$28)), 0)),"")</f>
        <v>43465</v>
      </c>
      <c r="Z31" s="172">
        <f t="array" ref="Z31">IFERROR(INDEX($D$3:$D$28, MATCH(0,IF(ISBLANK($D$3:$D$28),1,COUNTIF($F$31:Y31, $D$3:$D$28)), 0)),"")</f>
        <v>43434</v>
      </c>
      <c r="AA31" s="172">
        <f t="array" ref="AA31">IFERROR(INDEX($D$3:$D$28, MATCH(0,IF(ISBLANK($D$3:$D$28),1,COUNTIF($F$31:Z31, $D$3:$D$28)), 0)),"")</f>
        <v>43404</v>
      </c>
      <c r="AB31" s="172">
        <f t="array" ref="AB31">IFERROR(INDEX($D$3:$D$28, MATCH(0,IF(ISBLANK($D$3:$D$28),1,COUNTIF($F$31:AA31, $D$3:$D$28)), 0)),"")</f>
        <v>43373</v>
      </c>
      <c r="AC31" s="172">
        <f t="array" ref="AC31">IFERROR(INDEX($D$3:$D$28, MATCH(0,IF(ISBLANK($D$3:$D$28),1,COUNTIF($F$31:AB31, $D$3:$D$28)), 0)),"")</f>
        <v>43343</v>
      </c>
      <c r="AD31" s="172">
        <f t="array" ref="AD31">IFERROR(INDEX($D$3:$D$28, MATCH(0,IF(ISBLANK($D$3:$D$28),1,COUNTIF($F$31:AC31, $D$3:$D$28)), 0)),"")</f>
        <v>43312</v>
      </c>
      <c r="AE31" s="172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23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1">
        <f t="array" ref="G33">IFERROR(PERCENTILE(IF($B$3:$B$28=$B33,IF($D$3:$D$28=G$31,IF($F$3:$F$28&lt;&gt;"",$F$3:$F$28))),0.95),"")</f>
        <v>0.62</v>
      </c>
      <c r="H33" s="101" t="str">
        <f t="array" ref="H33">IFERROR(PERCENTILE(IF($B$3:$B$28=$B33,IF($D$3:$D$28=H$31,IF($F$3:$F$28&lt;&gt;"",$F$3:$F$28))),0.95),"")</f>
        <v/>
      </c>
      <c r="I33" s="101" t="str">
        <f t="array" ref="I33">IFERROR(PERCENTILE(IF($B$3:$B$28=$B33,IF($D$3:$D$28=I$31,IF($F$3:$F$28&lt;&gt;"",$F$3:$F$28))),0.95),"")</f>
        <v/>
      </c>
      <c r="J33" s="101" t="str">
        <f t="array" ref="J33">IFERROR(PERCENTILE(IF($B$3:$B$28=$B33,IF($D$3:$D$28=J$31,IF($F$3:$F$28&lt;&gt;"",$F$3:$F$28))),0.95),"")</f>
        <v/>
      </c>
      <c r="K33" s="101" t="str">
        <f t="array" ref="K33">IFERROR(PERCENTILE(IF($B$3:$B$28=$B33,IF($D$3:$D$28=K$31,IF($F$3:$F$28&lt;&gt;"",$F$3:$F$28))),0.95),"")</f>
        <v/>
      </c>
      <c r="L33" s="101" t="str">
        <f t="array" ref="L33">IFERROR(PERCENTILE(IF($B$3:$B$28=$B33,IF($D$3:$D$28=L$31,IF($F$3:$F$28&lt;&gt;"",$F$3:$F$28))),0.95),"")</f>
        <v/>
      </c>
      <c r="M33" s="101" t="str">
        <f t="array" ref="M33">IFERROR(PERCENTILE(IF($B$3:$B$28=$B33,IF($D$3:$D$28=M$31,IF($F$3:$F$28&lt;&gt;"",$F$3:$F$28))),0.95),"")</f>
        <v/>
      </c>
      <c r="N33" s="101">
        <f t="array" ref="N33">IFERROR(PERCENTILE(IF($B$3:$B$28=$B33,IF($D$3:$D$28=N$31,IF($F$3:$F$28&lt;&gt;"",$F$3:$F$28))),0.95),"")</f>
        <v>0.25</v>
      </c>
      <c r="O33" s="101" t="str">
        <f t="array" ref="O33">IFERROR(PERCENTILE(IF($B$3:$B$28=$B33,IF($D$3:$D$28=O$31,IF($F$3:$F$28&lt;&gt;"",$F$3:$F$28))),0.95),"")</f>
        <v/>
      </c>
      <c r="P33" s="101" t="str">
        <f t="array" ref="P33">IFERROR(PERCENTILE(IF($B$3:$B$28=$B33,IF($D$3:$D$28=P$31,IF($F$3:$F$28&lt;&gt;"",$F$3:$F$28))),0.95),"")</f>
        <v/>
      </c>
      <c r="Q33" s="101" t="str">
        <f t="array" ref="Q33">IFERROR(PERCENTILE(IF($B$3:$B$28=$B33,IF($D$3:$D$28=Q$31,IF($F$3:$F$28&lt;&gt;"",$F$3:$F$28))),0.95),"")</f>
        <v/>
      </c>
      <c r="R33" s="101" t="str">
        <f t="array" ref="R33">IFERROR(PERCENTILE(IF($B$3:$B$28=$B33,IF($D$3:$D$28=R$31,IF($F$3:$F$28&lt;&gt;"",$F$3:$F$28))),0.95),"")</f>
        <v/>
      </c>
      <c r="S33" s="101" t="str">
        <f t="array" ref="S33">IFERROR(PERCENTILE(IF($B$3:$B$28=$B33,IF($D$3:$D$28=S$31,IF($F$3:$F$28&lt;&gt;"",$F$3:$F$28))),0.95),"")</f>
        <v/>
      </c>
      <c r="T33" s="101">
        <f t="array" ref="T33">IFERROR(PERCENTILE(IF($B$3:$B$28=$B33,IF($D$3:$D$28=T$31,IF($F$3:$F$28&lt;&gt;"",$F$3:$F$28))),0.95),"")</f>
        <v>0.19</v>
      </c>
      <c r="U33" s="101" t="str">
        <f t="array" ref="U33">IFERROR(PERCENTILE(IF($B$3:$B$28=$B33,IF($D$3:$D$28=U$31,IF($F$3:$F$28&lt;&gt;"",$F$3:$F$28))),0.95),"")</f>
        <v/>
      </c>
      <c r="V33" s="101" t="str">
        <f t="array" ref="V33">IFERROR(PERCENTILE(IF($B$3:$B$28=$B33,IF($D$3:$D$28=V$31,IF($F$3:$F$28&lt;&gt;"",$F$3:$F$28))),0.95),"")</f>
        <v/>
      </c>
      <c r="W33" s="101" t="str">
        <f t="array" ref="W33">IFERROR(PERCENTILE(IF($B$3:$B$28=$B33,IF($D$3:$D$28=W$31,IF($F$3:$F$28&lt;&gt;"",$F$3:$F$28))),0.95),"")</f>
        <v/>
      </c>
      <c r="X33" s="101" t="str">
        <f t="array" ref="X33">IFERROR(PERCENTILE(IF($B$3:$B$28=$B33,IF($D$3:$D$28=X$31,IF($F$3:$F$28&lt;&gt;"",$F$3:$F$28))),0.95),"")</f>
        <v/>
      </c>
      <c r="Y33" s="101" t="str">
        <f t="array" ref="Y33">IFERROR(PERCENTILE(IF($B$3:$B$28=$B33,IF($D$3:$D$28=Y$31,IF($F$3:$F$28&lt;&gt;"",$F$3:$F$28))),0.95),"")</f>
        <v/>
      </c>
      <c r="Z33" s="101" t="str">
        <f t="array" ref="Z33">IFERROR(PERCENTILE(IF($B$3:$B$28=$B33,IF($D$3:$D$28=Z$31,IF($F$3:$F$28&lt;&gt;"",$F$3:$F$28))),0.95),"")</f>
        <v/>
      </c>
      <c r="AA33" s="101">
        <f t="array" ref="AA33">IFERROR(PERCENTILE(IF($B$3:$B$28=$B33,IF($D$3:$D$28=AA$31,IF($F$3:$F$28&lt;&gt;"",$F$3:$F$28))),0.95),"")</f>
        <v>0.33</v>
      </c>
      <c r="AB33" s="101" t="str">
        <f t="array" ref="AB33">IFERROR(PERCENTILE(IF($B$3:$B$28=$B33,IF($D$3:$D$28=AB$31,IF($F$3:$F$28&lt;&gt;"",$F$3:$F$28))),0.95),"")</f>
        <v/>
      </c>
      <c r="AC33" s="101" t="str">
        <f t="array" ref="AC33">IFERROR(PERCENTILE(IF($B$3:$B$28=$B33,IF($D$3:$D$28=AC$31,IF($F$3:$F$28&lt;&gt;"",$F$3:$F$28))),0.95),"")</f>
        <v/>
      </c>
      <c r="AD33" s="101" t="str">
        <f t="array" ref="AD33">IFERROR(PERCENTILE(IF($B$3:$B$28=$B33,IF($D$3:$D$28=AD$31,IF($F$3:$F$28&lt;&gt;"",$F$3:$F$28))),0.95),"")</f>
        <v/>
      </c>
      <c r="AE33" s="101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0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1" t="str">
        <f t="array" ref="G34">IFERROR(PERCENTILE(IF($B$3:$B$28=$B34,IF($D$3:$D$28=G$31,IF($F$3:$F$28&lt;&gt;"",$F$3:$F$28))),0.95),"")</f>
        <v/>
      </c>
      <c r="H34" s="101">
        <f t="array" ref="H34">IFERROR(PERCENTILE(IF($B$3:$B$28=$B34,IF($D$3:$D$28=H$31,IF($F$3:$F$28&lt;&gt;"",$F$3:$F$28))),0.95),"")</f>
        <v>0.19</v>
      </c>
      <c r="I34" s="101" t="str">
        <f t="array" ref="I34">IFERROR(PERCENTILE(IF($B$3:$B$28=$B34,IF($D$3:$D$28=I$31,IF($F$3:$F$28&lt;&gt;"",$F$3:$F$28))),0.95),"")</f>
        <v/>
      </c>
      <c r="J34" s="101" t="str">
        <f t="array" ref="J34">IFERROR(PERCENTILE(IF($B$3:$B$28=$B34,IF($D$3:$D$28=J$31,IF($F$3:$F$28&lt;&gt;"",$F$3:$F$28))),0.95),"")</f>
        <v/>
      </c>
      <c r="K34" s="101" t="str">
        <f t="array" ref="K34">IFERROR(PERCENTILE(IF($B$3:$B$28=$B34,IF($D$3:$D$28=K$31,IF($F$3:$F$28&lt;&gt;"",$F$3:$F$28))),0.95),"")</f>
        <v/>
      </c>
      <c r="L34" s="101">
        <f t="array" ref="L34">IFERROR(PERCENTILE(IF($B$3:$B$28=$B34,IF($D$3:$D$28=L$31,IF($F$3:$F$28&lt;&gt;"",$F$3:$F$28))),0.95),"")</f>
        <v>0.11</v>
      </c>
      <c r="M34" s="101" t="str">
        <f t="array" ref="M34">IFERROR(PERCENTILE(IF($B$3:$B$28=$B34,IF($D$3:$D$28=M$31,IF($F$3:$F$28&lt;&gt;"",$F$3:$F$28))),0.95),"")</f>
        <v/>
      </c>
      <c r="N34" s="101" t="str">
        <f t="array" ref="N34">IFERROR(PERCENTILE(IF($B$3:$B$28=$B34,IF($D$3:$D$28=N$31,IF($F$3:$F$28&lt;&gt;"",$F$3:$F$28))),0.95),"")</f>
        <v/>
      </c>
      <c r="O34" s="101" t="str">
        <f t="array" ref="O34">IFERROR(PERCENTILE(IF($B$3:$B$28=$B34,IF($D$3:$D$28=O$31,IF($F$3:$F$28&lt;&gt;"",$F$3:$F$28))),0.95),"")</f>
        <v/>
      </c>
      <c r="P34" s="101" t="str">
        <f t="array" ref="P34">IFERROR(PERCENTILE(IF($B$3:$B$28=$B34,IF($D$3:$D$28=P$31,IF($F$3:$F$28&lt;&gt;"",$F$3:$F$28))),0.95),"")</f>
        <v/>
      </c>
      <c r="Q34" s="101" t="str">
        <f t="array" ref="Q34">IFERROR(PERCENTILE(IF($B$3:$B$28=$B34,IF($D$3:$D$28=Q$31,IF($F$3:$F$28&lt;&gt;"",$F$3:$F$28))),0.95),"")</f>
        <v/>
      </c>
      <c r="R34" s="101" t="str">
        <f t="array" ref="R34">IFERROR(PERCENTILE(IF($B$3:$B$28=$B34,IF($D$3:$D$28=R$31,IF($F$3:$F$28&lt;&gt;"",$F$3:$F$28))),0.95),"")</f>
        <v/>
      </c>
      <c r="S34" s="101" t="str">
        <f t="array" ref="S34">IFERROR(PERCENTILE(IF($B$3:$B$28=$B34,IF($D$3:$D$28=S$31,IF($F$3:$F$28&lt;&gt;"",$F$3:$F$28))),0.95),"")</f>
        <v/>
      </c>
      <c r="T34" s="101" t="str">
        <f t="array" ref="T34">IFERROR(PERCENTILE(IF($B$3:$B$28=$B34,IF($D$3:$D$28=T$31,IF($F$3:$F$28&lt;&gt;"",$F$3:$F$28))),0.95),"")</f>
        <v/>
      </c>
      <c r="U34" s="101">
        <f t="array" ref="U34">IFERROR(PERCENTILE(IF($B$3:$B$28=$B34,IF($D$3:$D$28=U$31,IF($F$3:$F$28&lt;&gt;"",$F$3:$F$28))),0.95),"")</f>
        <v>0.44</v>
      </c>
      <c r="V34" s="101" t="str">
        <f t="array" ref="V34">IFERROR(PERCENTILE(IF($B$3:$B$28=$B34,IF($D$3:$D$28=V$31,IF($F$3:$F$28&lt;&gt;"",$F$3:$F$28))),0.95),"")</f>
        <v/>
      </c>
      <c r="W34" s="101" t="str">
        <f t="array" ref="W34">IFERROR(PERCENTILE(IF($B$3:$B$28=$B34,IF($D$3:$D$28=W$31,IF($F$3:$F$28&lt;&gt;"",$F$3:$F$28))),0.95),"")</f>
        <v/>
      </c>
      <c r="X34" s="101" t="str">
        <f t="array" ref="X34">IFERROR(PERCENTILE(IF($B$3:$B$28=$B34,IF($D$3:$D$28=X$31,IF($F$3:$F$28&lt;&gt;"",$F$3:$F$28))),0.95),"")</f>
        <v/>
      </c>
      <c r="Y34" s="101">
        <f t="array" ref="Y34">IFERROR(PERCENTILE(IF($B$3:$B$28=$B34,IF($D$3:$D$28=Y$31,IF($F$3:$F$28&lt;&gt;"",$F$3:$F$28))),0.95),"")</f>
        <v>0.25</v>
      </c>
      <c r="Z34" s="101" t="str">
        <f t="array" ref="Z34">IFERROR(PERCENTILE(IF($B$3:$B$28=$B34,IF($D$3:$D$28=Z$31,IF($F$3:$F$28&lt;&gt;"",$F$3:$F$28))),0.95),"")</f>
        <v/>
      </c>
      <c r="AA34" s="101" t="str">
        <f t="array" ref="AA34">IFERROR(PERCENTILE(IF($B$3:$B$28=$B34,IF($D$3:$D$28=AA$31,IF($F$3:$F$28&lt;&gt;"",$F$3:$F$28))),0.95),"")</f>
        <v/>
      </c>
      <c r="AB34" s="101" t="str">
        <f t="array" ref="AB34">IFERROR(PERCENTILE(IF($B$3:$B$28=$B34,IF($D$3:$D$28=AB$31,IF($F$3:$F$28&lt;&gt;"",$F$3:$F$28))),0.95),"")</f>
        <v/>
      </c>
      <c r="AC34" s="101" t="str">
        <f t="array" ref="AC34">IFERROR(PERCENTILE(IF($B$3:$B$28=$B34,IF($D$3:$D$28=AC$31,IF($F$3:$F$28&lt;&gt;"",$F$3:$F$28))),0.95),"")</f>
        <v/>
      </c>
      <c r="AD34" s="101" t="str">
        <f t="array" ref="AD34">IFERROR(PERCENTILE(IF($B$3:$B$28=$B34,IF($D$3:$D$28=AD$31,IF($F$3:$F$28&lt;&gt;"",$F$3:$F$28))),0.95),"")</f>
        <v/>
      </c>
      <c r="AE34" s="101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1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1" t="str">
        <f t="array" ref="G35">IFERROR(PERCENTILE(IF($B$3:$B$28=$B35,IF($D$3:$D$28=G$31,IF($F$3:$F$28&lt;&gt;"",$F$3:$F$28))),0.95),"")</f>
        <v/>
      </c>
      <c r="H35" s="101" t="str">
        <f t="array" ref="H35">IFERROR(PERCENTILE(IF($B$3:$B$28=$B35,IF($D$3:$D$28=H$31,IF($F$3:$F$28&lt;&gt;"",$F$3:$F$28))),0.95),"")</f>
        <v/>
      </c>
      <c r="I35" s="101">
        <f t="array" ref="I35">IFERROR(PERCENTILE(IF($B$3:$B$28=$B35,IF($D$3:$D$28=I$31,IF($F$3:$F$28&lt;&gt;"",$F$3:$F$28))),0.95),"")</f>
        <v>0.44</v>
      </c>
      <c r="J35" s="101" t="str">
        <f t="array" ref="J35">IFERROR(PERCENTILE(IF($B$3:$B$28=$B35,IF($D$3:$D$28=J$31,IF($F$3:$F$28&lt;&gt;"",$F$3:$F$28))),0.95),"")</f>
        <v/>
      </c>
      <c r="K35" s="101" t="str">
        <f t="array" ref="K35">IFERROR(PERCENTILE(IF($B$3:$B$28=$B35,IF($D$3:$D$28=K$31,IF($F$3:$F$28&lt;&gt;"",$F$3:$F$28))),0.95),"")</f>
        <v/>
      </c>
      <c r="L35" s="101" t="str">
        <f t="array" ref="L35">IFERROR(PERCENTILE(IF($B$3:$B$28=$B35,IF($D$3:$D$28=L$31,IF($F$3:$F$28&lt;&gt;"",$F$3:$F$28))),0.95),"")</f>
        <v/>
      </c>
      <c r="M35" s="101">
        <f t="array" ref="M35">IFERROR(PERCENTILE(IF($B$3:$B$28=$B35,IF($D$3:$D$28=M$31,IF($F$3:$F$28&lt;&gt;"",$F$3:$F$28))),0.95),"")</f>
        <v>0.25</v>
      </c>
      <c r="N35" s="101" t="str">
        <f t="array" ref="N35">IFERROR(PERCENTILE(IF($B$3:$B$28=$B35,IF($D$3:$D$28=N$31,IF($F$3:$F$28&lt;&gt;"",$F$3:$F$28))),0.95),"")</f>
        <v/>
      </c>
      <c r="O35" s="101" t="str">
        <f t="array" ref="O35">IFERROR(PERCENTILE(IF($B$3:$B$28=$B35,IF($D$3:$D$28=O$31,IF($F$3:$F$28&lt;&gt;"",$F$3:$F$28))),0.95),"")</f>
        <v/>
      </c>
      <c r="P35" s="101" t="str">
        <f t="array" ref="P35">IFERROR(PERCENTILE(IF($B$3:$B$28=$B35,IF($D$3:$D$28=P$31,IF($F$3:$F$28&lt;&gt;"",$F$3:$F$28))),0.95),"")</f>
        <v/>
      </c>
      <c r="Q35" s="101" t="str">
        <f t="array" ref="Q35">IFERROR(PERCENTILE(IF($B$3:$B$28=$B35,IF($D$3:$D$28=Q$31,IF($F$3:$F$28&lt;&gt;"",$F$3:$F$28))),0.95),"")</f>
        <v/>
      </c>
      <c r="R35" s="101" t="str">
        <f t="array" ref="R35">IFERROR(PERCENTILE(IF($B$3:$B$28=$B35,IF($D$3:$D$28=R$31,IF($F$3:$F$28&lt;&gt;"",$F$3:$F$28))),0.95),"")</f>
        <v/>
      </c>
      <c r="S35" s="101" t="str">
        <f t="array" ref="S35">IFERROR(PERCENTILE(IF($B$3:$B$28=$B35,IF($D$3:$D$28=S$31,IF($F$3:$F$28&lt;&gt;"",$F$3:$F$28))),0.95),"")</f>
        <v/>
      </c>
      <c r="T35" s="101" t="str">
        <f t="array" ref="T35">IFERROR(PERCENTILE(IF($B$3:$B$28=$B35,IF($D$3:$D$28=T$31,IF($F$3:$F$28&lt;&gt;"",$F$3:$F$28))),0.95),"")</f>
        <v/>
      </c>
      <c r="U35" s="101" t="str">
        <f t="array" ref="U35">IFERROR(PERCENTILE(IF($B$3:$B$28=$B35,IF($D$3:$D$28=U$31,IF($F$3:$F$28&lt;&gt;"",$F$3:$F$28))),0.95),"")</f>
        <v/>
      </c>
      <c r="V35" s="101">
        <f t="array" ref="V35">IFERROR(PERCENTILE(IF($B$3:$B$28=$B35,IF($D$3:$D$28=V$31,IF($F$3:$F$28&lt;&gt;"",$F$3:$F$28))),0.95),"")</f>
        <v>0.73</v>
      </c>
      <c r="W35" s="101" t="str">
        <f t="array" ref="W35">IFERROR(PERCENTILE(IF($B$3:$B$28=$B35,IF($D$3:$D$28=W$31,IF($F$3:$F$28&lt;&gt;"",$F$3:$F$28))),0.95),"")</f>
        <v/>
      </c>
      <c r="X35" s="101" t="str">
        <f t="array" ref="X35">IFERROR(PERCENTILE(IF($B$3:$B$28=$B35,IF($D$3:$D$28=X$31,IF($F$3:$F$28&lt;&gt;"",$F$3:$F$28))),0.95),"")</f>
        <v/>
      </c>
      <c r="Y35" s="101" t="str">
        <f t="array" ref="Y35">IFERROR(PERCENTILE(IF($B$3:$B$28=$B35,IF($D$3:$D$28=Y$31,IF($F$3:$F$28&lt;&gt;"",$F$3:$F$28))),0.95),"")</f>
        <v/>
      </c>
      <c r="Z35" s="101">
        <f t="array" ref="Z35">IFERROR(PERCENTILE(IF($B$3:$B$28=$B35,IF($D$3:$D$28=Z$31,IF($F$3:$F$28&lt;&gt;"",$F$3:$F$28))),0.95),"")</f>
        <v>0.25</v>
      </c>
      <c r="AA35" s="101" t="str">
        <f t="array" ref="AA35">IFERROR(PERCENTILE(IF($B$3:$B$28=$B35,IF($D$3:$D$28=AA$31,IF($F$3:$F$28&lt;&gt;"",$F$3:$F$28))),0.95),"")</f>
        <v/>
      </c>
      <c r="AB35" s="101" t="str">
        <f t="array" ref="AB35">IFERROR(PERCENTILE(IF($B$3:$B$28=$B35,IF($D$3:$D$28=AB$31,IF($F$3:$F$28&lt;&gt;"",$F$3:$F$28))),0.95),"")</f>
        <v/>
      </c>
      <c r="AC35" s="101" t="str">
        <f t="array" ref="AC35">IFERROR(PERCENTILE(IF($B$3:$B$28=$B35,IF($D$3:$D$28=AC$31,IF($F$3:$F$28&lt;&gt;"",$F$3:$F$28))),0.95),"")</f>
        <v/>
      </c>
      <c r="AD35" s="101" t="str">
        <f t="array" ref="AD35">IFERROR(PERCENTILE(IF($B$3:$B$28=$B35,IF($D$3:$D$28=AD$31,IF($F$3:$F$28&lt;&gt;"",$F$3:$F$28))),0.95),"")</f>
        <v/>
      </c>
      <c r="AE35" s="101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1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1" t="str">
        <f t="array" ref="G36">IFERROR(PERCENTILE(IF($B$3:$B$28=$B36,IF($D$3:$D$28=G$31,IF($F$3:$F$28&lt;&gt;"",$F$3:$F$28))),0.95),"")</f>
        <v/>
      </c>
      <c r="H36" s="101" t="str">
        <f t="array" ref="H36">IFERROR(PERCENTILE(IF($B$3:$B$28=$B36,IF($D$3:$D$28=H$31,IF($F$3:$F$28&lt;&gt;"",$F$3:$F$28))),0.95),"")</f>
        <v/>
      </c>
      <c r="I36" s="101" t="str">
        <f t="array" ref="I36">IFERROR(PERCENTILE(IF($B$3:$B$28=$B36,IF($D$3:$D$28=I$31,IF($F$3:$F$28&lt;&gt;"",$F$3:$F$28))),0.95),"")</f>
        <v/>
      </c>
      <c r="J36" s="101">
        <f t="array" ref="J36">IFERROR(PERCENTILE(IF($B$3:$B$28=$B36,IF($D$3:$D$28=J$31,IF($F$3:$F$28&lt;&gt;"",$F$3:$F$28))),0.95),"")</f>
        <v>0.73</v>
      </c>
      <c r="K36" s="101" t="str">
        <f t="array" ref="K36">IFERROR(PERCENTILE(IF($B$3:$B$28=$B36,IF($D$3:$D$28=K$31,IF($F$3:$F$28&lt;&gt;"",$F$3:$F$28))),0.95),"")</f>
        <v/>
      </c>
      <c r="L36" s="101" t="str">
        <f t="array" ref="L36">IFERROR(PERCENTILE(IF($B$3:$B$28=$B36,IF($D$3:$D$28=L$31,IF($F$3:$F$28&lt;&gt;"",$F$3:$F$28))),0.95),"")</f>
        <v/>
      </c>
      <c r="M36" s="101" t="str">
        <f t="array" ref="M36">IFERROR(PERCENTILE(IF($B$3:$B$28=$B36,IF($D$3:$D$28=M$31,IF($F$3:$F$28&lt;&gt;"",$F$3:$F$28))),0.95),"")</f>
        <v/>
      </c>
      <c r="N36" s="101" t="str">
        <f t="array" ref="N36">IFERROR(PERCENTILE(IF($B$3:$B$28=$B36,IF($D$3:$D$28=N$31,IF($F$3:$F$28&lt;&gt;"",$F$3:$F$28))),0.95),"")</f>
        <v/>
      </c>
      <c r="O36" s="101" t="str">
        <f t="array" ref="O36">IFERROR(PERCENTILE(IF($B$3:$B$28=$B36,IF($D$3:$D$28=O$31,IF($F$3:$F$28&lt;&gt;"",$F$3:$F$28))),0.95),"")</f>
        <v/>
      </c>
      <c r="P36" s="101" t="str">
        <f t="array" ref="P36">IFERROR(PERCENTILE(IF($B$3:$B$28=$B36,IF($D$3:$D$28=P$31,IF($F$3:$F$28&lt;&gt;"",$F$3:$F$28))),0.95),"")</f>
        <v/>
      </c>
      <c r="Q36" s="101" t="str">
        <f t="array" ref="Q36">IFERROR(PERCENTILE(IF($B$3:$B$28=$B36,IF($D$3:$D$28=Q$31,IF($F$3:$F$28&lt;&gt;"",$F$3:$F$28))),0.95),"")</f>
        <v/>
      </c>
      <c r="R36" s="101" t="str">
        <f t="array" ref="R36">IFERROR(PERCENTILE(IF($B$3:$B$28=$B36,IF($D$3:$D$28=R$31,IF($F$3:$F$28&lt;&gt;"",$F$3:$F$28))),0.95),"")</f>
        <v/>
      </c>
      <c r="S36" s="101" t="str">
        <f t="array" ref="S36">IFERROR(PERCENTILE(IF($B$3:$B$28=$B36,IF($D$3:$D$28=S$31,IF($F$3:$F$28&lt;&gt;"",$F$3:$F$28))),0.95),"")</f>
        <v/>
      </c>
      <c r="T36" s="101" t="str">
        <f t="array" ref="T36">IFERROR(PERCENTILE(IF($B$3:$B$28=$B36,IF($D$3:$D$28=T$31,IF($F$3:$F$28&lt;&gt;"",$F$3:$F$28))),0.95),"")</f>
        <v/>
      </c>
      <c r="U36" s="101" t="str">
        <f t="array" ref="U36">IFERROR(PERCENTILE(IF($B$3:$B$28=$B36,IF($D$3:$D$28=U$31,IF($F$3:$F$28&lt;&gt;"",$F$3:$F$28))),0.95),"")</f>
        <v/>
      </c>
      <c r="V36" s="101" t="str">
        <f t="array" ref="V36">IFERROR(PERCENTILE(IF($B$3:$B$28=$B36,IF($D$3:$D$28=V$31,IF($F$3:$F$28&lt;&gt;"",$F$3:$F$28))),0.95),"")</f>
        <v/>
      </c>
      <c r="W36" s="101">
        <f t="array" ref="W36">IFERROR(PERCENTILE(IF($B$3:$B$28=$B36,IF($D$3:$D$28=W$31,IF($F$3:$F$28&lt;&gt;"",$F$3:$F$28))),0.95),"")</f>
        <v>0.99</v>
      </c>
      <c r="X36" s="101" t="str">
        <f t="array" ref="X36">IFERROR(PERCENTILE(IF($B$3:$B$28=$B36,IF($D$3:$D$28=X$31,IF($F$3:$F$28&lt;&gt;"",$F$3:$F$28))),0.95),"")</f>
        <v/>
      </c>
      <c r="Y36" s="101" t="str">
        <f t="array" ref="Y36">IFERROR(PERCENTILE(IF($B$3:$B$28=$B36,IF($D$3:$D$28=Y$31,IF($F$3:$F$28&lt;&gt;"",$F$3:$F$28))),0.95),"")</f>
        <v/>
      </c>
      <c r="Z36" s="101" t="str">
        <f t="array" ref="Z36">IFERROR(PERCENTILE(IF($B$3:$B$28=$B36,IF($D$3:$D$28=Z$31,IF($F$3:$F$28&lt;&gt;"",$F$3:$F$28))),0.95),"")</f>
        <v/>
      </c>
      <c r="AA36" s="101" t="str">
        <f t="array" ref="AA36">IFERROR(PERCENTILE(IF($B$3:$B$28=$B36,IF($D$3:$D$28=AA$31,IF($F$3:$F$28&lt;&gt;"",$F$3:$F$28))),0.95),"")</f>
        <v/>
      </c>
      <c r="AB36" s="101" t="str">
        <f t="array" ref="AB36">IFERROR(PERCENTILE(IF($B$3:$B$28=$B36,IF($D$3:$D$28=AB$31,IF($F$3:$F$28&lt;&gt;"",$F$3:$F$28))),0.95),"")</f>
        <v/>
      </c>
      <c r="AC36" s="101" t="str">
        <f t="array" ref="AC36">IFERROR(PERCENTILE(IF($B$3:$B$28=$B36,IF($D$3:$D$28=AC$31,IF($F$3:$F$28&lt;&gt;"",$F$3:$F$28))),0.95),"")</f>
        <v/>
      </c>
      <c r="AD36" s="101" t="str">
        <f t="array" ref="AD36">IFERROR(PERCENTILE(IF($B$3:$B$28=$B36,IF($D$3:$D$28=AD$31,IF($F$3:$F$28&lt;&gt;"",$F$3:$F$28))),0.95),"")</f>
        <v/>
      </c>
      <c r="AE36" s="101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1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1" t="str">
        <f t="array" ref="G37">IFERROR(PERCENTILE(IF($B$3:$B$28=$B37,IF($D$3:$D$28=G$31,IF($F$3:$F$28&lt;&gt;"",$F$3:$F$28))),0.95),"")</f>
        <v/>
      </c>
      <c r="H37" s="101" t="str">
        <f t="array" ref="H37">IFERROR(PERCENTILE(IF($B$3:$B$28=$B37,IF($D$3:$D$28=H$31,IF($F$3:$F$28&lt;&gt;"",$F$3:$F$28))),0.95),"")</f>
        <v/>
      </c>
      <c r="I37" s="101" t="str">
        <f t="array" ref="I37">IFERROR(PERCENTILE(IF($B$3:$B$28=$B37,IF($D$3:$D$28=I$31,IF($F$3:$F$28&lt;&gt;"",$F$3:$F$28))),0.95),"")</f>
        <v/>
      </c>
      <c r="J37" s="101" t="str">
        <f t="array" ref="J37">IFERROR(PERCENTILE(IF($B$3:$B$28=$B37,IF($D$3:$D$28=J$31,IF($F$3:$F$28&lt;&gt;"",$F$3:$F$28))),0.95),"")</f>
        <v/>
      </c>
      <c r="K37" s="101">
        <f t="array" ref="K37">IFERROR(PERCENTILE(IF($B$3:$B$28=$B37,IF($D$3:$D$28=K$31,IF($F$3:$F$28&lt;&gt;"",$F$3:$F$28))),0.95),"")</f>
        <v>0.99</v>
      </c>
      <c r="L37" s="101" t="str">
        <f t="array" ref="L37">IFERROR(PERCENTILE(IF($B$3:$B$28=$B37,IF($D$3:$D$28=L$31,IF($F$3:$F$28&lt;&gt;"",$F$3:$F$28))),0.95),"")</f>
        <v/>
      </c>
      <c r="M37" s="101" t="str">
        <f t="array" ref="M37">IFERROR(PERCENTILE(IF($B$3:$B$28=$B37,IF($D$3:$D$28=M$31,IF($F$3:$F$28&lt;&gt;"",$F$3:$F$28))),0.95),"")</f>
        <v/>
      </c>
      <c r="N37" s="101" t="str">
        <f t="array" ref="N37">IFERROR(PERCENTILE(IF($B$3:$B$28=$B37,IF($D$3:$D$28=N$31,IF($F$3:$F$28&lt;&gt;"",$F$3:$F$28))),0.95),"")</f>
        <v/>
      </c>
      <c r="O37" s="101" t="str">
        <f t="array" ref="O37">IFERROR(PERCENTILE(IF($B$3:$B$28=$B37,IF($D$3:$D$28=O$31,IF($F$3:$F$28&lt;&gt;"",$F$3:$F$28))),0.95),"")</f>
        <v/>
      </c>
      <c r="P37" s="101" t="str">
        <f t="array" ref="P37">IFERROR(PERCENTILE(IF($B$3:$B$28=$B37,IF($D$3:$D$28=P$31,IF($F$3:$F$28&lt;&gt;"",$F$3:$F$28))),0.95),"")</f>
        <v/>
      </c>
      <c r="Q37" s="101" t="str">
        <f t="array" ref="Q37">IFERROR(PERCENTILE(IF($B$3:$B$28=$B37,IF($D$3:$D$28=Q$31,IF($F$3:$F$28&lt;&gt;"",$F$3:$F$28))),0.95),"")</f>
        <v/>
      </c>
      <c r="R37" s="101" t="str">
        <f t="array" ref="R37">IFERROR(PERCENTILE(IF($B$3:$B$28=$B37,IF($D$3:$D$28=R$31,IF($F$3:$F$28&lt;&gt;"",$F$3:$F$28))),0.95),"")</f>
        <v/>
      </c>
      <c r="S37" s="101" t="str">
        <f t="array" ref="S37">IFERROR(PERCENTILE(IF($B$3:$B$28=$B37,IF($D$3:$D$28=S$31,IF($F$3:$F$28&lt;&gt;"",$F$3:$F$28))),0.95),"")</f>
        <v/>
      </c>
      <c r="T37" s="101" t="str">
        <f t="array" ref="T37">IFERROR(PERCENTILE(IF($B$3:$B$28=$B37,IF($D$3:$D$28=T$31,IF($F$3:$F$28&lt;&gt;"",$F$3:$F$28))),0.95),"")</f>
        <v/>
      </c>
      <c r="U37" s="101" t="str">
        <f t="array" ref="U37">IFERROR(PERCENTILE(IF($B$3:$B$28=$B37,IF($D$3:$D$28=U$31,IF($F$3:$F$28&lt;&gt;"",$F$3:$F$28))),0.95),"")</f>
        <v/>
      </c>
      <c r="V37" s="101" t="str">
        <f t="array" ref="V37">IFERROR(PERCENTILE(IF($B$3:$B$28=$B37,IF($D$3:$D$28=V$31,IF($F$3:$F$28&lt;&gt;"",$F$3:$F$28))),0.95),"")</f>
        <v/>
      </c>
      <c r="W37" s="101" t="str">
        <f t="array" ref="W37">IFERROR(PERCENTILE(IF($B$3:$B$28=$B37,IF($D$3:$D$28=W$31,IF($F$3:$F$28&lt;&gt;"",$F$3:$F$28))),0.95),"")</f>
        <v/>
      </c>
      <c r="X37" s="101">
        <f t="array" ref="X37">IFERROR(PERCENTILE(IF($B$3:$B$28=$B37,IF($D$3:$D$28=X$31,IF($F$3:$F$28&lt;&gt;"",$F$3:$F$28))),0.95),"")</f>
        <v>0.11</v>
      </c>
      <c r="Y37" s="101" t="str">
        <f t="array" ref="Y37">IFERROR(PERCENTILE(IF($B$3:$B$28=$B37,IF($D$3:$D$28=Y$31,IF($F$3:$F$28&lt;&gt;"",$F$3:$F$28))),0.95),"")</f>
        <v/>
      </c>
      <c r="Z37" s="101" t="str">
        <f t="array" ref="Z37">IFERROR(PERCENTILE(IF($B$3:$B$28=$B37,IF($D$3:$D$28=Z$31,IF($F$3:$F$28&lt;&gt;"",$F$3:$F$28))),0.95),"")</f>
        <v/>
      </c>
      <c r="AA37" s="101" t="str">
        <f t="array" ref="AA37">IFERROR(PERCENTILE(IF($B$3:$B$28=$B37,IF($D$3:$D$28=AA$31,IF($F$3:$F$28&lt;&gt;"",$F$3:$F$28))),0.95),"")</f>
        <v/>
      </c>
      <c r="AB37" s="101" t="str">
        <f t="array" ref="AB37">IFERROR(PERCENTILE(IF($B$3:$B$28=$B37,IF($D$3:$D$28=AB$31,IF($F$3:$F$28&lt;&gt;"",$F$3:$F$28))),0.95),"")</f>
        <v/>
      </c>
      <c r="AC37" s="101" t="str">
        <f t="array" ref="AC37">IFERROR(PERCENTILE(IF($B$3:$B$28=$B37,IF($D$3:$D$28=AC$31,IF($F$3:$F$28&lt;&gt;"",$F$3:$F$28))),0.95),"")</f>
        <v/>
      </c>
      <c r="AD37" s="101" t="str">
        <f t="array" ref="AD37">IFERROR(PERCENTILE(IF($B$3:$B$28=$B37,IF($D$3:$D$28=AD$31,IF($F$3:$F$28&lt;&gt;"",$F$3:$F$28))),0.95),"")</f>
        <v/>
      </c>
      <c r="AE37" s="101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1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1" t="str">
        <f t="array" ref="G38">IFERROR(PERCENTILE(IF($B$3:$B$28=$B38,IF($D$3:$D$28=G$31,IF($F$3:$F$28&lt;&gt;"",$F$3:$F$28))),0.95),"")</f>
        <v/>
      </c>
      <c r="H38" s="101" t="str">
        <f t="array" ref="H38">IFERROR(PERCENTILE(IF($B$3:$B$28=$B38,IF($D$3:$D$28=H$31,IF($F$3:$F$28&lt;&gt;"",$F$3:$F$28))),0.95),"")</f>
        <v/>
      </c>
      <c r="I38" s="101" t="str">
        <f t="array" ref="I38">IFERROR(PERCENTILE(IF($B$3:$B$28=$B38,IF($D$3:$D$28=I$31,IF($F$3:$F$28&lt;&gt;"",$F$3:$F$28))),0.95),"")</f>
        <v/>
      </c>
      <c r="J38" s="101" t="str">
        <f t="array" ref="J38">IFERROR(PERCENTILE(IF($B$3:$B$28=$B38,IF($D$3:$D$28=J$31,IF($F$3:$F$28&lt;&gt;"",$F$3:$F$28))),0.95),"")</f>
        <v/>
      </c>
      <c r="K38" s="101" t="str">
        <f t="array" ref="K38">IFERROR(PERCENTILE(IF($B$3:$B$28=$B38,IF($D$3:$D$28=K$31,IF($F$3:$F$28&lt;&gt;"",$F$3:$F$28))),0.95),"")</f>
        <v/>
      </c>
      <c r="L38" s="101" t="str">
        <f t="array" ref="L38">IFERROR(PERCENTILE(IF($B$3:$B$28=$B38,IF($D$3:$D$28=L$31,IF($F$3:$F$28&lt;&gt;"",$F$3:$F$28))),0.95),"")</f>
        <v/>
      </c>
      <c r="M38" s="101" t="str">
        <f t="array" ref="M38">IFERROR(PERCENTILE(IF($B$3:$B$28=$B38,IF($D$3:$D$28=M$31,IF($F$3:$F$28&lt;&gt;"",$F$3:$F$28))),0.95),"")</f>
        <v/>
      </c>
      <c r="N38" s="101" t="str">
        <f t="array" ref="N38">IFERROR(PERCENTILE(IF($B$3:$B$28=$B38,IF($D$3:$D$28=N$31,IF($F$3:$F$28&lt;&gt;"",$F$3:$F$28))),0.95),"")</f>
        <v/>
      </c>
      <c r="O38" s="101">
        <f t="array" ref="O38">IFERROR(PERCENTILE(IF($B$3:$B$28=$B38,IF($D$3:$D$28=O$31,IF($F$3:$F$28&lt;&gt;"",$F$3:$F$28))),0.95),"")</f>
        <v>0.33</v>
      </c>
      <c r="P38" s="101" t="str">
        <f t="array" ref="P38">IFERROR(PERCENTILE(IF($B$3:$B$28=$B38,IF($D$3:$D$28=P$31,IF($F$3:$F$28&lt;&gt;"",$F$3:$F$28))),0.95),"")</f>
        <v/>
      </c>
      <c r="Q38" s="101" t="str">
        <f t="array" ref="Q38">IFERROR(PERCENTILE(IF($B$3:$B$28=$B38,IF($D$3:$D$28=Q$31,IF($F$3:$F$28&lt;&gt;"",$F$3:$F$28))),0.95),"")</f>
        <v/>
      </c>
      <c r="R38" s="101" t="str">
        <f t="array" ref="R38">IFERROR(PERCENTILE(IF($B$3:$B$28=$B38,IF($D$3:$D$28=R$31,IF($F$3:$F$28&lt;&gt;"",$F$3:$F$28))),0.95),"")</f>
        <v/>
      </c>
      <c r="S38" s="101" t="str">
        <f t="array" ref="S38">IFERROR(PERCENTILE(IF($B$3:$B$28=$B38,IF($D$3:$D$28=S$31,IF($F$3:$F$28&lt;&gt;"",$F$3:$F$28))),0.95),"")</f>
        <v/>
      </c>
      <c r="T38" s="101" t="str">
        <f t="array" ref="T38">IFERROR(PERCENTILE(IF($B$3:$B$28=$B38,IF($D$3:$D$28=T$31,IF($F$3:$F$28&lt;&gt;"",$F$3:$F$28))),0.95),"")</f>
        <v/>
      </c>
      <c r="U38" s="101" t="str">
        <f t="array" ref="U38">IFERROR(PERCENTILE(IF($B$3:$B$28=$B38,IF($D$3:$D$28=U$31,IF($F$3:$F$28&lt;&gt;"",$F$3:$F$28))),0.95),"")</f>
        <v/>
      </c>
      <c r="V38" s="101" t="str">
        <f t="array" ref="V38">IFERROR(PERCENTILE(IF($B$3:$B$28=$B38,IF($D$3:$D$28=V$31,IF($F$3:$F$28&lt;&gt;"",$F$3:$F$28))),0.95),"")</f>
        <v/>
      </c>
      <c r="W38" s="101" t="str">
        <f t="array" ref="W38">IFERROR(PERCENTILE(IF($B$3:$B$28=$B38,IF($D$3:$D$28=W$31,IF($F$3:$F$28&lt;&gt;"",$F$3:$F$28))),0.95),"")</f>
        <v/>
      </c>
      <c r="X38" s="101" t="str">
        <f t="array" ref="X38">IFERROR(PERCENTILE(IF($B$3:$B$28=$B38,IF($D$3:$D$28=X$31,IF($F$3:$F$28&lt;&gt;"",$F$3:$F$28))),0.95),"")</f>
        <v/>
      </c>
      <c r="Y38" s="101" t="str">
        <f t="array" ref="Y38">IFERROR(PERCENTILE(IF($B$3:$B$28=$B38,IF($D$3:$D$28=Y$31,IF($F$3:$F$28&lt;&gt;"",$F$3:$F$28))),0.95),"")</f>
        <v/>
      </c>
      <c r="Z38" s="101" t="str">
        <f t="array" ref="Z38">IFERROR(PERCENTILE(IF($B$3:$B$28=$B38,IF($D$3:$D$28=Z$31,IF($F$3:$F$28&lt;&gt;"",$F$3:$F$28))),0.95),"")</f>
        <v/>
      </c>
      <c r="AA38" s="101" t="str">
        <f t="array" ref="AA38">IFERROR(PERCENTILE(IF($B$3:$B$28=$B38,IF($D$3:$D$28=AA$31,IF($F$3:$F$28&lt;&gt;"",$F$3:$F$28))),0.95),"")</f>
        <v/>
      </c>
      <c r="AB38" s="101">
        <f t="array" ref="AB38">IFERROR(PERCENTILE(IF($B$3:$B$28=$B38,IF($D$3:$D$28=AB$31,IF($F$3:$F$28&lt;&gt;"",$F$3:$F$28))),0.95),"")</f>
        <v>0.19</v>
      </c>
      <c r="AC38" s="101" t="str">
        <f t="array" ref="AC38">IFERROR(PERCENTILE(IF($B$3:$B$28=$B38,IF($D$3:$D$28=AC$31,IF($F$3:$F$28&lt;&gt;"",$F$3:$F$28))),0.95),"")</f>
        <v/>
      </c>
      <c r="AD38" s="101" t="str">
        <f t="array" ref="AD38">IFERROR(PERCENTILE(IF($B$3:$B$28=$B38,IF($D$3:$D$28=AD$31,IF($F$3:$F$28&lt;&gt;"",$F$3:$F$28))),0.95),"")</f>
        <v/>
      </c>
      <c r="AE38" s="101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1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1" t="str">
        <f t="array" ref="G39">IFERROR(PERCENTILE(IF($B$3:$B$28=$B39,IF($D$3:$D$28=G$31,IF($F$3:$F$28&lt;&gt;"",$F$3:$F$28))),0.95),"")</f>
        <v/>
      </c>
      <c r="H39" s="101" t="str">
        <f t="array" ref="H39">IFERROR(PERCENTILE(IF($B$3:$B$28=$B39,IF($D$3:$D$28=H$31,IF($F$3:$F$28&lt;&gt;"",$F$3:$F$28))),0.95),"")</f>
        <v/>
      </c>
      <c r="I39" s="101" t="str">
        <f t="array" ref="I39">IFERROR(PERCENTILE(IF($B$3:$B$28=$B39,IF($D$3:$D$28=I$31,IF($F$3:$F$28&lt;&gt;"",$F$3:$F$28))),0.95),"")</f>
        <v/>
      </c>
      <c r="J39" s="101" t="str">
        <f t="array" ref="J39">IFERROR(PERCENTILE(IF($B$3:$B$28=$B39,IF($D$3:$D$28=J$31,IF($F$3:$F$28&lt;&gt;"",$F$3:$F$28))),0.95),"")</f>
        <v/>
      </c>
      <c r="K39" s="101" t="str">
        <f t="array" ref="K39">IFERROR(PERCENTILE(IF($B$3:$B$28=$B39,IF($D$3:$D$28=K$31,IF($F$3:$F$28&lt;&gt;"",$F$3:$F$28))),0.95),"")</f>
        <v/>
      </c>
      <c r="L39" s="101" t="str">
        <f t="array" ref="L39">IFERROR(PERCENTILE(IF($B$3:$B$28=$B39,IF($D$3:$D$28=L$31,IF($F$3:$F$28&lt;&gt;"",$F$3:$F$28))),0.95),"")</f>
        <v/>
      </c>
      <c r="M39" s="101" t="str">
        <f t="array" ref="M39">IFERROR(PERCENTILE(IF($B$3:$B$28=$B39,IF($D$3:$D$28=M$31,IF($F$3:$F$28&lt;&gt;"",$F$3:$F$28))),0.95),"")</f>
        <v/>
      </c>
      <c r="N39" s="101" t="str">
        <f t="array" ref="N39">IFERROR(PERCENTILE(IF($B$3:$B$28=$B39,IF($D$3:$D$28=N$31,IF($F$3:$F$28&lt;&gt;"",$F$3:$F$28))),0.95),"")</f>
        <v/>
      </c>
      <c r="O39" s="101" t="str">
        <f t="array" ref="O39">IFERROR(PERCENTILE(IF($B$3:$B$28=$B39,IF($D$3:$D$28=O$31,IF($F$3:$F$28&lt;&gt;"",$F$3:$F$28))),0.95),"")</f>
        <v/>
      </c>
      <c r="P39" s="101">
        <f t="array" ref="P39">IFERROR(PERCENTILE(IF($B$3:$B$28=$B39,IF($D$3:$D$28=P$31,IF($F$3:$F$28&lt;&gt;"",$F$3:$F$28))),0.95),"")</f>
        <v>0.19</v>
      </c>
      <c r="Q39" s="101" t="str">
        <f t="array" ref="Q39">IFERROR(PERCENTILE(IF($B$3:$B$28=$B39,IF($D$3:$D$28=Q$31,IF($F$3:$F$28&lt;&gt;"",$F$3:$F$28))),0.95),"")</f>
        <v/>
      </c>
      <c r="R39" s="101" t="str">
        <f t="array" ref="R39">IFERROR(PERCENTILE(IF($B$3:$B$28=$B39,IF($D$3:$D$28=R$31,IF($F$3:$F$28&lt;&gt;"",$F$3:$F$28))),0.95),"")</f>
        <v/>
      </c>
      <c r="S39" s="101" t="str">
        <f t="array" ref="S39">IFERROR(PERCENTILE(IF($B$3:$B$28=$B39,IF($D$3:$D$28=S$31,IF($F$3:$F$28&lt;&gt;"",$F$3:$F$28))),0.95),"")</f>
        <v/>
      </c>
      <c r="T39" s="101" t="str">
        <f t="array" ref="T39">IFERROR(PERCENTILE(IF($B$3:$B$28=$B39,IF($D$3:$D$28=T$31,IF($F$3:$F$28&lt;&gt;"",$F$3:$F$28))),0.95),"")</f>
        <v/>
      </c>
      <c r="U39" s="101" t="str">
        <f t="array" ref="U39">IFERROR(PERCENTILE(IF($B$3:$B$28=$B39,IF($D$3:$D$28=U$31,IF($F$3:$F$28&lt;&gt;"",$F$3:$F$28))),0.95),"")</f>
        <v/>
      </c>
      <c r="V39" s="101" t="str">
        <f t="array" ref="V39">IFERROR(PERCENTILE(IF($B$3:$B$28=$B39,IF($D$3:$D$28=V$31,IF($F$3:$F$28&lt;&gt;"",$F$3:$F$28))),0.95),"")</f>
        <v/>
      </c>
      <c r="W39" s="101" t="str">
        <f t="array" ref="W39">IFERROR(PERCENTILE(IF($B$3:$B$28=$B39,IF($D$3:$D$28=W$31,IF($F$3:$F$28&lt;&gt;"",$F$3:$F$28))),0.95),"")</f>
        <v/>
      </c>
      <c r="X39" s="101" t="str">
        <f t="array" ref="X39">IFERROR(PERCENTILE(IF($B$3:$B$28=$B39,IF($D$3:$D$28=X$31,IF($F$3:$F$28&lt;&gt;"",$F$3:$F$28))),0.95),"")</f>
        <v/>
      </c>
      <c r="Y39" s="101" t="str">
        <f t="array" ref="Y39">IFERROR(PERCENTILE(IF($B$3:$B$28=$B39,IF($D$3:$D$28=Y$31,IF($F$3:$F$28&lt;&gt;"",$F$3:$F$28))),0.95),"")</f>
        <v/>
      </c>
      <c r="Z39" s="101" t="str">
        <f t="array" ref="Z39">IFERROR(PERCENTILE(IF($B$3:$B$28=$B39,IF($D$3:$D$28=Z$31,IF($F$3:$F$28&lt;&gt;"",$F$3:$F$28))),0.95),"")</f>
        <v/>
      </c>
      <c r="AA39" s="101" t="str">
        <f t="array" ref="AA39">IFERROR(PERCENTILE(IF($B$3:$B$28=$B39,IF($D$3:$D$28=AA$31,IF($F$3:$F$28&lt;&gt;"",$F$3:$F$28))),0.95),"")</f>
        <v/>
      </c>
      <c r="AB39" s="101" t="str">
        <f t="array" ref="AB39">IFERROR(PERCENTILE(IF($B$3:$B$28=$B39,IF($D$3:$D$28=AB$31,IF($F$3:$F$28&lt;&gt;"",$F$3:$F$28))),0.95),"")</f>
        <v/>
      </c>
      <c r="AC39" s="101">
        <f t="array" ref="AC39">IFERROR(PERCENTILE(IF($B$3:$B$28=$B39,IF($D$3:$D$28=AC$31,IF($F$3:$F$28&lt;&gt;"",$F$3:$F$28))),0.95),"")</f>
        <v>0.5</v>
      </c>
      <c r="AD39" s="101" t="str">
        <f t="array" ref="AD39">IFERROR(PERCENTILE(IF($B$3:$B$28=$B39,IF($D$3:$D$28=AD$31,IF($F$3:$F$28&lt;&gt;"",$F$3:$F$28))),0.95),"")</f>
        <v/>
      </c>
      <c r="AE39" s="101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1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1" t="str">
        <f t="array" ref="G40">IFERROR(PERCENTILE(IF($B$3:$B$28=$B40,IF($D$3:$D$28=G$31,IF($F$3:$F$28&lt;&gt;"",$F$3:$F$28))),0.95),"")</f>
        <v/>
      </c>
      <c r="H40" s="101" t="str">
        <f t="array" ref="H40">IFERROR(PERCENTILE(IF($B$3:$B$28=$B40,IF($D$3:$D$28=H$31,IF($F$3:$F$28&lt;&gt;"",$F$3:$F$28))),0.95),"")</f>
        <v/>
      </c>
      <c r="I40" s="101" t="str">
        <f t="array" ref="I40">IFERROR(PERCENTILE(IF($B$3:$B$28=$B40,IF($D$3:$D$28=I$31,IF($F$3:$F$28&lt;&gt;"",$F$3:$F$28))),0.95),"")</f>
        <v/>
      </c>
      <c r="J40" s="101" t="str">
        <f t="array" ref="J40">IFERROR(PERCENTILE(IF($B$3:$B$28=$B40,IF($D$3:$D$28=J$31,IF($F$3:$F$28&lt;&gt;"",$F$3:$F$28))),0.95),"")</f>
        <v/>
      </c>
      <c r="K40" s="101" t="str">
        <f t="array" ref="K40">IFERROR(PERCENTILE(IF($B$3:$B$28=$B40,IF($D$3:$D$28=K$31,IF($F$3:$F$28&lt;&gt;"",$F$3:$F$28))),0.95),"")</f>
        <v/>
      </c>
      <c r="L40" s="101" t="str">
        <f t="array" ref="L40">IFERROR(PERCENTILE(IF($B$3:$B$28=$B40,IF($D$3:$D$28=L$31,IF($F$3:$F$28&lt;&gt;"",$F$3:$F$28))),0.95),"")</f>
        <v/>
      </c>
      <c r="M40" s="101" t="str">
        <f t="array" ref="M40">IFERROR(PERCENTILE(IF($B$3:$B$28=$B40,IF($D$3:$D$28=M$31,IF($F$3:$F$28&lt;&gt;"",$F$3:$F$28))),0.95),"")</f>
        <v/>
      </c>
      <c r="N40" s="101" t="str">
        <f t="array" ref="N40">IFERROR(PERCENTILE(IF($B$3:$B$28=$B40,IF($D$3:$D$28=N$31,IF($F$3:$F$28&lt;&gt;"",$F$3:$F$28))),0.95),"")</f>
        <v/>
      </c>
      <c r="O40" s="101" t="str">
        <f t="array" ref="O40">IFERROR(PERCENTILE(IF($B$3:$B$28=$B40,IF($D$3:$D$28=O$31,IF($F$3:$F$28&lt;&gt;"",$F$3:$F$28))),0.95),"")</f>
        <v/>
      </c>
      <c r="P40" s="101" t="str">
        <f t="array" ref="P40">IFERROR(PERCENTILE(IF($B$3:$B$28=$B40,IF($D$3:$D$28=P$31,IF($F$3:$F$28&lt;&gt;"",$F$3:$F$28))),0.95),"")</f>
        <v/>
      </c>
      <c r="Q40" s="101">
        <f t="array" ref="Q40">IFERROR(PERCENTILE(IF($B$3:$B$28=$B40,IF($D$3:$D$28=Q$31,IF($F$3:$F$28&lt;&gt;"",$F$3:$F$28))),0.95),"")</f>
        <v>0.5</v>
      </c>
      <c r="R40" s="101" t="str">
        <f t="array" ref="R40">IFERROR(PERCENTILE(IF($B$3:$B$28=$B40,IF($D$3:$D$28=R$31,IF($F$3:$F$28&lt;&gt;"",$F$3:$F$28))),0.95),"")</f>
        <v/>
      </c>
      <c r="S40" s="101" t="str">
        <f t="array" ref="S40">IFERROR(PERCENTILE(IF($B$3:$B$28=$B40,IF($D$3:$D$28=S$31,IF($F$3:$F$28&lt;&gt;"",$F$3:$F$28))),0.95),"")</f>
        <v/>
      </c>
      <c r="T40" s="101" t="str">
        <f t="array" ref="T40">IFERROR(PERCENTILE(IF($B$3:$B$28=$B40,IF($D$3:$D$28=T$31,IF($F$3:$F$28&lt;&gt;"",$F$3:$F$28))),0.95),"")</f>
        <v/>
      </c>
      <c r="U40" s="101" t="str">
        <f t="array" ref="U40">IFERROR(PERCENTILE(IF($B$3:$B$28=$B40,IF($D$3:$D$28=U$31,IF($F$3:$F$28&lt;&gt;"",$F$3:$F$28))),0.95),"")</f>
        <v/>
      </c>
      <c r="V40" s="101" t="str">
        <f t="array" ref="V40">IFERROR(PERCENTILE(IF($B$3:$B$28=$B40,IF($D$3:$D$28=V$31,IF($F$3:$F$28&lt;&gt;"",$F$3:$F$28))),0.95),"")</f>
        <v/>
      </c>
      <c r="W40" s="101" t="str">
        <f t="array" ref="W40">IFERROR(PERCENTILE(IF($B$3:$B$28=$B40,IF($D$3:$D$28=W$31,IF($F$3:$F$28&lt;&gt;"",$F$3:$F$28))),0.95),"")</f>
        <v/>
      </c>
      <c r="X40" s="101" t="str">
        <f t="array" ref="X40">IFERROR(PERCENTILE(IF($B$3:$B$28=$B40,IF($D$3:$D$28=X$31,IF($F$3:$F$28&lt;&gt;"",$F$3:$F$28))),0.95),"")</f>
        <v/>
      </c>
      <c r="Y40" s="101" t="str">
        <f t="array" ref="Y40">IFERROR(PERCENTILE(IF($B$3:$B$28=$B40,IF($D$3:$D$28=Y$31,IF($F$3:$F$28&lt;&gt;"",$F$3:$F$28))),0.95),"")</f>
        <v/>
      </c>
      <c r="Z40" s="101" t="str">
        <f t="array" ref="Z40">IFERROR(PERCENTILE(IF($B$3:$B$28=$B40,IF($D$3:$D$28=Z$31,IF($F$3:$F$28&lt;&gt;"",$F$3:$F$28))),0.95),"")</f>
        <v/>
      </c>
      <c r="AA40" s="101" t="str">
        <f t="array" ref="AA40">IFERROR(PERCENTILE(IF($B$3:$B$28=$B40,IF($D$3:$D$28=AA$31,IF($F$3:$F$28&lt;&gt;"",$F$3:$F$28))),0.95),"")</f>
        <v/>
      </c>
      <c r="AB40" s="101" t="str">
        <f t="array" ref="AB40">IFERROR(PERCENTILE(IF($B$3:$B$28=$B40,IF($D$3:$D$28=AB$31,IF($F$3:$F$28&lt;&gt;"",$F$3:$F$28))),0.95),"")</f>
        <v/>
      </c>
      <c r="AC40" s="101" t="str">
        <f t="array" ref="AC40">IFERROR(PERCENTILE(IF($B$3:$B$28=$B40,IF($D$3:$D$28=AC$31,IF($F$3:$F$28&lt;&gt;"",$F$3:$F$28))),0.95),"")</f>
        <v/>
      </c>
      <c r="AD40" s="101">
        <f t="array" ref="AD40">IFERROR(PERCENTILE(IF($B$3:$B$28=$B40,IF($D$3:$D$28=AD$31,IF($F$3:$F$28&lt;&gt;"",$F$3:$F$28))),0.95),"")</f>
        <v>0.5</v>
      </c>
      <c r="AE40" s="101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1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1" t="str">
        <f t="array" ref="G41">IFERROR(PERCENTILE(IF($B$3:$B$28=$B41,IF($D$3:$D$28=G$31,IF($F$3:$F$28&lt;&gt;"",$F$3:$F$28))),0.95),"")</f>
        <v/>
      </c>
      <c r="H41" s="101" t="str">
        <f t="array" ref="H41">IFERROR(PERCENTILE(IF($B$3:$B$28=$B41,IF($D$3:$D$28=H$31,IF($F$3:$F$28&lt;&gt;"",$F$3:$F$28))),0.95),"")</f>
        <v/>
      </c>
      <c r="I41" s="101" t="str">
        <f t="array" ref="I41">IFERROR(PERCENTILE(IF($B$3:$B$28=$B41,IF($D$3:$D$28=I$31,IF($F$3:$F$28&lt;&gt;"",$F$3:$F$28))),0.95),"")</f>
        <v/>
      </c>
      <c r="J41" s="101" t="str">
        <f t="array" ref="J41">IFERROR(PERCENTILE(IF($B$3:$B$28=$B41,IF($D$3:$D$28=J$31,IF($F$3:$F$28&lt;&gt;"",$F$3:$F$28))),0.95),"")</f>
        <v/>
      </c>
      <c r="K41" s="101" t="str">
        <f t="array" ref="K41">IFERROR(PERCENTILE(IF($B$3:$B$28=$B41,IF($D$3:$D$28=K$31,IF($F$3:$F$28&lt;&gt;"",$F$3:$F$28))),0.95),"")</f>
        <v/>
      </c>
      <c r="L41" s="101" t="str">
        <f t="array" ref="L41">IFERROR(PERCENTILE(IF($B$3:$B$28=$B41,IF($D$3:$D$28=L$31,IF($F$3:$F$28&lt;&gt;"",$F$3:$F$28))),0.95),"")</f>
        <v/>
      </c>
      <c r="M41" s="101" t="str">
        <f t="array" ref="M41">IFERROR(PERCENTILE(IF($B$3:$B$28=$B41,IF($D$3:$D$28=M$31,IF($F$3:$F$28&lt;&gt;"",$F$3:$F$28))),0.95),"")</f>
        <v/>
      </c>
      <c r="N41" s="101" t="str">
        <f t="array" ref="N41">IFERROR(PERCENTILE(IF($B$3:$B$28=$B41,IF($D$3:$D$28=N$31,IF($F$3:$F$28&lt;&gt;"",$F$3:$F$28))),0.95),"")</f>
        <v/>
      </c>
      <c r="O41" s="101" t="str">
        <f t="array" ref="O41">IFERROR(PERCENTILE(IF($B$3:$B$28=$B41,IF($D$3:$D$28=O$31,IF($F$3:$F$28&lt;&gt;"",$F$3:$F$28))),0.95),"")</f>
        <v/>
      </c>
      <c r="P41" s="101" t="str">
        <f t="array" ref="P41">IFERROR(PERCENTILE(IF($B$3:$B$28=$B41,IF($D$3:$D$28=P$31,IF($F$3:$F$28&lt;&gt;"",$F$3:$F$28))),0.95),"")</f>
        <v/>
      </c>
      <c r="Q41" s="101" t="str">
        <f t="array" ref="Q41">IFERROR(PERCENTILE(IF($B$3:$B$28=$B41,IF($D$3:$D$28=Q$31,IF($F$3:$F$28&lt;&gt;"",$F$3:$F$28))),0.95),"")</f>
        <v/>
      </c>
      <c r="R41" s="101">
        <f t="array" ref="R41">IFERROR(PERCENTILE(IF($B$3:$B$28=$B41,IF($D$3:$D$28=R$31,IF($F$3:$F$28&lt;&gt;"",$F$3:$F$28))),0.95),"")</f>
        <v>0.5</v>
      </c>
      <c r="S41" s="101" t="str">
        <f t="array" ref="S41">IFERROR(PERCENTILE(IF($B$3:$B$28=$B41,IF($D$3:$D$28=S$31,IF($F$3:$F$28&lt;&gt;"",$F$3:$F$28))),0.95),"")</f>
        <v/>
      </c>
      <c r="T41" s="101" t="str">
        <f t="array" ref="T41">IFERROR(PERCENTILE(IF($B$3:$B$28=$B41,IF($D$3:$D$28=T$31,IF($F$3:$F$28&lt;&gt;"",$F$3:$F$28))),0.95),"")</f>
        <v/>
      </c>
      <c r="U41" s="101" t="str">
        <f t="array" ref="U41">IFERROR(PERCENTILE(IF($B$3:$B$28=$B41,IF($D$3:$D$28=U$31,IF($F$3:$F$28&lt;&gt;"",$F$3:$F$28))),0.95),"")</f>
        <v/>
      </c>
      <c r="V41" s="101" t="str">
        <f t="array" ref="V41">IFERROR(PERCENTILE(IF($B$3:$B$28=$B41,IF($D$3:$D$28=V$31,IF($F$3:$F$28&lt;&gt;"",$F$3:$F$28))),0.95),"")</f>
        <v/>
      </c>
      <c r="W41" s="101" t="str">
        <f t="array" ref="W41">IFERROR(PERCENTILE(IF($B$3:$B$28=$B41,IF($D$3:$D$28=W$31,IF($F$3:$F$28&lt;&gt;"",$F$3:$F$28))),0.95),"")</f>
        <v/>
      </c>
      <c r="X41" s="101" t="str">
        <f t="array" ref="X41">IFERROR(PERCENTILE(IF($B$3:$B$28=$B41,IF($D$3:$D$28=X$31,IF($F$3:$F$28&lt;&gt;"",$F$3:$F$28))),0.95),"")</f>
        <v/>
      </c>
      <c r="Y41" s="101" t="str">
        <f t="array" ref="Y41">IFERROR(PERCENTILE(IF($B$3:$B$28=$B41,IF($D$3:$D$28=Y$31,IF($F$3:$F$28&lt;&gt;"",$F$3:$F$28))),0.95),"")</f>
        <v/>
      </c>
      <c r="Z41" s="101" t="str">
        <f t="array" ref="Z41">IFERROR(PERCENTILE(IF($B$3:$B$28=$B41,IF($D$3:$D$28=Z$31,IF($F$3:$F$28&lt;&gt;"",$F$3:$F$28))),0.95),"")</f>
        <v/>
      </c>
      <c r="AA41" s="101" t="str">
        <f t="array" ref="AA41">IFERROR(PERCENTILE(IF($B$3:$B$28=$B41,IF($D$3:$D$28=AA$31,IF($F$3:$F$28&lt;&gt;"",$F$3:$F$28))),0.95),"")</f>
        <v/>
      </c>
      <c r="AB41" s="101" t="str">
        <f t="array" ref="AB41">IFERROR(PERCENTILE(IF($B$3:$B$28=$B41,IF($D$3:$D$28=AB$31,IF($F$3:$F$28&lt;&gt;"",$F$3:$F$28))),0.95),"")</f>
        <v/>
      </c>
      <c r="AC41" s="101" t="str">
        <f t="array" ref="AC41">IFERROR(PERCENTILE(IF($B$3:$B$28=$B41,IF($D$3:$D$28=AC$31,IF($F$3:$F$28&lt;&gt;"",$F$3:$F$28))),0.95),"")</f>
        <v/>
      </c>
      <c r="AD41" s="101" t="str">
        <f t="array" ref="AD41">IFERROR(PERCENTILE(IF($B$3:$B$28=$B41,IF($D$3:$D$28=AD$31,IF($F$3:$F$28&lt;&gt;"",$F$3:$F$28))),0.95),"")</f>
        <v/>
      </c>
      <c r="AE41" s="101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1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1" t="str">
        <f t="array" ref="G42">IFERROR(PERCENTILE(IF($B$3:$B$28=$B42,IF($D$3:$D$28=G$31,IF($F$3:$F$28&lt;&gt;"",$F$3:$F$28))),0.95),"")</f>
        <v/>
      </c>
      <c r="H42" s="101" t="str">
        <f t="array" ref="H42">IFERROR(PERCENTILE(IF($B$3:$B$28=$B42,IF($D$3:$D$28=H$31,IF($F$3:$F$28&lt;&gt;"",$F$3:$F$28))),0.95),"")</f>
        <v/>
      </c>
      <c r="I42" s="101" t="str">
        <f t="array" ref="I42">IFERROR(PERCENTILE(IF($B$3:$B$28=$B42,IF($D$3:$D$28=I$31,IF($F$3:$F$28&lt;&gt;"",$F$3:$F$28))),0.95),"")</f>
        <v/>
      </c>
      <c r="J42" s="101" t="str">
        <f t="array" ref="J42">IFERROR(PERCENTILE(IF($B$3:$B$28=$B42,IF($D$3:$D$28=J$31,IF($F$3:$F$28&lt;&gt;"",$F$3:$F$28))),0.95),"")</f>
        <v/>
      </c>
      <c r="K42" s="101" t="str">
        <f t="array" ref="K42">IFERROR(PERCENTILE(IF($B$3:$B$28=$B42,IF($D$3:$D$28=K$31,IF($F$3:$F$28&lt;&gt;"",$F$3:$F$28))),0.95),"")</f>
        <v/>
      </c>
      <c r="L42" s="101" t="str">
        <f t="array" ref="L42">IFERROR(PERCENTILE(IF($B$3:$B$28=$B42,IF($D$3:$D$28=L$31,IF($F$3:$F$28&lt;&gt;"",$F$3:$F$28))),0.95),"")</f>
        <v/>
      </c>
      <c r="M42" s="101" t="str">
        <f t="array" ref="M42">IFERROR(PERCENTILE(IF($B$3:$B$28=$B42,IF($D$3:$D$28=M$31,IF($F$3:$F$28&lt;&gt;"",$F$3:$F$28))),0.95),"")</f>
        <v/>
      </c>
      <c r="N42" s="101" t="str">
        <f t="array" ref="N42">IFERROR(PERCENTILE(IF($B$3:$B$28=$B42,IF($D$3:$D$28=N$31,IF($F$3:$F$28&lt;&gt;"",$F$3:$F$28))),0.95),"")</f>
        <v/>
      </c>
      <c r="O42" s="101" t="str">
        <f t="array" ref="O42">IFERROR(PERCENTILE(IF($B$3:$B$28=$B42,IF($D$3:$D$28=O$31,IF($F$3:$F$28&lt;&gt;"",$F$3:$F$28))),0.95),"")</f>
        <v/>
      </c>
      <c r="P42" s="101" t="str">
        <f t="array" ref="P42">IFERROR(PERCENTILE(IF($B$3:$B$28=$B42,IF($D$3:$D$28=P$31,IF($F$3:$F$28&lt;&gt;"",$F$3:$F$28))),0.95),"")</f>
        <v/>
      </c>
      <c r="Q42" s="101" t="str">
        <f t="array" ref="Q42">IFERROR(PERCENTILE(IF($B$3:$B$28=$B42,IF($D$3:$D$28=Q$31,IF($F$3:$F$28&lt;&gt;"",$F$3:$F$28))),0.95),"")</f>
        <v/>
      </c>
      <c r="R42" s="101" t="str">
        <f t="array" ref="R42">IFERROR(PERCENTILE(IF($B$3:$B$28=$B42,IF($D$3:$D$28=R$31,IF($F$3:$F$28&lt;&gt;"",$F$3:$F$28))),0.95),"")</f>
        <v/>
      </c>
      <c r="S42" s="101">
        <f t="array" ref="S42">IFERROR(PERCENTILE(IF($B$3:$B$28=$B42,IF($D$3:$D$28=S$31,IF($F$3:$F$28&lt;&gt;"",$F$3:$F$28))),0.95),"")</f>
        <v>0.5</v>
      </c>
      <c r="T42" s="101" t="str">
        <f t="array" ref="T42">IFERROR(PERCENTILE(IF($B$3:$B$28=$B42,IF($D$3:$D$28=T$31,IF($F$3:$F$28&lt;&gt;"",$F$3:$F$28))),0.95),"")</f>
        <v/>
      </c>
      <c r="U42" s="101" t="str">
        <f t="array" ref="U42">IFERROR(PERCENTILE(IF($B$3:$B$28=$B42,IF($D$3:$D$28=U$31,IF($F$3:$F$28&lt;&gt;"",$F$3:$F$28))),0.95),"")</f>
        <v/>
      </c>
      <c r="V42" s="101" t="str">
        <f t="array" ref="V42">IFERROR(PERCENTILE(IF($B$3:$B$28=$B42,IF($D$3:$D$28=V$31,IF($F$3:$F$28&lt;&gt;"",$F$3:$F$28))),0.95),"")</f>
        <v/>
      </c>
      <c r="W42" s="101" t="str">
        <f t="array" ref="W42">IFERROR(PERCENTILE(IF($B$3:$B$28=$B42,IF($D$3:$D$28=W$31,IF($F$3:$F$28&lt;&gt;"",$F$3:$F$28))),0.95),"")</f>
        <v/>
      </c>
      <c r="X42" s="101" t="str">
        <f t="array" ref="X42">IFERROR(PERCENTILE(IF($B$3:$B$28=$B42,IF($D$3:$D$28=X$31,IF($F$3:$F$28&lt;&gt;"",$F$3:$F$28))),0.95),"")</f>
        <v/>
      </c>
      <c r="Y42" s="101" t="str">
        <f t="array" ref="Y42">IFERROR(PERCENTILE(IF($B$3:$B$28=$B42,IF($D$3:$D$28=Y$31,IF($F$3:$F$28&lt;&gt;"",$F$3:$F$28))),0.95),"")</f>
        <v/>
      </c>
      <c r="Z42" s="101" t="str">
        <f t="array" ref="Z42">IFERROR(PERCENTILE(IF($B$3:$B$28=$B42,IF($D$3:$D$28=Z$31,IF($F$3:$F$28&lt;&gt;"",$F$3:$F$28))),0.95),"")</f>
        <v/>
      </c>
      <c r="AA42" s="101" t="str">
        <f t="array" ref="AA42">IFERROR(PERCENTILE(IF($B$3:$B$28=$B42,IF($D$3:$D$28=AA$31,IF($F$3:$F$28&lt;&gt;"",$F$3:$F$28))),0.95),"")</f>
        <v/>
      </c>
      <c r="AB42" s="101" t="str">
        <f t="array" ref="AB42">IFERROR(PERCENTILE(IF($B$3:$B$28=$B42,IF($D$3:$D$28=AB$31,IF($F$3:$F$28&lt;&gt;"",$F$3:$F$28))),0.95),"")</f>
        <v/>
      </c>
      <c r="AC42" s="101" t="str">
        <f t="array" ref="AC42">IFERROR(PERCENTILE(IF($B$3:$B$28=$B42,IF($D$3:$D$28=AC$31,IF($F$3:$F$28&lt;&gt;"",$F$3:$F$28))),0.95),"")</f>
        <v/>
      </c>
      <c r="AD42" s="101" t="str">
        <f t="array" ref="AD42">IFERROR(PERCENTILE(IF($B$3:$B$28=$B42,IF($D$3:$D$28=AD$31,IF($F$3:$F$28&lt;&gt;"",$F$3:$F$28))),0.95),"")</f>
        <v/>
      </c>
      <c r="AE42" s="101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</row>
    <row r="44" spans="1:31" ht="9" customHeight="1" x14ac:dyDescent="0.25">
      <c r="A44" s="41" t="s">
        <v>549</v>
      </c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</row>
    <row r="45" spans="1:31" ht="15" hidden="1" customHeight="1" x14ac:dyDescent="0.25">
      <c r="G45" s="75">
        <f>G31</f>
        <v>44012</v>
      </c>
      <c r="H45" s="75">
        <f>H31</f>
        <v>43982</v>
      </c>
      <c r="I45" s="75">
        <f>I31</f>
        <v>43951</v>
      </c>
      <c r="J45" s="75">
        <f>J31</f>
        <v>43921</v>
      </c>
      <c r="K45" s="75">
        <f>K31</f>
        <v>43889</v>
      </c>
      <c r="L45" s="75">
        <f>L31</f>
        <v>43861</v>
      </c>
      <c r="M45" s="75">
        <f>M31</f>
        <v>43830</v>
      </c>
      <c r="N45" s="75">
        <f>N31</f>
        <v>43799</v>
      </c>
      <c r="O45" s="75">
        <f>O31</f>
        <v>43769</v>
      </c>
      <c r="P45" s="75">
        <f>P31</f>
        <v>43738</v>
      </c>
      <c r="Q45" s="75">
        <f>Q31</f>
        <v>43708</v>
      </c>
      <c r="R45" s="75">
        <f>R31</f>
        <v>43677</v>
      </c>
      <c r="S45" s="75">
        <f>S31</f>
        <v>43646</v>
      </c>
      <c r="T45" s="75">
        <f>T31</f>
        <v>43616</v>
      </c>
      <c r="U45" s="75">
        <f>U31</f>
        <v>43585</v>
      </c>
      <c r="V45" s="75">
        <f>V31</f>
        <v>43555</v>
      </c>
      <c r="W45" s="75">
        <f>W31</f>
        <v>43524</v>
      </c>
      <c r="X45" s="75">
        <f>X31</f>
        <v>43496</v>
      </c>
      <c r="Y45" s="75">
        <f>Y31</f>
        <v>43465</v>
      </c>
      <c r="Z45" s="75">
        <f>Z31</f>
        <v>43434</v>
      </c>
      <c r="AA45" s="75">
        <f>AA31</f>
        <v>43404</v>
      </c>
      <c r="AB45" s="75">
        <f>AB31</f>
        <v>43373</v>
      </c>
      <c r="AC45" s="75">
        <f>AC31</f>
        <v>43343</v>
      </c>
      <c r="AD45" s="75">
        <f>AD31</f>
        <v>43312</v>
      </c>
      <c r="AE45" s="75">
        <f>AE31</f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3">
        <f>IFERROR(AVERAGE(G33:G44),0)</f>
        <v>0.62</v>
      </c>
      <c r="H46" s="103">
        <f>IFERROR(AVERAGE(H33:H44),0)</f>
        <v>0.19</v>
      </c>
      <c r="I46" s="103">
        <f>IFERROR(AVERAGE(I33:I44),0)</f>
        <v>0.44</v>
      </c>
      <c r="J46" s="103">
        <f>IFERROR(AVERAGE(J33:J44),0)</f>
        <v>0.73</v>
      </c>
      <c r="K46" s="103">
        <f>IFERROR(AVERAGE(K33:K44),0)</f>
        <v>0.99</v>
      </c>
      <c r="L46" s="103">
        <f>IFERROR(AVERAGE(L33:L44),0)</f>
        <v>0.11</v>
      </c>
      <c r="M46" s="103">
        <f>IFERROR(AVERAGE(M33:M44),0)</f>
        <v>0.25</v>
      </c>
      <c r="N46" s="103">
        <f>IFERROR(AVERAGE(N33:N44),0)</f>
        <v>0.25</v>
      </c>
      <c r="O46" s="103">
        <f>IFERROR(AVERAGE(O33:O44),0)</f>
        <v>0.33</v>
      </c>
      <c r="P46" s="103">
        <f>IFERROR(AVERAGE(P33:P44),0)</f>
        <v>0.19</v>
      </c>
      <c r="Q46" s="103">
        <f>IFERROR(AVERAGE(Q33:Q44),0)</f>
        <v>0.5</v>
      </c>
      <c r="R46" s="103">
        <f>IFERROR(AVERAGE(R33:R44),0)</f>
        <v>0.5</v>
      </c>
      <c r="S46" s="103">
        <f>IFERROR(AVERAGE(S33:S44),0)</f>
        <v>0.5</v>
      </c>
      <c r="T46" s="103">
        <f>IFERROR(AVERAGE(T33:T44),0)</f>
        <v>0.19</v>
      </c>
      <c r="U46" s="103">
        <f>IFERROR(AVERAGE(U33:U44),0)</f>
        <v>0.44</v>
      </c>
      <c r="V46" s="103">
        <f>IFERROR(AVERAGE(V33:V44),0)</f>
        <v>0.73</v>
      </c>
      <c r="W46" s="103">
        <f>IFERROR(AVERAGE(W33:W44),0)</f>
        <v>0.99</v>
      </c>
      <c r="X46" s="103">
        <f>IFERROR(AVERAGE(X33:X44),0)</f>
        <v>0.11</v>
      </c>
      <c r="Y46" s="103">
        <f>IFERROR(AVERAGE(Y33:Y44),0)</f>
        <v>0.25</v>
      </c>
      <c r="Z46" s="103">
        <f>IFERROR(AVERAGE(Z33:Z44),0)</f>
        <v>0.25</v>
      </c>
      <c r="AA46" s="103">
        <f>IFERROR(AVERAGE(AA33:AA44),0)</f>
        <v>0.33</v>
      </c>
      <c r="AB46" s="103">
        <f>IFERROR(AVERAGE(AB33:AB44),0)</f>
        <v>0.19</v>
      </c>
      <c r="AC46" s="103">
        <f>IFERROR(AVERAGE(AC33:AC44),0)</f>
        <v>0.5</v>
      </c>
      <c r="AD46" s="103">
        <f>IFERROR(AVERAGE(AD33:AD44),0)</f>
        <v>0.5</v>
      </c>
      <c r="AE46" s="103">
        <f>IFERROR(AVERAGE(AE33:AE44),0)</f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2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KddY3xkeoEnMi/SZycTs03AUH+cIRAuv0H9Q60qH4lF1th66ntMA3/pBgubnAgb+4q0XH+E7ZZmuUMcBV7C4Zw==" saltValue="tiOJmf8bQZGVlCOa3KC2s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topLeftCell="A13" zoomScaleNormal="100" workbookViewId="0">
      <selection activeCell="D28" sqref="D28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9" t="s">
        <v>568</v>
      </c>
      <c r="C2" s="220"/>
      <c r="D2" s="34" t="s">
        <v>626</v>
      </c>
      <c r="E2" s="1"/>
    </row>
    <row r="3" spans="1:5" x14ac:dyDescent="0.25">
      <c r="A3" s="4" t="s">
        <v>601</v>
      </c>
      <c r="B3" s="217" t="s">
        <v>697</v>
      </c>
      <c r="C3" s="218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>INDEX(DatesVOC,1,E7)</f>
        <v>44012</v>
      </c>
      <c r="C7" s="55">
        <f t="shared" ref="C7" si="0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1">IFERROR(IF(D8="",1,0),1)</f>
        <v>0</v>
      </c>
      <c r="B8" s="55">
        <f>INDEX(DatesVOC,1,E8)</f>
        <v>43982</v>
      </c>
      <c r="C8" s="55">
        <f t="shared" ref="C8:C31" si="2">B8</f>
        <v>43982</v>
      </c>
      <c r="D8" s="56">
        <f t="array" ref="D8">HLOOKUP(B8,ReadingTableVOC,2,FALSE)</f>
        <v>1173</v>
      </c>
      <c r="E8" s="71">
        <f t="shared" ref="E8:E31" si="3">IF(E7="",8,E7+1)</f>
        <v>9</v>
      </c>
    </row>
    <row r="9" spans="1:5" ht="15" customHeight="1" x14ac:dyDescent="0.25">
      <c r="A9" s="40">
        <f t="shared" si="1"/>
        <v>0</v>
      </c>
      <c r="B9" s="55">
        <f>INDEX(DatesVOC,1,E9)</f>
        <v>43951</v>
      </c>
      <c r="C9" s="55">
        <f t="shared" si="2"/>
        <v>43951</v>
      </c>
      <c r="D9" s="56">
        <f t="array" ref="D9">HLOOKUP(B9,ReadingTableVOC,2,FALSE)</f>
        <v>1098</v>
      </c>
      <c r="E9" s="71">
        <f t="shared" si="3"/>
        <v>10</v>
      </c>
    </row>
    <row r="10" spans="1:5" ht="15" customHeight="1" x14ac:dyDescent="0.25">
      <c r="A10" s="40">
        <f t="shared" si="1"/>
        <v>0</v>
      </c>
      <c r="B10" s="55">
        <f>INDEX(DatesVOC,1,E10)</f>
        <v>43921</v>
      </c>
      <c r="C10" s="55">
        <f t="shared" si="2"/>
        <v>43921</v>
      </c>
      <c r="D10" s="56">
        <f t="array" ref="D10">HLOOKUP(B10,ReadingTableVOC,2,FALSE)</f>
        <v>986</v>
      </c>
      <c r="E10" s="71">
        <f t="shared" si="3"/>
        <v>11</v>
      </c>
    </row>
    <row r="11" spans="1:5" ht="15" customHeight="1" x14ac:dyDescent="0.25">
      <c r="A11" s="40">
        <f t="shared" si="1"/>
        <v>0</v>
      </c>
      <c r="B11" s="55">
        <f>INDEX(DatesVOC,1,E11)</f>
        <v>43889</v>
      </c>
      <c r="C11" s="55">
        <f t="shared" si="2"/>
        <v>43889</v>
      </c>
      <c r="D11" s="56">
        <f t="array" ref="D11">HLOOKUP(B11,ReadingTableVOC,2,FALSE)</f>
        <v>1212</v>
      </c>
      <c r="E11" s="71">
        <f t="shared" si="3"/>
        <v>12</v>
      </c>
    </row>
    <row r="12" spans="1:5" ht="15" customHeight="1" x14ac:dyDescent="0.25">
      <c r="A12" s="40">
        <f t="shared" si="1"/>
        <v>0</v>
      </c>
      <c r="B12" s="55">
        <f>INDEX(DatesVOC,1,E12)</f>
        <v>43861</v>
      </c>
      <c r="C12" s="55">
        <f t="shared" si="2"/>
        <v>43861</v>
      </c>
      <c r="D12" s="56">
        <f t="array" ref="D12">HLOOKUP(B12,ReadingTableVOC,2,FALSE)</f>
        <v>1993</v>
      </c>
      <c r="E12" s="71">
        <f t="shared" si="3"/>
        <v>13</v>
      </c>
    </row>
    <row r="13" spans="1:5" ht="15" customHeight="1" x14ac:dyDescent="0.25">
      <c r="A13" s="40">
        <f t="shared" si="1"/>
        <v>0</v>
      </c>
      <c r="B13" s="55">
        <f>INDEX(DatesVOC,1,E13)</f>
        <v>43830</v>
      </c>
      <c r="C13" s="55">
        <f t="shared" si="2"/>
        <v>43830</v>
      </c>
      <c r="D13" s="56">
        <f t="array" ref="D13">HLOOKUP(B13,ReadingTableVOC,2,FALSE)</f>
        <v>2323</v>
      </c>
      <c r="E13" s="71">
        <f t="shared" si="3"/>
        <v>14</v>
      </c>
    </row>
    <row r="14" spans="1:5" ht="15" customHeight="1" x14ac:dyDescent="0.25">
      <c r="A14" s="40">
        <f t="shared" si="1"/>
        <v>0</v>
      </c>
      <c r="B14" s="55">
        <f>INDEX(DatesVOC,1,E14)</f>
        <v>43799</v>
      </c>
      <c r="C14" s="55">
        <f t="shared" si="2"/>
        <v>43799</v>
      </c>
      <c r="D14" s="56">
        <f t="array" ref="D14">HLOOKUP(B14,ReadingTableVOC,2,FALSE)</f>
        <v>2566</v>
      </c>
      <c r="E14" s="71">
        <f t="shared" si="3"/>
        <v>15</v>
      </c>
    </row>
    <row r="15" spans="1:5" ht="15" customHeight="1" x14ac:dyDescent="0.25">
      <c r="A15" s="40">
        <f t="shared" si="1"/>
        <v>0</v>
      </c>
      <c r="B15" s="55">
        <f>INDEX(DatesVOC,1,E15)</f>
        <v>43769</v>
      </c>
      <c r="C15" s="55">
        <f t="shared" si="2"/>
        <v>43769</v>
      </c>
      <c r="D15" s="56">
        <f t="array" ref="D15">HLOOKUP(B15,ReadingTableVOC,2,FALSE)</f>
        <v>2577</v>
      </c>
      <c r="E15" s="71">
        <f t="shared" si="3"/>
        <v>16</v>
      </c>
    </row>
    <row r="16" spans="1:5" ht="15" customHeight="1" x14ac:dyDescent="0.25">
      <c r="A16" s="40">
        <f t="shared" si="1"/>
        <v>0</v>
      </c>
      <c r="B16" s="55">
        <f>INDEX(DatesVOC,1,E16)</f>
        <v>43738</v>
      </c>
      <c r="C16" s="55">
        <f t="shared" si="2"/>
        <v>43738</v>
      </c>
      <c r="D16" s="56">
        <f t="array" ref="D16">HLOOKUP(B16,ReadingTableVOC,2,FALSE)</f>
        <v>2756</v>
      </c>
      <c r="E16" s="71">
        <f t="shared" si="3"/>
        <v>17</v>
      </c>
    </row>
    <row r="17" spans="1:5" ht="15" customHeight="1" x14ac:dyDescent="0.25">
      <c r="A17" s="40">
        <f t="shared" si="1"/>
        <v>0</v>
      </c>
      <c r="B17" s="55">
        <f>INDEX(DatesVOC,1,E17)</f>
        <v>43708</v>
      </c>
      <c r="C17" s="55">
        <f t="shared" si="2"/>
        <v>43708</v>
      </c>
      <c r="D17" s="56">
        <f t="array" ref="D17">HLOOKUP(B17,ReadingTableVOC,2,FALSE)</f>
        <v>2677</v>
      </c>
      <c r="E17" s="71">
        <f t="shared" si="3"/>
        <v>18</v>
      </c>
    </row>
    <row r="18" spans="1:5" ht="15" customHeight="1" x14ac:dyDescent="0.25">
      <c r="A18" s="40">
        <f t="shared" si="1"/>
        <v>0</v>
      </c>
      <c r="B18" s="55">
        <f>INDEX(DatesVOC,1,E18)</f>
        <v>43677</v>
      </c>
      <c r="C18" s="55">
        <f t="shared" si="2"/>
        <v>43677</v>
      </c>
      <c r="D18" s="56">
        <f t="array" ref="D18">HLOOKUP(B18,ReadingTableVOC,2,FALSE)</f>
        <v>1232</v>
      </c>
      <c r="E18" s="71">
        <f t="shared" si="3"/>
        <v>19</v>
      </c>
    </row>
    <row r="19" spans="1:5" ht="15" customHeight="1" x14ac:dyDescent="0.25">
      <c r="A19" s="40">
        <f t="shared" si="1"/>
        <v>0</v>
      </c>
      <c r="B19" s="55">
        <f>INDEX(DatesVOC,1,E19)</f>
        <v>43646</v>
      </c>
      <c r="C19" s="55">
        <f t="shared" si="2"/>
        <v>43646</v>
      </c>
      <c r="D19" s="56">
        <f t="array" ref="D19">HLOOKUP(B19,ReadingTableVOC,2,FALSE)</f>
        <v>3221</v>
      </c>
      <c r="E19" s="71">
        <f t="shared" si="3"/>
        <v>20</v>
      </c>
    </row>
    <row r="20" spans="1:5" ht="15" customHeight="1" x14ac:dyDescent="0.25">
      <c r="A20" s="40">
        <f t="shared" si="1"/>
        <v>0</v>
      </c>
      <c r="B20" s="55">
        <f>INDEX(DatesVOC,1,E20)</f>
        <v>43616</v>
      </c>
      <c r="C20" s="55">
        <f t="shared" si="2"/>
        <v>43616</v>
      </c>
      <c r="D20" s="56">
        <f t="array" ref="D20">HLOOKUP(B20,ReadingTableVOC,2,FALSE)</f>
        <v>1173</v>
      </c>
      <c r="E20" s="71">
        <f t="shared" si="3"/>
        <v>21</v>
      </c>
    </row>
    <row r="21" spans="1:5" ht="15" customHeight="1" x14ac:dyDescent="0.25">
      <c r="A21" s="40">
        <f t="shared" si="1"/>
        <v>0</v>
      </c>
      <c r="B21" s="55">
        <f>INDEX(DatesVOC,1,E21)</f>
        <v>43585</v>
      </c>
      <c r="C21" s="55">
        <f t="shared" si="2"/>
        <v>43585</v>
      </c>
      <c r="D21" s="56">
        <f t="array" ref="D21">HLOOKUP(B21,ReadingTableVOC,2,FALSE)</f>
        <v>1098</v>
      </c>
      <c r="E21" s="71">
        <f t="shared" si="3"/>
        <v>22</v>
      </c>
    </row>
    <row r="22" spans="1:5" ht="15" customHeight="1" x14ac:dyDescent="0.25">
      <c r="A22" s="40">
        <f t="shared" si="1"/>
        <v>0</v>
      </c>
      <c r="B22" s="55">
        <f>INDEX(DatesVOC,1,E22)</f>
        <v>43555</v>
      </c>
      <c r="C22" s="55">
        <f t="shared" si="2"/>
        <v>43555</v>
      </c>
      <c r="D22" s="56">
        <f t="array" ref="D22">HLOOKUP(B22,ReadingTableVOC,2,FALSE)</f>
        <v>986</v>
      </c>
      <c r="E22" s="71">
        <f t="shared" si="3"/>
        <v>23</v>
      </c>
    </row>
    <row r="23" spans="1:5" ht="15" customHeight="1" x14ac:dyDescent="0.25">
      <c r="A23" s="40">
        <f t="shared" si="1"/>
        <v>0</v>
      </c>
      <c r="B23" s="55">
        <f>INDEX(DatesVOC,1,E23)</f>
        <v>43524</v>
      </c>
      <c r="C23" s="55">
        <f t="shared" si="2"/>
        <v>43524</v>
      </c>
      <c r="D23" s="56">
        <f t="array" ref="D23">HLOOKUP(B23,ReadingTableVOC,2,FALSE)</f>
        <v>1212</v>
      </c>
      <c r="E23" s="71">
        <f t="shared" si="3"/>
        <v>24</v>
      </c>
    </row>
    <row r="24" spans="1:5" ht="15" customHeight="1" x14ac:dyDescent="0.25">
      <c r="A24" s="40">
        <f t="shared" si="1"/>
        <v>0</v>
      </c>
      <c r="B24" s="55">
        <f>INDEX(DatesVOC,1,E24)</f>
        <v>43496</v>
      </c>
      <c r="C24" s="55">
        <f t="shared" si="2"/>
        <v>43496</v>
      </c>
      <c r="D24" s="56">
        <f t="array" ref="D24">HLOOKUP(B24,ReadingTableVOC,2,FALSE)</f>
        <v>1993</v>
      </c>
      <c r="E24" s="71">
        <f t="shared" si="3"/>
        <v>25</v>
      </c>
    </row>
    <row r="25" spans="1:5" ht="15" customHeight="1" x14ac:dyDescent="0.25">
      <c r="A25" s="40">
        <f t="shared" si="1"/>
        <v>0</v>
      </c>
      <c r="B25" s="55">
        <f>INDEX(DatesVOC,1,E25)</f>
        <v>43465</v>
      </c>
      <c r="C25" s="55">
        <f t="shared" si="2"/>
        <v>43465</v>
      </c>
      <c r="D25" s="56">
        <f t="array" ref="D25">HLOOKUP(B25,ReadingTableVOC,2,FALSE)</f>
        <v>2323</v>
      </c>
      <c r="E25" s="71">
        <f t="shared" si="3"/>
        <v>26</v>
      </c>
    </row>
    <row r="26" spans="1:5" ht="15" customHeight="1" x14ac:dyDescent="0.25">
      <c r="A26" s="40">
        <f t="shared" si="1"/>
        <v>0</v>
      </c>
      <c r="B26" s="55">
        <f>INDEX(DatesVOC,1,E26)</f>
        <v>43434</v>
      </c>
      <c r="C26" s="55">
        <f t="shared" si="2"/>
        <v>43434</v>
      </c>
      <c r="D26" s="56">
        <f t="array" ref="D26">HLOOKUP(B26,ReadingTableVOC,2,FALSE)</f>
        <v>2566</v>
      </c>
      <c r="E26" s="71">
        <f t="shared" si="3"/>
        <v>27</v>
      </c>
    </row>
    <row r="27" spans="1:5" ht="15" customHeight="1" x14ac:dyDescent="0.25">
      <c r="A27" s="40">
        <f t="shared" si="1"/>
        <v>0</v>
      </c>
      <c r="B27" s="55">
        <f>INDEX(DatesVOC,1,E27)</f>
        <v>43404</v>
      </c>
      <c r="C27" s="55">
        <f t="shared" si="2"/>
        <v>43404</v>
      </c>
      <c r="D27" s="56">
        <f t="array" ref="D27">HLOOKUP(B27,ReadingTableVOC,2,FALSE)</f>
        <v>2577</v>
      </c>
      <c r="E27" s="71">
        <f t="shared" si="3"/>
        <v>28</v>
      </c>
    </row>
    <row r="28" spans="1:5" ht="15" customHeight="1" x14ac:dyDescent="0.25">
      <c r="A28" s="40">
        <f t="shared" si="1"/>
        <v>0</v>
      </c>
      <c r="B28" s="55">
        <f>INDEX(DatesVOC,1,E28)</f>
        <v>43373</v>
      </c>
      <c r="C28" s="55">
        <f t="shared" si="2"/>
        <v>43373</v>
      </c>
      <c r="D28" s="56">
        <f t="array" ref="D28">HLOOKUP(B28,ReadingTableVOC,2,FALSE)</f>
        <v>2756</v>
      </c>
      <c r="E28" s="71">
        <f t="shared" si="3"/>
        <v>29</v>
      </c>
    </row>
    <row r="29" spans="1:5" ht="15" customHeight="1" x14ac:dyDescent="0.25">
      <c r="A29" s="40">
        <f t="shared" si="1"/>
        <v>0</v>
      </c>
      <c r="B29" s="55">
        <f>INDEX(DatesVOC,1,E29)</f>
        <v>43343</v>
      </c>
      <c r="C29" s="55">
        <f t="shared" si="2"/>
        <v>43343</v>
      </c>
      <c r="D29" s="56">
        <f t="array" ref="D29">HLOOKUP(B29,ReadingTableVOC,2,FALSE)</f>
        <v>2677</v>
      </c>
      <c r="E29" s="71">
        <f t="shared" si="3"/>
        <v>30</v>
      </c>
    </row>
    <row r="30" spans="1:5" ht="15" customHeight="1" x14ac:dyDescent="0.25">
      <c r="A30" s="40">
        <f t="shared" si="1"/>
        <v>0</v>
      </c>
      <c r="B30" s="55">
        <f>INDEX(DatesVOC,1,E30)</f>
        <v>43312</v>
      </c>
      <c r="C30" s="55">
        <f t="shared" si="2"/>
        <v>43312</v>
      </c>
      <c r="D30" s="56">
        <f t="array" ref="D30">HLOOKUP(B30,ReadingTableVOC,2,FALSE)</f>
        <v>1232</v>
      </c>
      <c r="E30" s="71">
        <f t="shared" si="3"/>
        <v>31</v>
      </c>
    </row>
    <row r="31" spans="1:5" ht="15" customHeight="1" x14ac:dyDescent="0.25">
      <c r="A31" s="40">
        <f t="shared" si="1"/>
        <v>0</v>
      </c>
      <c r="B31" s="55">
        <f>INDEX(DatesVOC,1,E31)</f>
        <v>43281</v>
      </c>
      <c r="C31" s="55">
        <f t="shared" si="2"/>
        <v>43281</v>
      </c>
      <c r="D31" s="56">
        <f t="array" ref="D31">HLOOKUP(B31,ReadingTableVOC,2,FALSE)</f>
        <v>3221</v>
      </c>
      <c r="E31" s="71">
        <f t="shared" si="3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ebkEXsk0VFp6zfGZqBPKZfNtVGr1n+7osaGSRaFd+Poqsm75FtGqaikh2CbNU2Ac8ZzsCrKbafqZzS/7oNdxog==" saltValue="Rjp/YIqgmiAX8YewfCId3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tabSelected="1" zoomScale="90" zoomScaleNormal="90" workbookViewId="0">
      <pane ySplit="2" topLeftCell="A3" activePane="bottomLeft" state="frozen"/>
      <selection pane="bottomLeft" activeCell="I25" sqref="I25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736</v>
      </c>
      <c r="C3" s="79">
        <v>223</v>
      </c>
      <c r="D3" s="99">
        <v>44012</v>
      </c>
      <c r="E3" s="105">
        <v>0.375</v>
      </c>
      <c r="F3" s="106">
        <v>0.5</v>
      </c>
      <c r="G3" s="100">
        <v>2654</v>
      </c>
    </row>
    <row r="4" spans="1:8" x14ac:dyDescent="0.25">
      <c r="B4" s="78" t="s">
        <v>737</v>
      </c>
      <c r="C4" s="79">
        <v>224</v>
      </c>
      <c r="D4" s="99">
        <v>43982</v>
      </c>
      <c r="E4" s="105">
        <v>0.41666666666666669</v>
      </c>
      <c r="F4" s="106">
        <v>0.5</v>
      </c>
      <c r="G4" s="100">
        <v>1173</v>
      </c>
      <c r="H4" s="49"/>
    </row>
    <row r="5" spans="1:8" x14ac:dyDescent="0.25">
      <c r="B5" s="78" t="s">
        <v>738</v>
      </c>
      <c r="C5" s="79">
        <v>225</v>
      </c>
      <c r="D5" s="99">
        <v>43951</v>
      </c>
      <c r="E5" s="105">
        <v>0.45833333333333331</v>
      </c>
      <c r="F5" s="106">
        <v>0.5</v>
      </c>
      <c r="G5" s="100">
        <v>1098</v>
      </c>
      <c r="H5" s="49"/>
    </row>
    <row r="6" spans="1:8" x14ac:dyDescent="0.25">
      <c r="B6" s="78" t="s">
        <v>739</v>
      </c>
      <c r="C6" s="79">
        <v>226</v>
      </c>
      <c r="D6" s="99">
        <v>43921</v>
      </c>
      <c r="E6" s="105">
        <v>0.10416666666666667</v>
      </c>
      <c r="F6" s="106">
        <v>0.18958333333333333</v>
      </c>
      <c r="G6" s="100">
        <v>986</v>
      </c>
      <c r="H6" s="49"/>
    </row>
    <row r="7" spans="1:8" x14ac:dyDescent="0.25">
      <c r="B7" s="78" t="s">
        <v>740</v>
      </c>
      <c r="C7" s="79">
        <v>227</v>
      </c>
      <c r="D7" s="99">
        <v>43889</v>
      </c>
      <c r="E7" s="105">
        <v>0.14583333333333334</v>
      </c>
      <c r="F7" s="106">
        <v>0.3298611111111111</v>
      </c>
      <c r="G7" s="100">
        <v>1212</v>
      </c>
      <c r="H7" s="49"/>
    </row>
    <row r="8" spans="1:8" x14ac:dyDescent="0.25">
      <c r="B8" s="78" t="s">
        <v>737</v>
      </c>
      <c r="C8" s="79">
        <v>228</v>
      </c>
      <c r="D8" s="99">
        <v>43861</v>
      </c>
      <c r="E8" s="105">
        <v>8.3333333333333329E-2</v>
      </c>
      <c r="F8" s="106">
        <v>0.25</v>
      </c>
      <c r="G8" s="100">
        <v>1993</v>
      </c>
      <c r="H8" s="49"/>
    </row>
    <row r="9" spans="1:8" x14ac:dyDescent="0.25">
      <c r="B9" s="78" t="s">
        <v>738</v>
      </c>
      <c r="C9" s="79">
        <v>229</v>
      </c>
      <c r="D9" s="99">
        <v>43830</v>
      </c>
      <c r="E9" s="105">
        <v>0.125</v>
      </c>
      <c r="F9" s="106">
        <v>0.25</v>
      </c>
      <c r="G9" s="100">
        <v>2323</v>
      </c>
      <c r="H9" s="49"/>
    </row>
    <row r="10" spans="1:8" x14ac:dyDescent="0.25">
      <c r="B10" s="78" t="s">
        <v>736</v>
      </c>
      <c r="C10" s="79">
        <v>230</v>
      </c>
      <c r="D10" s="99">
        <v>43799</v>
      </c>
      <c r="E10" s="105">
        <v>0.29166666666666669</v>
      </c>
      <c r="F10" s="106">
        <v>0.5</v>
      </c>
      <c r="G10" s="100">
        <v>2566</v>
      </c>
      <c r="H10" s="49"/>
    </row>
    <row r="11" spans="1:8" x14ac:dyDescent="0.25">
      <c r="B11" s="78" t="s">
        <v>741</v>
      </c>
      <c r="C11" s="79">
        <v>231</v>
      </c>
      <c r="D11" s="99">
        <v>43769</v>
      </c>
      <c r="E11" s="105">
        <v>0.45833333333333331</v>
      </c>
      <c r="F11" s="106">
        <v>0.5</v>
      </c>
      <c r="G11" s="100">
        <v>2577</v>
      </c>
      <c r="H11" s="49"/>
    </row>
    <row r="12" spans="1:8" x14ac:dyDescent="0.25">
      <c r="B12" s="78" t="s">
        <v>742</v>
      </c>
      <c r="C12" s="79">
        <v>232</v>
      </c>
      <c r="D12" s="99">
        <v>43738</v>
      </c>
      <c r="E12" s="105">
        <v>0.10416666666666667</v>
      </c>
      <c r="F12" s="106">
        <v>0.18958333333333333</v>
      </c>
      <c r="G12" s="100">
        <v>2756</v>
      </c>
      <c r="H12" s="49"/>
    </row>
    <row r="13" spans="1:8" x14ac:dyDescent="0.25">
      <c r="B13" s="78" t="s">
        <v>743</v>
      </c>
      <c r="C13" s="79">
        <v>233</v>
      </c>
      <c r="D13" s="99">
        <v>43708</v>
      </c>
      <c r="E13" s="105">
        <v>0.14583333333333334</v>
      </c>
      <c r="F13" s="106">
        <v>0.3298611111111111</v>
      </c>
      <c r="G13" s="100">
        <v>2677</v>
      </c>
      <c r="H13" s="49"/>
    </row>
    <row r="14" spans="1:8" x14ac:dyDescent="0.25">
      <c r="B14" s="78" t="s">
        <v>744</v>
      </c>
      <c r="C14" s="79">
        <v>234</v>
      </c>
      <c r="D14" s="99">
        <v>43677</v>
      </c>
      <c r="E14" s="105">
        <v>8.3333333333333329E-2</v>
      </c>
      <c r="F14" s="106">
        <v>0.25</v>
      </c>
      <c r="G14" s="100">
        <v>1232</v>
      </c>
      <c r="H14" s="49"/>
    </row>
    <row r="15" spans="1:8" x14ac:dyDescent="0.25">
      <c r="B15" s="78" t="s">
        <v>745</v>
      </c>
      <c r="C15" s="79">
        <v>235</v>
      </c>
      <c r="D15" s="99">
        <v>43646</v>
      </c>
      <c r="E15" s="105">
        <v>0.125</v>
      </c>
      <c r="F15" s="106">
        <v>0.25</v>
      </c>
      <c r="G15" s="100">
        <v>3221</v>
      </c>
      <c r="H15" s="49"/>
    </row>
    <row r="16" spans="1:8" x14ac:dyDescent="0.25">
      <c r="B16" s="78" t="s">
        <v>736</v>
      </c>
      <c r="C16" s="79">
        <v>236</v>
      </c>
      <c r="D16" s="99">
        <v>43616</v>
      </c>
      <c r="E16" s="105">
        <v>0.375</v>
      </c>
      <c r="F16" s="106">
        <v>0.5</v>
      </c>
      <c r="G16" s="100">
        <v>1173</v>
      </c>
      <c r="H16" s="49"/>
    </row>
    <row r="17" spans="1:32" x14ac:dyDescent="0.25">
      <c r="B17" s="78" t="s">
        <v>737</v>
      </c>
      <c r="C17" s="79">
        <v>237</v>
      </c>
      <c r="D17" s="99">
        <v>43585</v>
      </c>
      <c r="E17" s="105">
        <v>0.41666666666666669</v>
      </c>
      <c r="F17" s="106">
        <v>0.5</v>
      </c>
      <c r="G17" s="100">
        <v>1098</v>
      </c>
      <c r="H17" s="49"/>
    </row>
    <row r="18" spans="1:32" x14ac:dyDescent="0.25">
      <c r="B18" s="78" t="s">
        <v>738</v>
      </c>
      <c r="C18" s="79">
        <v>238</v>
      </c>
      <c r="D18" s="99">
        <v>43555</v>
      </c>
      <c r="E18" s="105">
        <v>0.45833333333333331</v>
      </c>
      <c r="F18" s="106">
        <v>0.5</v>
      </c>
      <c r="G18" s="100">
        <v>986</v>
      </c>
      <c r="H18" s="49"/>
    </row>
    <row r="19" spans="1:32" x14ac:dyDescent="0.25">
      <c r="B19" s="78" t="s">
        <v>739</v>
      </c>
      <c r="C19" s="79">
        <v>239</v>
      </c>
      <c r="D19" s="99">
        <v>43524</v>
      </c>
      <c r="E19" s="105">
        <v>0.10416666666666667</v>
      </c>
      <c r="F19" s="106">
        <v>0.18958333333333333</v>
      </c>
      <c r="G19" s="100">
        <v>1212</v>
      </c>
      <c r="H19" s="49"/>
    </row>
    <row r="20" spans="1:32" x14ac:dyDescent="0.25">
      <c r="B20" s="78" t="s">
        <v>740</v>
      </c>
      <c r="C20" s="79">
        <v>240</v>
      </c>
      <c r="D20" s="99">
        <v>43496</v>
      </c>
      <c r="E20" s="105">
        <v>0.14583333333333334</v>
      </c>
      <c r="F20" s="106">
        <v>0.3298611111111111</v>
      </c>
      <c r="G20" s="100">
        <v>1993</v>
      </c>
      <c r="H20" s="49"/>
    </row>
    <row r="21" spans="1:32" x14ac:dyDescent="0.25">
      <c r="B21" s="78" t="s">
        <v>737</v>
      </c>
      <c r="C21" s="79">
        <v>241</v>
      </c>
      <c r="D21" s="99">
        <v>43465</v>
      </c>
      <c r="E21" s="105">
        <v>8.3333333333333329E-2</v>
      </c>
      <c r="F21" s="106">
        <v>0.25</v>
      </c>
      <c r="G21" s="100">
        <v>2323</v>
      </c>
      <c r="H21" s="49"/>
    </row>
    <row r="22" spans="1:32" x14ac:dyDescent="0.25">
      <c r="B22" s="78" t="s">
        <v>738</v>
      </c>
      <c r="C22" s="79">
        <v>242</v>
      </c>
      <c r="D22" s="99">
        <v>43434</v>
      </c>
      <c r="E22" s="105">
        <v>0.125</v>
      </c>
      <c r="F22" s="106">
        <v>0.25</v>
      </c>
      <c r="G22" s="100">
        <v>2566</v>
      </c>
      <c r="H22" s="49"/>
    </row>
    <row r="23" spans="1:32" x14ac:dyDescent="0.25">
      <c r="B23" s="78" t="s">
        <v>736</v>
      </c>
      <c r="C23" s="79">
        <v>243</v>
      </c>
      <c r="D23" s="99">
        <v>43404</v>
      </c>
      <c r="E23" s="105">
        <v>0.29166666666666669</v>
      </c>
      <c r="F23" s="106">
        <v>0.5</v>
      </c>
      <c r="G23" s="100">
        <v>2577</v>
      </c>
      <c r="H23" s="49"/>
    </row>
    <row r="24" spans="1:32" x14ac:dyDescent="0.25">
      <c r="B24" s="78" t="s">
        <v>741</v>
      </c>
      <c r="C24" s="79">
        <v>244</v>
      </c>
      <c r="D24" s="99">
        <v>43373</v>
      </c>
      <c r="E24" s="105">
        <v>0.45833333333333331</v>
      </c>
      <c r="F24" s="106">
        <v>0.5</v>
      </c>
      <c r="G24" s="100">
        <v>2756</v>
      </c>
      <c r="H24" s="49"/>
    </row>
    <row r="25" spans="1:32" x14ac:dyDescent="0.25">
      <c r="B25" s="78" t="s">
        <v>742</v>
      </c>
      <c r="C25" s="79">
        <v>245</v>
      </c>
      <c r="D25" s="99">
        <v>43343</v>
      </c>
      <c r="E25" s="105">
        <v>0.10416666666666667</v>
      </c>
      <c r="F25" s="106">
        <v>0.18958333333333333</v>
      </c>
      <c r="G25" s="100">
        <v>2677</v>
      </c>
      <c r="H25" s="49"/>
    </row>
    <row r="26" spans="1:32" x14ac:dyDescent="0.25">
      <c r="B26" s="78" t="s">
        <v>743</v>
      </c>
      <c r="C26" s="79">
        <v>246</v>
      </c>
      <c r="D26" s="99">
        <v>43312</v>
      </c>
      <c r="E26" s="105">
        <v>0.14583333333333334</v>
      </c>
      <c r="F26" s="106">
        <v>0.3298611111111111</v>
      </c>
      <c r="G26" s="100">
        <v>1232</v>
      </c>
      <c r="H26" s="49"/>
    </row>
    <row r="27" spans="1:32" x14ac:dyDescent="0.25">
      <c r="B27" s="78" t="s">
        <v>740</v>
      </c>
      <c r="C27" s="79">
        <v>247</v>
      </c>
      <c r="D27" s="99">
        <v>43281</v>
      </c>
      <c r="E27" s="105">
        <v>8.3333333333333329E-2</v>
      </c>
      <c r="F27" s="106">
        <v>0.25</v>
      </c>
      <c r="G27" s="100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>IF(H31="",1,0)</f>
        <v>0</v>
      </c>
      <c r="I29" s="72">
        <f>IF(I31="",1,0)</f>
        <v>0</v>
      </c>
      <c r="J29" s="72">
        <f>IF(J31="",1,0)</f>
        <v>0</v>
      </c>
      <c r="K29" s="72">
        <f>IF(K31="",1,0)</f>
        <v>0</v>
      </c>
      <c r="L29" s="72">
        <f>IF(L31="",1,0)</f>
        <v>0</v>
      </c>
      <c r="M29" s="72">
        <f>IF(M31="",1,0)</f>
        <v>0</v>
      </c>
      <c r="N29" s="72">
        <f>IF(N31="",1,0)</f>
        <v>0</v>
      </c>
      <c r="O29" s="72">
        <f>IF(O31="",1,0)</f>
        <v>0</v>
      </c>
      <c r="P29" s="72">
        <f>IF(P31="",1,0)</f>
        <v>0</v>
      </c>
      <c r="Q29" s="72">
        <f>IF(Q31="",1,0)</f>
        <v>0</v>
      </c>
      <c r="R29" s="72">
        <f>IF(R31="",1,0)</f>
        <v>0</v>
      </c>
      <c r="S29" s="72">
        <f>IF(S31="",1,0)</f>
        <v>0</v>
      </c>
      <c r="T29" s="72">
        <f>IF(T31="",1,0)</f>
        <v>0</v>
      </c>
      <c r="U29" s="72">
        <f>IF(U31="",1,0)</f>
        <v>0</v>
      </c>
      <c r="V29" s="72">
        <f>IF(V31="",1,0)</f>
        <v>0</v>
      </c>
      <c r="W29" s="72">
        <f>IF(W31="",1,0)</f>
        <v>0</v>
      </c>
      <c r="X29" s="72">
        <f>IF(X31="",1,0)</f>
        <v>0</v>
      </c>
      <c r="Y29" s="72">
        <f>IF(Y31="",1,0)</f>
        <v>0</v>
      </c>
      <c r="Z29" s="72">
        <f>IF(Z31="",1,0)</f>
        <v>0</v>
      </c>
      <c r="AA29" s="72">
        <f>IF(AA31="",1,0)</f>
        <v>0</v>
      </c>
      <c r="AB29" s="72">
        <f>IF(AB31="",1,0)</f>
        <v>0</v>
      </c>
      <c r="AC29" s="72">
        <f>IF(AC31="",1,0)</f>
        <v>0</v>
      </c>
      <c r="AD29" s="72">
        <f>IF(AD31="",1,0)</f>
        <v>0</v>
      </c>
      <c r="AE29" s="72">
        <f>IF(AE31="",1,0)</f>
        <v>0</v>
      </c>
      <c r="AF29" s="72">
        <f>IF(AF31="",1,0)</f>
        <v>0</v>
      </c>
    </row>
    <row r="30" spans="1:32" ht="21" customHeight="1" x14ac:dyDescent="0.25">
      <c r="A30" s="41" t="s">
        <v>601</v>
      </c>
      <c r="B30" s="221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22"/>
      <c r="C31" s="66"/>
      <c r="D31" s="66"/>
      <c r="E31" s="66"/>
      <c r="F31" s="66"/>
      <c r="G31" s="67"/>
      <c r="H31" s="172">
        <f t="array" ref="H31">IFERROR(INDEX($D$3:$D$28, MATCH(0,IF(ISBLANK($D$3:$D$28),1,COUNTIF($G$31:G31, $D$3:$D$28)), 0)),"")</f>
        <v>44012</v>
      </c>
      <c r="I31" s="172">
        <f t="array" ref="I31">IFERROR(INDEX($D$3:$D$28, MATCH(0,IF(ISBLANK($D$3:$D$28),1,COUNTIF($G$31:H31, $D$3:$D$28)), 0)),"")</f>
        <v>43982</v>
      </c>
      <c r="J31" s="172">
        <f t="array" ref="J31">IFERROR(INDEX($D$3:$D$28, MATCH(0,IF(ISBLANK($D$3:$D$28),1,COUNTIF($G$31:I31, $D$3:$D$28)), 0)),"")</f>
        <v>43951</v>
      </c>
      <c r="K31" s="172">
        <f t="array" ref="K31">IFERROR(INDEX($D$3:$D$28, MATCH(0,IF(ISBLANK($D$3:$D$28),1,COUNTIF($G$31:J31, $D$3:$D$28)), 0)),"")</f>
        <v>43921</v>
      </c>
      <c r="L31" s="172">
        <f t="array" ref="L31">IFERROR(INDEX($D$3:$D$28, MATCH(0,IF(ISBLANK($D$3:$D$28),1,COUNTIF($G$31:K31, $D$3:$D$28)), 0)),"")</f>
        <v>43889</v>
      </c>
      <c r="M31" s="172">
        <f t="array" ref="M31">IFERROR(INDEX($D$3:$D$28, MATCH(0,IF(ISBLANK($D$3:$D$28),1,COUNTIF($G$31:L31, $D$3:$D$28)), 0)),"")</f>
        <v>43861</v>
      </c>
      <c r="N31" s="172">
        <f t="array" ref="N31">IFERROR(INDEX($D$3:$D$28, MATCH(0,IF(ISBLANK($D$3:$D$28),1,COUNTIF($G$31:M31, $D$3:$D$28)), 0)),"")</f>
        <v>43830</v>
      </c>
      <c r="O31" s="172">
        <f t="array" ref="O31">IFERROR(INDEX($D$3:$D$28, MATCH(0,IF(ISBLANK($D$3:$D$28),1,COUNTIF($G$31:N31, $D$3:$D$28)), 0)),"")</f>
        <v>43799</v>
      </c>
      <c r="P31" s="172">
        <f t="array" ref="P31">IFERROR(INDEX($D$3:$D$28, MATCH(0,IF(ISBLANK($D$3:$D$28),1,COUNTIF($G$31:O31, $D$3:$D$28)), 0)),"")</f>
        <v>43769</v>
      </c>
      <c r="Q31" s="172">
        <f t="array" ref="Q31">IFERROR(INDEX($D$3:$D$28, MATCH(0,IF(ISBLANK($D$3:$D$28),1,COUNTIF($G$31:P31, $D$3:$D$28)), 0)),"")</f>
        <v>43738</v>
      </c>
      <c r="R31" s="172">
        <f t="array" ref="R31">IFERROR(INDEX($D$3:$D$28, MATCH(0,IF(ISBLANK($D$3:$D$28),1,COUNTIF($G$31:Q31, $D$3:$D$28)), 0)),"")</f>
        <v>43708</v>
      </c>
      <c r="S31" s="172">
        <f t="array" ref="S31">IFERROR(INDEX($D$3:$D$28, MATCH(0,IF(ISBLANK($D$3:$D$28),1,COUNTIF($G$31:R31, $D$3:$D$28)), 0)),"")</f>
        <v>43677</v>
      </c>
      <c r="T31" s="172">
        <f t="array" ref="T31">IFERROR(INDEX($D$3:$D$28, MATCH(0,IF(ISBLANK($D$3:$D$28),1,COUNTIF($G$31:S31, $D$3:$D$28)), 0)),"")</f>
        <v>43646</v>
      </c>
      <c r="U31" s="172">
        <f t="array" ref="U31">IFERROR(INDEX($D$3:$D$28, MATCH(0,IF(ISBLANK($D$3:$D$28),1,COUNTIF($G$31:T31, $D$3:$D$28)), 0)),"")</f>
        <v>43616</v>
      </c>
      <c r="V31" s="172">
        <f t="array" ref="V31">IFERROR(INDEX($D$3:$D$28, MATCH(0,IF(ISBLANK($D$3:$D$28),1,COUNTIF($G$31:U31, $D$3:$D$28)), 0)),"")</f>
        <v>43585</v>
      </c>
      <c r="W31" s="172">
        <f t="array" ref="W31">IFERROR(INDEX($D$3:$D$28, MATCH(0,IF(ISBLANK($D$3:$D$28),1,COUNTIF($G$31:V31, $D$3:$D$28)), 0)),"")</f>
        <v>43555</v>
      </c>
      <c r="X31" s="172">
        <f t="array" ref="X31">IFERROR(INDEX($D$3:$D$28, MATCH(0,IF(ISBLANK($D$3:$D$28),1,COUNTIF($G$31:W31, $D$3:$D$28)), 0)),"")</f>
        <v>43524</v>
      </c>
      <c r="Y31" s="172">
        <f t="array" ref="Y31">IFERROR(INDEX($D$3:$D$28, MATCH(0,IF(ISBLANK($D$3:$D$28),1,COUNTIF($G$31:X31, $D$3:$D$28)), 0)),"")</f>
        <v>43496</v>
      </c>
      <c r="Z31" s="172">
        <f t="array" ref="Z31">IFERROR(INDEX($D$3:$D$28, MATCH(0,IF(ISBLANK($D$3:$D$28),1,COUNTIF($G$31:Y31, $D$3:$D$28)), 0)),"")</f>
        <v>43465</v>
      </c>
      <c r="AA31" s="172">
        <f t="array" ref="AA31">IFERROR(INDEX($D$3:$D$28, MATCH(0,IF(ISBLANK($D$3:$D$28),1,COUNTIF($G$31:Z31, $D$3:$D$28)), 0)),"")</f>
        <v>43434</v>
      </c>
      <c r="AB31" s="172">
        <f t="array" ref="AB31">IFERROR(INDEX($D$3:$D$28, MATCH(0,IF(ISBLANK($D$3:$D$28),1,COUNTIF($G$31:AA31, $D$3:$D$28)), 0)),"")</f>
        <v>43404</v>
      </c>
      <c r="AC31" s="172">
        <f t="array" ref="AC31">IFERROR(INDEX($D$3:$D$28, MATCH(0,IF(ISBLANK($D$3:$D$28),1,COUNTIF($G$31:AB31, $D$3:$D$28)), 0)),"")</f>
        <v>43373</v>
      </c>
      <c r="AD31" s="172">
        <f t="array" ref="AD31">IFERROR(INDEX($D$3:$D$28, MATCH(0,IF(ISBLANK($D$3:$D$28),1,COUNTIF($G$31:AC31, $D$3:$D$28)), 0)),"")</f>
        <v>43343</v>
      </c>
      <c r="AE31" s="172">
        <f t="array" ref="AE31">IFERROR(INDEX($D$3:$D$28, MATCH(0,IF(ISBLANK($D$3:$D$28),1,COUNTIF($G$31:AD31, $D$3:$D$28)), 0)),"")</f>
        <v>43312</v>
      </c>
      <c r="AF31" s="172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23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1">
        <f t="array" ref="H33">IFERROR(AVERAGE(IF($B$3:$B$28=$B33,IF($D$3:$D$28=H$31,IF($G$3:$G$28&lt;&gt;"",$G$3:$G$28)))),"")</f>
        <v>2654</v>
      </c>
      <c r="I33" s="101" t="str">
        <f t="array" ref="I33">IFERROR(AVERAGE(IF($B$3:$B$28=$B33,IF($D$3:$D$28=I$31,IF($G$3:$G$28&lt;&gt;"",$G$3:$G$28)))),"")</f>
        <v/>
      </c>
      <c r="J33" s="101" t="str">
        <f t="array" ref="J33">IFERROR(AVERAGE(IF($B$3:$B$28=$B33,IF($D$3:$D$28=J$31,IF($G$3:$G$28&lt;&gt;"",$G$3:$G$28)))),"")</f>
        <v/>
      </c>
      <c r="K33" s="101" t="str">
        <f t="array" ref="K33">IFERROR(AVERAGE(IF($B$3:$B$28=$B33,IF($D$3:$D$28=K$31,IF($G$3:$G$28&lt;&gt;"",$G$3:$G$28)))),"")</f>
        <v/>
      </c>
      <c r="L33" s="101" t="str">
        <f t="array" ref="L33">IFERROR(AVERAGE(IF($B$3:$B$28=$B33,IF($D$3:$D$28=L$31,IF($G$3:$G$28&lt;&gt;"",$G$3:$G$28)))),"")</f>
        <v/>
      </c>
      <c r="M33" s="101" t="str">
        <f t="array" ref="M33">IFERROR(AVERAGE(IF($B$3:$B$28=$B33,IF($D$3:$D$28=M$31,IF($G$3:$G$28&lt;&gt;"",$G$3:$G$28)))),"")</f>
        <v/>
      </c>
      <c r="N33" s="101" t="str">
        <f t="array" ref="N33">IFERROR(AVERAGE(IF($B$3:$B$28=$B33,IF($D$3:$D$28=N$31,IF($G$3:$G$28&lt;&gt;"",$G$3:$G$28)))),"")</f>
        <v/>
      </c>
      <c r="O33" s="101">
        <f t="array" ref="O33">IFERROR(AVERAGE(IF($B$3:$B$28=$B33,IF($D$3:$D$28=O$31,IF($G$3:$G$28&lt;&gt;"",$G$3:$G$28)))),"")</f>
        <v>2566</v>
      </c>
      <c r="P33" s="101" t="str">
        <f t="array" ref="P33">IFERROR(AVERAGE(IF($B$3:$B$28=$B33,IF($D$3:$D$28=P$31,IF($G$3:$G$28&lt;&gt;"",$G$3:$G$28)))),"")</f>
        <v/>
      </c>
      <c r="Q33" s="101" t="str">
        <f t="array" ref="Q33">IFERROR(AVERAGE(IF($B$3:$B$28=$B33,IF($D$3:$D$28=Q$31,IF($G$3:$G$28&lt;&gt;"",$G$3:$G$28)))),"")</f>
        <v/>
      </c>
      <c r="R33" s="101" t="str">
        <f t="array" ref="R33">IFERROR(AVERAGE(IF($B$3:$B$28=$B33,IF($D$3:$D$28=R$31,IF($G$3:$G$28&lt;&gt;"",$G$3:$G$28)))),"")</f>
        <v/>
      </c>
      <c r="S33" s="101" t="str">
        <f t="array" ref="S33">IFERROR(AVERAGE(IF($B$3:$B$28=$B33,IF($D$3:$D$28=S$31,IF($G$3:$G$28&lt;&gt;"",$G$3:$G$28)))),"")</f>
        <v/>
      </c>
      <c r="T33" s="101" t="str">
        <f t="array" ref="T33">IFERROR(AVERAGE(IF($B$3:$B$28=$B33,IF($D$3:$D$28=T$31,IF($G$3:$G$28&lt;&gt;"",$G$3:$G$28)))),"")</f>
        <v/>
      </c>
      <c r="U33" s="101">
        <f t="array" ref="U33">IFERROR(AVERAGE(IF($B$3:$B$28=$B33,IF($D$3:$D$28=U$31,IF($G$3:$G$28&lt;&gt;"",$G$3:$G$28)))),"")</f>
        <v>1173</v>
      </c>
      <c r="V33" s="101" t="str">
        <f t="array" ref="V33">IFERROR(AVERAGE(IF($B$3:$B$28=$B33,IF($D$3:$D$28=V$31,IF($G$3:$G$28&lt;&gt;"",$G$3:$G$28)))),"")</f>
        <v/>
      </c>
      <c r="W33" s="101" t="str">
        <f t="array" ref="W33">IFERROR(AVERAGE(IF($B$3:$B$28=$B33,IF($D$3:$D$28=W$31,IF($G$3:$G$28&lt;&gt;"",$G$3:$G$28)))),"")</f>
        <v/>
      </c>
      <c r="X33" s="101" t="str">
        <f t="array" ref="X33">IFERROR(AVERAGE(IF($B$3:$B$28=$B33,IF($D$3:$D$28=X$31,IF($G$3:$G$28&lt;&gt;"",$G$3:$G$28)))),"")</f>
        <v/>
      </c>
      <c r="Y33" s="101" t="str">
        <f t="array" ref="Y33">IFERROR(AVERAGE(IF($B$3:$B$28=$B33,IF($D$3:$D$28=Y$31,IF($G$3:$G$28&lt;&gt;"",$G$3:$G$28)))),"")</f>
        <v/>
      </c>
      <c r="Z33" s="101" t="str">
        <f t="array" ref="Z33">IFERROR(AVERAGE(IF($B$3:$B$28=$B33,IF($D$3:$D$28=Z$31,IF($G$3:$G$28&lt;&gt;"",$G$3:$G$28)))),"")</f>
        <v/>
      </c>
      <c r="AA33" s="101" t="str">
        <f t="array" ref="AA33">IFERROR(AVERAGE(IF($B$3:$B$28=$B33,IF($D$3:$D$28=AA$31,IF($G$3:$G$28&lt;&gt;"",$G$3:$G$28)))),"")</f>
        <v/>
      </c>
      <c r="AB33" s="101">
        <f t="array" ref="AB33">IFERROR(AVERAGE(IF($B$3:$B$28=$B33,IF($D$3:$D$28=AB$31,IF($G$3:$G$28&lt;&gt;"",$G$3:$G$28)))),"")</f>
        <v>2577</v>
      </c>
      <c r="AC33" s="101" t="str">
        <f t="array" ref="AC33">IFERROR(AVERAGE(IF($B$3:$B$28=$B33,IF($D$3:$D$28=AC$31,IF($G$3:$G$28&lt;&gt;"",$G$3:$G$28)))),"")</f>
        <v/>
      </c>
      <c r="AD33" s="101" t="str">
        <f t="array" ref="AD33">IFERROR(AVERAGE(IF($B$3:$B$28=$B33,IF($D$3:$D$28=AD$31,IF($G$3:$G$28&lt;&gt;"",$G$3:$G$28)))),"")</f>
        <v/>
      </c>
      <c r="AE33" s="101" t="str">
        <f t="array" ref="AE33">IFERROR(AVERAGE(IF($B$3:$B$28=$B33,IF($D$3:$D$28=AE$31,IF($G$3:$G$28&lt;&gt;"",$G$3:$G$28)))),"")</f>
        <v/>
      </c>
      <c r="AF33" s="101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0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1" t="str">
        <f t="array" ref="H34">IFERROR(AVERAGE(IF($B$3:$B$28=$B34,IF($D$3:$D$28=H$31,IF($G$3:$G$28&lt;&gt;"",$G$3:$G$28)))),"")</f>
        <v/>
      </c>
      <c r="I34" s="101">
        <f t="array" ref="I34">IFERROR(AVERAGE(IF($B$3:$B$28=$B34,IF($D$3:$D$28=I$31,IF($G$3:$G$28&lt;&gt;"",$G$3:$G$28)))),"")</f>
        <v>1173</v>
      </c>
      <c r="J34" s="101" t="str">
        <f t="array" ref="J34">IFERROR(AVERAGE(IF($B$3:$B$28=$B34,IF($D$3:$D$28=J$31,IF($G$3:$G$28&lt;&gt;"",$G$3:$G$28)))),"")</f>
        <v/>
      </c>
      <c r="K34" s="101" t="str">
        <f t="array" ref="K34">IFERROR(AVERAGE(IF($B$3:$B$28=$B34,IF($D$3:$D$28=K$31,IF($G$3:$G$28&lt;&gt;"",$G$3:$G$28)))),"")</f>
        <v/>
      </c>
      <c r="L34" s="101" t="str">
        <f t="array" ref="L34">IFERROR(AVERAGE(IF($B$3:$B$28=$B34,IF($D$3:$D$28=L$31,IF($G$3:$G$28&lt;&gt;"",$G$3:$G$28)))),"")</f>
        <v/>
      </c>
      <c r="M34" s="101">
        <f t="array" ref="M34">IFERROR(AVERAGE(IF($B$3:$B$28=$B34,IF($D$3:$D$28=M$31,IF($G$3:$G$28&lt;&gt;"",$G$3:$G$28)))),"")</f>
        <v>1993</v>
      </c>
      <c r="N34" s="101" t="str">
        <f t="array" ref="N34">IFERROR(AVERAGE(IF($B$3:$B$28=$B34,IF($D$3:$D$28=N$31,IF($G$3:$G$28&lt;&gt;"",$G$3:$G$28)))),"")</f>
        <v/>
      </c>
      <c r="O34" s="101" t="str">
        <f t="array" ref="O34">IFERROR(AVERAGE(IF($B$3:$B$28=$B34,IF($D$3:$D$28=O$31,IF($G$3:$G$28&lt;&gt;"",$G$3:$G$28)))),"")</f>
        <v/>
      </c>
      <c r="P34" s="101" t="str">
        <f t="array" ref="P34">IFERROR(AVERAGE(IF($B$3:$B$28=$B34,IF($D$3:$D$28=P$31,IF($G$3:$G$28&lt;&gt;"",$G$3:$G$28)))),"")</f>
        <v/>
      </c>
      <c r="Q34" s="101" t="str">
        <f t="array" ref="Q34">IFERROR(AVERAGE(IF($B$3:$B$28=$B34,IF($D$3:$D$28=Q$31,IF($G$3:$G$28&lt;&gt;"",$G$3:$G$28)))),"")</f>
        <v/>
      </c>
      <c r="R34" s="101" t="str">
        <f t="array" ref="R34">IFERROR(AVERAGE(IF($B$3:$B$28=$B34,IF($D$3:$D$28=R$31,IF($G$3:$G$28&lt;&gt;"",$G$3:$G$28)))),"")</f>
        <v/>
      </c>
      <c r="S34" s="101" t="str">
        <f t="array" ref="S34">IFERROR(AVERAGE(IF($B$3:$B$28=$B34,IF($D$3:$D$28=S$31,IF($G$3:$G$28&lt;&gt;"",$G$3:$G$28)))),"")</f>
        <v/>
      </c>
      <c r="T34" s="101" t="str">
        <f t="array" ref="T34">IFERROR(AVERAGE(IF($B$3:$B$28=$B34,IF($D$3:$D$28=T$31,IF($G$3:$G$28&lt;&gt;"",$G$3:$G$28)))),"")</f>
        <v/>
      </c>
      <c r="U34" s="101" t="str">
        <f t="array" ref="U34">IFERROR(AVERAGE(IF($B$3:$B$28=$B34,IF($D$3:$D$28=U$31,IF($G$3:$G$28&lt;&gt;"",$G$3:$G$28)))),"")</f>
        <v/>
      </c>
      <c r="V34" s="101">
        <f t="array" ref="V34">IFERROR(AVERAGE(IF($B$3:$B$28=$B34,IF($D$3:$D$28=V$31,IF($G$3:$G$28&lt;&gt;"",$G$3:$G$28)))),"")</f>
        <v>1098</v>
      </c>
      <c r="W34" s="101" t="str">
        <f t="array" ref="W34">IFERROR(AVERAGE(IF($B$3:$B$28=$B34,IF($D$3:$D$28=W$31,IF($G$3:$G$28&lt;&gt;"",$G$3:$G$28)))),"")</f>
        <v/>
      </c>
      <c r="X34" s="101" t="str">
        <f t="array" ref="X34">IFERROR(AVERAGE(IF($B$3:$B$28=$B34,IF($D$3:$D$28=X$31,IF($G$3:$G$28&lt;&gt;"",$G$3:$G$28)))),"")</f>
        <v/>
      </c>
      <c r="Y34" s="101" t="str">
        <f t="array" ref="Y34">IFERROR(AVERAGE(IF($B$3:$B$28=$B34,IF($D$3:$D$28=Y$31,IF($G$3:$G$28&lt;&gt;"",$G$3:$G$28)))),"")</f>
        <v/>
      </c>
      <c r="Z34" s="101">
        <f t="array" ref="Z34">IFERROR(AVERAGE(IF($B$3:$B$28=$B34,IF($D$3:$D$28=Z$31,IF($G$3:$G$28&lt;&gt;"",$G$3:$G$28)))),"")</f>
        <v>2323</v>
      </c>
      <c r="AA34" s="101" t="str">
        <f t="array" ref="AA34">IFERROR(AVERAGE(IF($B$3:$B$28=$B34,IF($D$3:$D$28=AA$31,IF($G$3:$G$28&lt;&gt;"",$G$3:$G$28)))),"")</f>
        <v/>
      </c>
      <c r="AB34" s="101" t="str">
        <f t="array" ref="AB34">IFERROR(AVERAGE(IF($B$3:$B$28=$B34,IF($D$3:$D$28=AB$31,IF($G$3:$G$28&lt;&gt;"",$G$3:$G$28)))),"")</f>
        <v/>
      </c>
      <c r="AC34" s="101" t="str">
        <f t="array" ref="AC34">IFERROR(AVERAGE(IF($B$3:$B$28=$B34,IF($D$3:$D$28=AC$31,IF($G$3:$G$28&lt;&gt;"",$G$3:$G$28)))),"")</f>
        <v/>
      </c>
      <c r="AD34" s="101" t="str">
        <f t="array" ref="AD34">IFERROR(AVERAGE(IF($B$3:$B$28=$B34,IF($D$3:$D$28=AD$31,IF($G$3:$G$28&lt;&gt;"",$G$3:$G$28)))),"")</f>
        <v/>
      </c>
      <c r="AE34" s="101" t="str">
        <f t="array" ref="AE34">IFERROR(AVERAGE(IF($B$3:$B$28=$B34,IF($D$3:$D$28=AE$31,IF($G$3:$G$28&lt;&gt;"",$G$3:$G$28)))),"")</f>
        <v/>
      </c>
      <c r="AF34" s="101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1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1" t="str">
        <f t="array" ref="H35">IFERROR(AVERAGE(IF($B$3:$B$28=$B35,IF($D$3:$D$28=H$31,IF($G$3:$G$28&lt;&gt;"",$G$3:$G$28)))),"")</f>
        <v/>
      </c>
      <c r="I35" s="101" t="str">
        <f t="array" ref="I35">IFERROR(AVERAGE(IF($B$3:$B$28=$B35,IF($D$3:$D$28=I$31,IF($G$3:$G$28&lt;&gt;"",$G$3:$G$28)))),"")</f>
        <v/>
      </c>
      <c r="J35" s="101">
        <f t="array" ref="J35">IFERROR(AVERAGE(IF($B$3:$B$28=$B35,IF($D$3:$D$28=J$31,IF($G$3:$G$28&lt;&gt;"",$G$3:$G$28)))),"")</f>
        <v>1098</v>
      </c>
      <c r="K35" s="101" t="str">
        <f t="array" ref="K35">IFERROR(AVERAGE(IF($B$3:$B$28=$B35,IF($D$3:$D$28=K$31,IF($G$3:$G$28&lt;&gt;"",$G$3:$G$28)))),"")</f>
        <v/>
      </c>
      <c r="L35" s="101" t="str">
        <f t="array" ref="L35">IFERROR(AVERAGE(IF($B$3:$B$28=$B35,IF($D$3:$D$28=L$31,IF($G$3:$G$28&lt;&gt;"",$G$3:$G$28)))),"")</f>
        <v/>
      </c>
      <c r="M35" s="101" t="str">
        <f t="array" ref="M35">IFERROR(AVERAGE(IF($B$3:$B$28=$B35,IF($D$3:$D$28=M$31,IF($G$3:$G$28&lt;&gt;"",$G$3:$G$28)))),"")</f>
        <v/>
      </c>
      <c r="N35" s="101">
        <f t="array" ref="N35">IFERROR(AVERAGE(IF($B$3:$B$28=$B35,IF($D$3:$D$28=N$31,IF($G$3:$G$28&lt;&gt;"",$G$3:$G$28)))),"")</f>
        <v>2323</v>
      </c>
      <c r="O35" s="101" t="str">
        <f t="array" ref="O35">IFERROR(AVERAGE(IF($B$3:$B$28=$B35,IF($D$3:$D$28=O$31,IF($G$3:$G$28&lt;&gt;"",$G$3:$G$28)))),"")</f>
        <v/>
      </c>
      <c r="P35" s="101" t="str">
        <f t="array" ref="P35">IFERROR(AVERAGE(IF($B$3:$B$28=$B35,IF($D$3:$D$28=P$31,IF($G$3:$G$28&lt;&gt;"",$G$3:$G$28)))),"")</f>
        <v/>
      </c>
      <c r="Q35" s="101" t="str">
        <f t="array" ref="Q35">IFERROR(AVERAGE(IF($B$3:$B$28=$B35,IF($D$3:$D$28=Q$31,IF($G$3:$G$28&lt;&gt;"",$G$3:$G$28)))),"")</f>
        <v/>
      </c>
      <c r="R35" s="101" t="str">
        <f t="array" ref="R35">IFERROR(AVERAGE(IF($B$3:$B$28=$B35,IF($D$3:$D$28=R$31,IF($G$3:$G$28&lt;&gt;"",$G$3:$G$28)))),"")</f>
        <v/>
      </c>
      <c r="S35" s="101" t="str">
        <f t="array" ref="S35">IFERROR(AVERAGE(IF($B$3:$B$28=$B35,IF($D$3:$D$28=S$31,IF($G$3:$G$28&lt;&gt;"",$G$3:$G$28)))),"")</f>
        <v/>
      </c>
      <c r="T35" s="101" t="str">
        <f t="array" ref="T35">IFERROR(AVERAGE(IF($B$3:$B$28=$B35,IF($D$3:$D$28=T$31,IF($G$3:$G$28&lt;&gt;"",$G$3:$G$28)))),"")</f>
        <v/>
      </c>
      <c r="U35" s="101" t="str">
        <f t="array" ref="U35">IFERROR(AVERAGE(IF($B$3:$B$28=$B35,IF($D$3:$D$28=U$31,IF($G$3:$G$28&lt;&gt;"",$G$3:$G$28)))),"")</f>
        <v/>
      </c>
      <c r="V35" s="101" t="str">
        <f t="array" ref="V35">IFERROR(AVERAGE(IF($B$3:$B$28=$B35,IF($D$3:$D$28=V$31,IF($G$3:$G$28&lt;&gt;"",$G$3:$G$28)))),"")</f>
        <v/>
      </c>
      <c r="W35" s="101">
        <f t="array" ref="W35">IFERROR(AVERAGE(IF($B$3:$B$28=$B35,IF($D$3:$D$28=W$31,IF($G$3:$G$28&lt;&gt;"",$G$3:$G$28)))),"")</f>
        <v>986</v>
      </c>
      <c r="X35" s="101" t="str">
        <f t="array" ref="X35">IFERROR(AVERAGE(IF($B$3:$B$28=$B35,IF($D$3:$D$28=X$31,IF($G$3:$G$28&lt;&gt;"",$G$3:$G$28)))),"")</f>
        <v/>
      </c>
      <c r="Y35" s="101" t="str">
        <f t="array" ref="Y35">IFERROR(AVERAGE(IF($B$3:$B$28=$B35,IF($D$3:$D$28=Y$31,IF($G$3:$G$28&lt;&gt;"",$G$3:$G$28)))),"")</f>
        <v/>
      </c>
      <c r="Z35" s="101" t="str">
        <f t="array" ref="Z35">IFERROR(AVERAGE(IF($B$3:$B$28=$B35,IF($D$3:$D$28=Z$31,IF($G$3:$G$28&lt;&gt;"",$G$3:$G$28)))),"")</f>
        <v/>
      </c>
      <c r="AA35" s="101">
        <f t="array" ref="AA35">IFERROR(AVERAGE(IF($B$3:$B$28=$B35,IF($D$3:$D$28=AA$31,IF($G$3:$G$28&lt;&gt;"",$G$3:$G$28)))),"")</f>
        <v>2566</v>
      </c>
      <c r="AB35" s="101" t="str">
        <f t="array" ref="AB35">IFERROR(AVERAGE(IF($B$3:$B$28=$B35,IF($D$3:$D$28=AB$31,IF($G$3:$G$28&lt;&gt;"",$G$3:$G$28)))),"")</f>
        <v/>
      </c>
      <c r="AC35" s="101" t="str">
        <f t="array" ref="AC35">IFERROR(AVERAGE(IF($B$3:$B$28=$B35,IF($D$3:$D$28=AC$31,IF($G$3:$G$28&lt;&gt;"",$G$3:$G$28)))),"")</f>
        <v/>
      </c>
      <c r="AD35" s="101" t="str">
        <f t="array" ref="AD35">IFERROR(AVERAGE(IF($B$3:$B$28=$B35,IF($D$3:$D$28=AD$31,IF($G$3:$G$28&lt;&gt;"",$G$3:$G$28)))),"")</f>
        <v/>
      </c>
      <c r="AE35" s="101" t="str">
        <f t="array" ref="AE35">IFERROR(AVERAGE(IF($B$3:$B$28=$B35,IF($D$3:$D$28=AE$31,IF($G$3:$G$28&lt;&gt;"",$G$3:$G$28)))),"")</f>
        <v/>
      </c>
      <c r="AF35" s="101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1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1" t="str">
        <f t="array" ref="H36">IFERROR(AVERAGE(IF($B$3:$B$28=$B36,IF($D$3:$D$28=H$31,IF($G$3:$G$28&lt;&gt;"",$G$3:$G$28)))),"")</f>
        <v/>
      </c>
      <c r="I36" s="101" t="str">
        <f t="array" ref="I36">IFERROR(AVERAGE(IF($B$3:$B$28=$B36,IF($D$3:$D$28=I$31,IF($G$3:$G$28&lt;&gt;"",$G$3:$G$28)))),"")</f>
        <v/>
      </c>
      <c r="J36" s="101" t="str">
        <f t="array" ref="J36">IFERROR(AVERAGE(IF($B$3:$B$28=$B36,IF($D$3:$D$28=J$31,IF($G$3:$G$28&lt;&gt;"",$G$3:$G$28)))),"")</f>
        <v/>
      </c>
      <c r="K36" s="101">
        <f t="array" ref="K36">IFERROR(AVERAGE(IF($B$3:$B$28=$B36,IF($D$3:$D$28=K$31,IF($G$3:$G$28&lt;&gt;"",$G$3:$G$28)))),"")</f>
        <v>986</v>
      </c>
      <c r="L36" s="101" t="str">
        <f t="array" ref="L36">IFERROR(AVERAGE(IF($B$3:$B$28=$B36,IF($D$3:$D$28=L$31,IF($G$3:$G$28&lt;&gt;"",$G$3:$G$28)))),"")</f>
        <v/>
      </c>
      <c r="M36" s="101" t="str">
        <f t="array" ref="M36">IFERROR(AVERAGE(IF($B$3:$B$28=$B36,IF($D$3:$D$28=M$31,IF($G$3:$G$28&lt;&gt;"",$G$3:$G$28)))),"")</f>
        <v/>
      </c>
      <c r="N36" s="101" t="str">
        <f t="array" ref="N36">IFERROR(AVERAGE(IF($B$3:$B$28=$B36,IF($D$3:$D$28=N$31,IF($G$3:$G$28&lt;&gt;"",$G$3:$G$28)))),"")</f>
        <v/>
      </c>
      <c r="O36" s="101" t="str">
        <f t="array" ref="O36">IFERROR(AVERAGE(IF($B$3:$B$28=$B36,IF($D$3:$D$28=O$31,IF($G$3:$G$28&lt;&gt;"",$G$3:$G$28)))),"")</f>
        <v/>
      </c>
      <c r="P36" s="101" t="str">
        <f t="array" ref="P36">IFERROR(AVERAGE(IF($B$3:$B$28=$B36,IF($D$3:$D$28=P$31,IF($G$3:$G$28&lt;&gt;"",$G$3:$G$28)))),"")</f>
        <v/>
      </c>
      <c r="Q36" s="101" t="str">
        <f t="array" ref="Q36">IFERROR(AVERAGE(IF($B$3:$B$28=$B36,IF($D$3:$D$28=Q$31,IF($G$3:$G$28&lt;&gt;"",$G$3:$G$28)))),"")</f>
        <v/>
      </c>
      <c r="R36" s="101" t="str">
        <f t="array" ref="R36">IFERROR(AVERAGE(IF($B$3:$B$28=$B36,IF($D$3:$D$28=R$31,IF($G$3:$G$28&lt;&gt;"",$G$3:$G$28)))),"")</f>
        <v/>
      </c>
      <c r="S36" s="101" t="str">
        <f t="array" ref="S36">IFERROR(AVERAGE(IF($B$3:$B$28=$B36,IF($D$3:$D$28=S$31,IF($G$3:$G$28&lt;&gt;"",$G$3:$G$28)))),"")</f>
        <v/>
      </c>
      <c r="T36" s="101" t="str">
        <f t="array" ref="T36">IFERROR(AVERAGE(IF($B$3:$B$28=$B36,IF($D$3:$D$28=T$31,IF($G$3:$G$28&lt;&gt;"",$G$3:$G$28)))),"")</f>
        <v/>
      </c>
      <c r="U36" s="101" t="str">
        <f t="array" ref="U36">IFERROR(AVERAGE(IF($B$3:$B$28=$B36,IF($D$3:$D$28=U$31,IF($G$3:$G$28&lt;&gt;"",$G$3:$G$28)))),"")</f>
        <v/>
      </c>
      <c r="V36" s="101" t="str">
        <f t="array" ref="V36">IFERROR(AVERAGE(IF($B$3:$B$28=$B36,IF($D$3:$D$28=V$31,IF($G$3:$G$28&lt;&gt;"",$G$3:$G$28)))),"")</f>
        <v/>
      </c>
      <c r="W36" s="101" t="str">
        <f t="array" ref="W36">IFERROR(AVERAGE(IF($B$3:$B$28=$B36,IF($D$3:$D$28=W$31,IF($G$3:$G$28&lt;&gt;"",$G$3:$G$28)))),"")</f>
        <v/>
      </c>
      <c r="X36" s="101">
        <f t="array" ref="X36">IFERROR(AVERAGE(IF($B$3:$B$28=$B36,IF($D$3:$D$28=X$31,IF($G$3:$G$28&lt;&gt;"",$G$3:$G$28)))),"")</f>
        <v>1212</v>
      </c>
      <c r="Y36" s="101" t="str">
        <f t="array" ref="Y36">IFERROR(AVERAGE(IF($B$3:$B$28=$B36,IF($D$3:$D$28=Y$31,IF($G$3:$G$28&lt;&gt;"",$G$3:$G$28)))),"")</f>
        <v/>
      </c>
      <c r="Z36" s="101" t="str">
        <f t="array" ref="Z36">IFERROR(AVERAGE(IF($B$3:$B$28=$B36,IF($D$3:$D$28=Z$31,IF($G$3:$G$28&lt;&gt;"",$G$3:$G$28)))),"")</f>
        <v/>
      </c>
      <c r="AA36" s="101" t="str">
        <f t="array" ref="AA36">IFERROR(AVERAGE(IF($B$3:$B$28=$B36,IF($D$3:$D$28=AA$31,IF($G$3:$G$28&lt;&gt;"",$G$3:$G$28)))),"")</f>
        <v/>
      </c>
      <c r="AB36" s="101" t="str">
        <f t="array" ref="AB36">IFERROR(AVERAGE(IF($B$3:$B$28=$B36,IF($D$3:$D$28=AB$31,IF($G$3:$G$28&lt;&gt;"",$G$3:$G$28)))),"")</f>
        <v/>
      </c>
      <c r="AC36" s="101" t="str">
        <f t="array" ref="AC36">IFERROR(AVERAGE(IF($B$3:$B$28=$B36,IF($D$3:$D$28=AC$31,IF($G$3:$G$28&lt;&gt;"",$G$3:$G$28)))),"")</f>
        <v/>
      </c>
      <c r="AD36" s="101" t="str">
        <f t="array" ref="AD36">IFERROR(AVERAGE(IF($B$3:$B$28=$B36,IF($D$3:$D$28=AD$31,IF($G$3:$G$28&lt;&gt;"",$G$3:$G$28)))),"")</f>
        <v/>
      </c>
      <c r="AE36" s="101" t="str">
        <f t="array" ref="AE36">IFERROR(AVERAGE(IF($B$3:$B$28=$B36,IF($D$3:$D$28=AE$31,IF($G$3:$G$28&lt;&gt;"",$G$3:$G$28)))),"")</f>
        <v/>
      </c>
      <c r="AF36" s="101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1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1" t="str">
        <f t="array" ref="H37">IFERROR(AVERAGE(IF($B$3:$B$28=$B37,IF($D$3:$D$28=H$31,IF($G$3:$G$28&lt;&gt;"",$G$3:$G$28)))),"")</f>
        <v/>
      </c>
      <c r="I37" s="101" t="str">
        <f t="array" ref="I37">IFERROR(AVERAGE(IF($B$3:$B$28=$B37,IF($D$3:$D$28=I$31,IF($G$3:$G$28&lt;&gt;"",$G$3:$G$28)))),"")</f>
        <v/>
      </c>
      <c r="J37" s="101" t="str">
        <f t="array" ref="J37">IFERROR(AVERAGE(IF($B$3:$B$28=$B37,IF($D$3:$D$28=J$31,IF($G$3:$G$28&lt;&gt;"",$G$3:$G$28)))),"")</f>
        <v/>
      </c>
      <c r="K37" s="101" t="str">
        <f t="array" ref="K37">IFERROR(AVERAGE(IF($B$3:$B$28=$B37,IF($D$3:$D$28=K$31,IF($G$3:$G$28&lt;&gt;"",$G$3:$G$28)))),"")</f>
        <v/>
      </c>
      <c r="L37" s="101">
        <f t="array" ref="L37">IFERROR(AVERAGE(IF($B$3:$B$28=$B37,IF($D$3:$D$28=L$31,IF($G$3:$G$28&lt;&gt;"",$G$3:$G$28)))),"")</f>
        <v>1212</v>
      </c>
      <c r="M37" s="101" t="str">
        <f t="array" ref="M37">IFERROR(AVERAGE(IF($B$3:$B$28=$B37,IF($D$3:$D$28=M$31,IF($G$3:$G$28&lt;&gt;"",$G$3:$G$28)))),"")</f>
        <v/>
      </c>
      <c r="N37" s="101" t="str">
        <f t="array" ref="N37">IFERROR(AVERAGE(IF($B$3:$B$28=$B37,IF($D$3:$D$28=N$31,IF($G$3:$G$28&lt;&gt;"",$G$3:$G$28)))),"")</f>
        <v/>
      </c>
      <c r="O37" s="101" t="str">
        <f t="array" ref="O37">IFERROR(AVERAGE(IF($B$3:$B$28=$B37,IF($D$3:$D$28=O$31,IF($G$3:$G$28&lt;&gt;"",$G$3:$G$28)))),"")</f>
        <v/>
      </c>
      <c r="P37" s="101" t="str">
        <f t="array" ref="P37">IFERROR(AVERAGE(IF($B$3:$B$28=$B37,IF($D$3:$D$28=P$31,IF($G$3:$G$28&lt;&gt;"",$G$3:$G$28)))),"")</f>
        <v/>
      </c>
      <c r="Q37" s="101" t="str">
        <f t="array" ref="Q37">IFERROR(AVERAGE(IF($B$3:$B$28=$B37,IF($D$3:$D$28=Q$31,IF($G$3:$G$28&lt;&gt;"",$G$3:$G$28)))),"")</f>
        <v/>
      </c>
      <c r="R37" s="101" t="str">
        <f t="array" ref="R37">IFERROR(AVERAGE(IF($B$3:$B$28=$B37,IF($D$3:$D$28=R$31,IF($G$3:$G$28&lt;&gt;"",$G$3:$G$28)))),"")</f>
        <v/>
      </c>
      <c r="S37" s="101" t="str">
        <f t="array" ref="S37">IFERROR(AVERAGE(IF($B$3:$B$28=$B37,IF($D$3:$D$28=S$31,IF($G$3:$G$28&lt;&gt;"",$G$3:$G$28)))),"")</f>
        <v/>
      </c>
      <c r="T37" s="101" t="str">
        <f t="array" ref="T37">IFERROR(AVERAGE(IF($B$3:$B$28=$B37,IF($D$3:$D$28=T$31,IF($G$3:$G$28&lt;&gt;"",$G$3:$G$28)))),"")</f>
        <v/>
      </c>
      <c r="U37" s="101" t="str">
        <f t="array" ref="U37">IFERROR(AVERAGE(IF($B$3:$B$28=$B37,IF($D$3:$D$28=U$31,IF($G$3:$G$28&lt;&gt;"",$G$3:$G$28)))),"")</f>
        <v/>
      </c>
      <c r="V37" s="101" t="str">
        <f t="array" ref="V37">IFERROR(AVERAGE(IF($B$3:$B$28=$B37,IF($D$3:$D$28=V$31,IF($G$3:$G$28&lt;&gt;"",$G$3:$G$28)))),"")</f>
        <v/>
      </c>
      <c r="W37" s="101" t="str">
        <f t="array" ref="W37">IFERROR(AVERAGE(IF($B$3:$B$28=$B37,IF($D$3:$D$28=W$31,IF($G$3:$G$28&lt;&gt;"",$G$3:$G$28)))),"")</f>
        <v/>
      </c>
      <c r="X37" s="101" t="str">
        <f t="array" ref="X37">IFERROR(AVERAGE(IF($B$3:$B$28=$B37,IF($D$3:$D$28=X$31,IF($G$3:$G$28&lt;&gt;"",$G$3:$G$28)))),"")</f>
        <v/>
      </c>
      <c r="Y37" s="101">
        <f t="array" ref="Y37">IFERROR(AVERAGE(IF($B$3:$B$28=$B37,IF($D$3:$D$28=Y$31,IF($G$3:$G$28&lt;&gt;"",$G$3:$G$28)))),"")</f>
        <v>1993</v>
      </c>
      <c r="Z37" s="101" t="str">
        <f t="array" ref="Z37">IFERROR(AVERAGE(IF($B$3:$B$28=$B37,IF($D$3:$D$28=Z$31,IF($G$3:$G$28&lt;&gt;"",$G$3:$G$28)))),"")</f>
        <v/>
      </c>
      <c r="AA37" s="101" t="str">
        <f t="array" ref="AA37">IFERROR(AVERAGE(IF($B$3:$B$28=$B37,IF($D$3:$D$28=AA$31,IF($G$3:$G$28&lt;&gt;"",$G$3:$G$28)))),"")</f>
        <v/>
      </c>
      <c r="AB37" s="101" t="str">
        <f t="array" ref="AB37">IFERROR(AVERAGE(IF($B$3:$B$28=$B37,IF($D$3:$D$28=AB$31,IF($G$3:$G$28&lt;&gt;"",$G$3:$G$28)))),"")</f>
        <v/>
      </c>
      <c r="AC37" s="101" t="str">
        <f t="array" ref="AC37">IFERROR(AVERAGE(IF($B$3:$B$28=$B37,IF($D$3:$D$28=AC$31,IF($G$3:$G$28&lt;&gt;"",$G$3:$G$28)))),"")</f>
        <v/>
      </c>
      <c r="AD37" s="101" t="str">
        <f t="array" ref="AD37">IFERROR(AVERAGE(IF($B$3:$B$28=$B37,IF($D$3:$D$28=AD$31,IF($G$3:$G$28&lt;&gt;"",$G$3:$G$28)))),"")</f>
        <v/>
      </c>
      <c r="AE37" s="101" t="str">
        <f t="array" ref="AE37">IFERROR(AVERAGE(IF($B$3:$B$28=$B37,IF($D$3:$D$28=AE$31,IF($G$3:$G$28&lt;&gt;"",$G$3:$G$28)))),"")</f>
        <v/>
      </c>
      <c r="AF37" s="101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1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1" t="str">
        <f t="array" ref="H38">IFERROR(AVERAGE(IF($B$3:$B$28=$B38,IF($D$3:$D$28=H$31,IF($G$3:$G$28&lt;&gt;"",$G$3:$G$28)))),"")</f>
        <v/>
      </c>
      <c r="I38" s="101" t="str">
        <f t="array" ref="I38">IFERROR(AVERAGE(IF($B$3:$B$28=$B38,IF($D$3:$D$28=I$31,IF($G$3:$G$28&lt;&gt;"",$G$3:$G$28)))),"")</f>
        <v/>
      </c>
      <c r="J38" s="101" t="str">
        <f t="array" ref="J38">IFERROR(AVERAGE(IF($B$3:$B$28=$B38,IF($D$3:$D$28=J$31,IF($G$3:$G$28&lt;&gt;"",$G$3:$G$28)))),"")</f>
        <v/>
      </c>
      <c r="K38" s="101" t="str">
        <f t="array" ref="K38">IFERROR(AVERAGE(IF($B$3:$B$28=$B38,IF($D$3:$D$28=K$31,IF($G$3:$G$28&lt;&gt;"",$G$3:$G$28)))),"")</f>
        <v/>
      </c>
      <c r="L38" s="101" t="str">
        <f t="array" ref="L38">IFERROR(AVERAGE(IF($B$3:$B$28=$B38,IF($D$3:$D$28=L$31,IF($G$3:$G$28&lt;&gt;"",$G$3:$G$28)))),"")</f>
        <v/>
      </c>
      <c r="M38" s="101" t="str">
        <f t="array" ref="M38">IFERROR(AVERAGE(IF($B$3:$B$28=$B38,IF($D$3:$D$28=M$31,IF($G$3:$G$28&lt;&gt;"",$G$3:$G$28)))),"")</f>
        <v/>
      </c>
      <c r="N38" s="101" t="str">
        <f t="array" ref="N38">IFERROR(AVERAGE(IF($B$3:$B$28=$B38,IF($D$3:$D$28=N$31,IF($G$3:$G$28&lt;&gt;"",$G$3:$G$28)))),"")</f>
        <v/>
      </c>
      <c r="O38" s="101" t="str">
        <f t="array" ref="O38">IFERROR(AVERAGE(IF($B$3:$B$28=$B38,IF($D$3:$D$28=O$31,IF($G$3:$G$28&lt;&gt;"",$G$3:$G$28)))),"")</f>
        <v/>
      </c>
      <c r="P38" s="101">
        <f t="array" ref="P38">IFERROR(AVERAGE(IF($B$3:$B$28=$B38,IF($D$3:$D$28=P$31,IF($G$3:$G$28&lt;&gt;"",$G$3:$G$28)))),"")</f>
        <v>2577</v>
      </c>
      <c r="Q38" s="101" t="str">
        <f t="array" ref="Q38">IFERROR(AVERAGE(IF($B$3:$B$28=$B38,IF($D$3:$D$28=Q$31,IF($G$3:$G$28&lt;&gt;"",$G$3:$G$28)))),"")</f>
        <v/>
      </c>
      <c r="R38" s="101" t="str">
        <f t="array" ref="R38">IFERROR(AVERAGE(IF($B$3:$B$28=$B38,IF($D$3:$D$28=R$31,IF($G$3:$G$28&lt;&gt;"",$G$3:$G$28)))),"")</f>
        <v/>
      </c>
      <c r="S38" s="101" t="str">
        <f t="array" ref="S38">IFERROR(AVERAGE(IF($B$3:$B$28=$B38,IF($D$3:$D$28=S$31,IF($G$3:$G$28&lt;&gt;"",$G$3:$G$28)))),"")</f>
        <v/>
      </c>
      <c r="T38" s="101" t="str">
        <f t="array" ref="T38">IFERROR(AVERAGE(IF($B$3:$B$28=$B38,IF($D$3:$D$28=T$31,IF($G$3:$G$28&lt;&gt;"",$G$3:$G$28)))),"")</f>
        <v/>
      </c>
      <c r="U38" s="101" t="str">
        <f t="array" ref="U38">IFERROR(AVERAGE(IF($B$3:$B$28=$B38,IF($D$3:$D$28=U$31,IF($G$3:$G$28&lt;&gt;"",$G$3:$G$28)))),"")</f>
        <v/>
      </c>
      <c r="V38" s="101" t="str">
        <f t="array" ref="V38">IFERROR(AVERAGE(IF($B$3:$B$28=$B38,IF($D$3:$D$28=V$31,IF($G$3:$G$28&lt;&gt;"",$G$3:$G$28)))),"")</f>
        <v/>
      </c>
      <c r="W38" s="101" t="str">
        <f t="array" ref="W38">IFERROR(AVERAGE(IF($B$3:$B$28=$B38,IF($D$3:$D$28=W$31,IF($G$3:$G$28&lt;&gt;"",$G$3:$G$28)))),"")</f>
        <v/>
      </c>
      <c r="X38" s="101" t="str">
        <f t="array" ref="X38">IFERROR(AVERAGE(IF($B$3:$B$28=$B38,IF($D$3:$D$28=X$31,IF($G$3:$G$28&lt;&gt;"",$G$3:$G$28)))),"")</f>
        <v/>
      </c>
      <c r="Y38" s="101" t="str">
        <f t="array" ref="Y38">IFERROR(AVERAGE(IF($B$3:$B$28=$B38,IF($D$3:$D$28=Y$31,IF($G$3:$G$28&lt;&gt;"",$G$3:$G$28)))),"")</f>
        <v/>
      </c>
      <c r="Z38" s="101" t="str">
        <f t="array" ref="Z38">IFERROR(AVERAGE(IF($B$3:$B$28=$B38,IF($D$3:$D$28=Z$31,IF($G$3:$G$28&lt;&gt;"",$G$3:$G$28)))),"")</f>
        <v/>
      </c>
      <c r="AA38" s="101" t="str">
        <f t="array" ref="AA38">IFERROR(AVERAGE(IF($B$3:$B$28=$B38,IF($D$3:$D$28=AA$31,IF($G$3:$G$28&lt;&gt;"",$G$3:$G$28)))),"")</f>
        <v/>
      </c>
      <c r="AB38" s="101" t="str">
        <f t="array" ref="AB38">IFERROR(AVERAGE(IF($B$3:$B$28=$B38,IF($D$3:$D$28=AB$31,IF($G$3:$G$28&lt;&gt;"",$G$3:$G$28)))),"")</f>
        <v/>
      </c>
      <c r="AC38" s="101">
        <f t="array" ref="AC38">IFERROR(AVERAGE(IF($B$3:$B$28=$B38,IF($D$3:$D$28=AC$31,IF($G$3:$G$28&lt;&gt;"",$G$3:$G$28)))),"")</f>
        <v>2756</v>
      </c>
      <c r="AD38" s="101" t="str">
        <f t="array" ref="AD38">IFERROR(AVERAGE(IF($B$3:$B$28=$B38,IF($D$3:$D$28=AD$31,IF($G$3:$G$28&lt;&gt;"",$G$3:$G$28)))),"")</f>
        <v/>
      </c>
      <c r="AE38" s="101" t="str">
        <f t="array" ref="AE38">IFERROR(AVERAGE(IF($B$3:$B$28=$B38,IF($D$3:$D$28=AE$31,IF($G$3:$G$28&lt;&gt;"",$G$3:$G$28)))),"")</f>
        <v/>
      </c>
      <c r="AF38" s="101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1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1" t="str">
        <f t="array" ref="H39">IFERROR(AVERAGE(IF($B$3:$B$28=$B39,IF($D$3:$D$28=H$31,IF($G$3:$G$28&lt;&gt;"",$G$3:$G$28)))),"")</f>
        <v/>
      </c>
      <c r="I39" s="101" t="str">
        <f t="array" ref="I39">IFERROR(AVERAGE(IF($B$3:$B$28=$B39,IF($D$3:$D$28=I$31,IF($G$3:$G$28&lt;&gt;"",$G$3:$G$28)))),"")</f>
        <v/>
      </c>
      <c r="J39" s="101" t="str">
        <f t="array" ref="J39">IFERROR(AVERAGE(IF($B$3:$B$28=$B39,IF($D$3:$D$28=J$31,IF($G$3:$G$28&lt;&gt;"",$G$3:$G$28)))),"")</f>
        <v/>
      </c>
      <c r="K39" s="101" t="str">
        <f t="array" ref="K39">IFERROR(AVERAGE(IF($B$3:$B$28=$B39,IF($D$3:$D$28=K$31,IF($G$3:$G$28&lt;&gt;"",$G$3:$G$28)))),"")</f>
        <v/>
      </c>
      <c r="L39" s="101" t="str">
        <f t="array" ref="L39">IFERROR(AVERAGE(IF($B$3:$B$28=$B39,IF($D$3:$D$28=L$31,IF($G$3:$G$28&lt;&gt;"",$G$3:$G$28)))),"")</f>
        <v/>
      </c>
      <c r="M39" s="101" t="str">
        <f t="array" ref="M39">IFERROR(AVERAGE(IF($B$3:$B$28=$B39,IF($D$3:$D$28=M$31,IF($G$3:$G$28&lt;&gt;"",$G$3:$G$28)))),"")</f>
        <v/>
      </c>
      <c r="N39" s="101" t="str">
        <f t="array" ref="N39">IFERROR(AVERAGE(IF($B$3:$B$28=$B39,IF($D$3:$D$28=N$31,IF($G$3:$G$28&lt;&gt;"",$G$3:$G$28)))),"")</f>
        <v/>
      </c>
      <c r="O39" s="101" t="str">
        <f t="array" ref="O39">IFERROR(AVERAGE(IF($B$3:$B$28=$B39,IF($D$3:$D$28=O$31,IF($G$3:$G$28&lt;&gt;"",$G$3:$G$28)))),"")</f>
        <v/>
      </c>
      <c r="P39" s="101" t="str">
        <f t="array" ref="P39">IFERROR(AVERAGE(IF($B$3:$B$28=$B39,IF($D$3:$D$28=P$31,IF($G$3:$G$28&lt;&gt;"",$G$3:$G$28)))),"")</f>
        <v/>
      </c>
      <c r="Q39" s="101">
        <f t="array" ref="Q39">IFERROR(AVERAGE(IF($B$3:$B$28=$B39,IF($D$3:$D$28=Q$31,IF($G$3:$G$28&lt;&gt;"",$G$3:$G$28)))),"")</f>
        <v>2756</v>
      </c>
      <c r="R39" s="101" t="str">
        <f t="array" ref="R39">IFERROR(AVERAGE(IF($B$3:$B$28=$B39,IF($D$3:$D$28=R$31,IF($G$3:$G$28&lt;&gt;"",$G$3:$G$28)))),"")</f>
        <v/>
      </c>
      <c r="S39" s="101" t="str">
        <f t="array" ref="S39">IFERROR(AVERAGE(IF($B$3:$B$28=$B39,IF($D$3:$D$28=S$31,IF($G$3:$G$28&lt;&gt;"",$G$3:$G$28)))),"")</f>
        <v/>
      </c>
      <c r="T39" s="101" t="str">
        <f t="array" ref="T39">IFERROR(AVERAGE(IF($B$3:$B$28=$B39,IF($D$3:$D$28=T$31,IF($G$3:$G$28&lt;&gt;"",$G$3:$G$28)))),"")</f>
        <v/>
      </c>
      <c r="U39" s="101" t="str">
        <f t="array" ref="U39">IFERROR(AVERAGE(IF($B$3:$B$28=$B39,IF($D$3:$D$28=U$31,IF($G$3:$G$28&lt;&gt;"",$G$3:$G$28)))),"")</f>
        <v/>
      </c>
      <c r="V39" s="101" t="str">
        <f t="array" ref="V39">IFERROR(AVERAGE(IF($B$3:$B$28=$B39,IF($D$3:$D$28=V$31,IF($G$3:$G$28&lt;&gt;"",$G$3:$G$28)))),"")</f>
        <v/>
      </c>
      <c r="W39" s="101" t="str">
        <f t="array" ref="W39">IFERROR(AVERAGE(IF($B$3:$B$28=$B39,IF($D$3:$D$28=W$31,IF($G$3:$G$28&lt;&gt;"",$G$3:$G$28)))),"")</f>
        <v/>
      </c>
      <c r="X39" s="101" t="str">
        <f t="array" ref="X39">IFERROR(AVERAGE(IF($B$3:$B$28=$B39,IF($D$3:$D$28=X$31,IF($G$3:$G$28&lt;&gt;"",$G$3:$G$28)))),"")</f>
        <v/>
      </c>
      <c r="Y39" s="101" t="str">
        <f t="array" ref="Y39">IFERROR(AVERAGE(IF($B$3:$B$28=$B39,IF($D$3:$D$28=Y$31,IF($G$3:$G$28&lt;&gt;"",$G$3:$G$28)))),"")</f>
        <v/>
      </c>
      <c r="Z39" s="101" t="str">
        <f t="array" ref="Z39">IFERROR(AVERAGE(IF($B$3:$B$28=$B39,IF($D$3:$D$28=Z$31,IF($G$3:$G$28&lt;&gt;"",$G$3:$G$28)))),"")</f>
        <v/>
      </c>
      <c r="AA39" s="101" t="str">
        <f t="array" ref="AA39">IFERROR(AVERAGE(IF($B$3:$B$28=$B39,IF($D$3:$D$28=AA$31,IF($G$3:$G$28&lt;&gt;"",$G$3:$G$28)))),"")</f>
        <v/>
      </c>
      <c r="AB39" s="101" t="str">
        <f t="array" ref="AB39">IFERROR(AVERAGE(IF($B$3:$B$28=$B39,IF($D$3:$D$28=AB$31,IF($G$3:$G$28&lt;&gt;"",$G$3:$G$28)))),"")</f>
        <v/>
      </c>
      <c r="AC39" s="101" t="str">
        <f t="array" ref="AC39">IFERROR(AVERAGE(IF($B$3:$B$28=$B39,IF($D$3:$D$28=AC$31,IF($G$3:$G$28&lt;&gt;"",$G$3:$G$28)))),"")</f>
        <v/>
      </c>
      <c r="AD39" s="101">
        <f t="array" ref="AD39">IFERROR(AVERAGE(IF($B$3:$B$28=$B39,IF($D$3:$D$28=AD$31,IF($G$3:$G$28&lt;&gt;"",$G$3:$G$28)))),"")</f>
        <v>2677</v>
      </c>
      <c r="AE39" s="101" t="str">
        <f t="array" ref="AE39">IFERROR(AVERAGE(IF($B$3:$B$28=$B39,IF($D$3:$D$28=AE$31,IF($G$3:$G$28&lt;&gt;"",$G$3:$G$28)))),"")</f>
        <v/>
      </c>
      <c r="AF39" s="101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1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1" t="str">
        <f t="array" ref="H40">IFERROR(AVERAGE(IF($B$3:$B$28=$B40,IF($D$3:$D$28=H$31,IF($G$3:$G$28&lt;&gt;"",$G$3:$G$28)))),"")</f>
        <v/>
      </c>
      <c r="I40" s="101" t="str">
        <f t="array" ref="I40">IFERROR(AVERAGE(IF($B$3:$B$28=$B40,IF($D$3:$D$28=I$31,IF($G$3:$G$28&lt;&gt;"",$G$3:$G$28)))),"")</f>
        <v/>
      </c>
      <c r="J40" s="101" t="str">
        <f t="array" ref="J40">IFERROR(AVERAGE(IF($B$3:$B$28=$B40,IF($D$3:$D$28=J$31,IF($G$3:$G$28&lt;&gt;"",$G$3:$G$28)))),"")</f>
        <v/>
      </c>
      <c r="K40" s="101" t="str">
        <f t="array" ref="K40">IFERROR(AVERAGE(IF($B$3:$B$28=$B40,IF($D$3:$D$28=K$31,IF($G$3:$G$28&lt;&gt;"",$G$3:$G$28)))),"")</f>
        <v/>
      </c>
      <c r="L40" s="101" t="str">
        <f t="array" ref="L40">IFERROR(AVERAGE(IF($B$3:$B$28=$B40,IF($D$3:$D$28=L$31,IF($G$3:$G$28&lt;&gt;"",$G$3:$G$28)))),"")</f>
        <v/>
      </c>
      <c r="M40" s="101" t="str">
        <f t="array" ref="M40">IFERROR(AVERAGE(IF($B$3:$B$28=$B40,IF($D$3:$D$28=M$31,IF($G$3:$G$28&lt;&gt;"",$G$3:$G$28)))),"")</f>
        <v/>
      </c>
      <c r="N40" s="101" t="str">
        <f t="array" ref="N40">IFERROR(AVERAGE(IF($B$3:$B$28=$B40,IF($D$3:$D$28=N$31,IF($G$3:$G$28&lt;&gt;"",$G$3:$G$28)))),"")</f>
        <v/>
      </c>
      <c r="O40" s="101" t="str">
        <f t="array" ref="O40">IFERROR(AVERAGE(IF($B$3:$B$28=$B40,IF($D$3:$D$28=O$31,IF($G$3:$G$28&lt;&gt;"",$G$3:$G$28)))),"")</f>
        <v/>
      </c>
      <c r="P40" s="101" t="str">
        <f t="array" ref="P40">IFERROR(AVERAGE(IF($B$3:$B$28=$B40,IF($D$3:$D$28=P$31,IF($G$3:$G$28&lt;&gt;"",$G$3:$G$28)))),"")</f>
        <v/>
      </c>
      <c r="Q40" s="101" t="str">
        <f t="array" ref="Q40">IFERROR(AVERAGE(IF($B$3:$B$28=$B40,IF($D$3:$D$28=Q$31,IF($G$3:$G$28&lt;&gt;"",$G$3:$G$28)))),"")</f>
        <v/>
      </c>
      <c r="R40" s="101">
        <f t="array" ref="R40">IFERROR(AVERAGE(IF($B$3:$B$28=$B40,IF($D$3:$D$28=R$31,IF($G$3:$G$28&lt;&gt;"",$G$3:$G$28)))),"")</f>
        <v>2677</v>
      </c>
      <c r="S40" s="101" t="str">
        <f t="array" ref="S40">IFERROR(AVERAGE(IF($B$3:$B$28=$B40,IF($D$3:$D$28=S$31,IF($G$3:$G$28&lt;&gt;"",$G$3:$G$28)))),"")</f>
        <v/>
      </c>
      <c r="T40" s="101" t="str">
        <f t="array" ref="T40">IFERROR(AVERAGE(IF($B$3:$B$28=$B40,IF($D$3:$D$28=T$31,IF($G$3:$G$28&lt;&gt;"",$G$3:$G$28)))),"")</f>
        <v/>
      </c>
      <c r="U40" s="101" t="str">
        <f t="array" ref="U40">IFERROR(AVERAGE(IF($B$3:$B$28=$B40,IF($D$3:$D$28=U$31,IF($G$3:$G$28&lt;&gt;"",$G$3:$G$28)))),"")</f>
        <v/>
      </c>
      <c r="V40" s="101" t="str">
        <f t="array" ref="V40">IFERROR(AVERAGE(IF($B$3:$B$28=$B40,IF($D$3:$D$28=V$31,IF($G$3:$G$28&lt;&gt;"",$G$3:$G$28)))),"")</f>
        <v/>
      </c>
      <c r="W40" s="101" t="str">
        <f t="array" ref="W40">IFERROR(AVERAGE(IF($B$3:$B$28=$B40,IF($D$3:$D$28=W$31,IF($G$3:$G$28&lt;&gt;"",$G$3:$G$28)))),"")</f>
        <v/>
      </c>
      <c r="X40" s="101" t="str">
        <f t="array" ref="X40">IFERROR(AVERAGE(IF($B$3:$B$28=$B40,IF($D$3:$D$28=X$31,IF($G$3:$G$28&lt;&gt;"",$G$3:$G$28)))),"")</f>
        <v/>
      </c>
      <c r="Y40" s="101" t="str">
        <f t="array" ref="Y40">IFERROR(AVERAGE(IF($B$3:$B$28=$B40,IF($D$3:$D$28=Y$31,IF($G$3:$G$28&lt;&gt;"",$G$3:$G$28)))),"")</f>
        <v/>
      </c>
      <c r="Z40" s="101" t="str">
        <f t="array" ref="Z40">IFERROR(AVERAGE(IF($B$3:$B$28=$B40,IF($D$3:$D$28=Z$31,IF($G$3:$G$28&lt;&gt;"",$G$3:$G$28)))),"")</f>
        <v/>
      </c>
      <c r="AA40" s="101" t="str">
        <f t="array" ref="AA40">IFERROR(AVERAGE(IF($B$3:$B$28=$B40,IF($D$3:$D$28=AA$31,IF($G$3:$G$28&lt;&gt;"",$G$3:$G$28)))),"")</f>
        <v/>
      </c>
      <c r="AB40" s="101" t="str">
        <f t="array" ref="AB40">IFERROR(AVERAGE(IF($B$3:$B$28=$B40,IF($D$3:$D$28=AB$31,IF($G$3:$G$28&lt;&gt;"",$G$3:$G$28)))),"")</f>
        <v/>
      </c>
      <c r="AC40" s="101" t="str">
        <f t="array" ref="AC40">IFERROR(AVERAGE(IF($B$3:$B$28=$B40,IF($D$3:$D$28=AC$31,IF($G$3:$G$28&lt;&gt;"",$G$3:$G$28)))),"")</f>
        <v/>
      </c>
      <c r="AD40" s="101" t="str">
        <f t="array" ref="AD40">IFERROR(AVERAGE(IF($B$3:$B$28=$B40,IF($D$3:$D$28=AD$31,IF($G$3:$G$28&lt;&gt;"",$G$3:$G$28)))),"")</f>
        <v/>
      </c>
      <c r="AE40" s="101">
        <f t="array" ref="AE40">IFERROR(AVERAGE(IF($B$3:$B$28=$B40,IF($D$3:$D$28=AE$31,IF($G$3:$G$28&lt;&gt;"",$G$3:$G$28)))),"")</f>
        <v>1232</v>
      </c>
      <c r="AF40" s="101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1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1" t="str">
        <f t="array" ref="H41">IFERROR(AVERAGE(IF($B$3:$B$28=$B41,IF($D$3:$D$28=H$31,IF($G$3:$G$28&lt;&gt;"",$G$3:$G$28)))),"")</f>
        <v/>
      </c>
      <c r="I41" s="101" t="str">
        <f t="array" ref="I41">IFERROR(AVERAGE(IF($B$3:$B$28=$B41,IF($D$3:$D$28=I$31,IF($G$3:$G$28&lt;&gt;"",$G$3:$G$28)))),"")</f>
        <v/>
      </c>
      <c r="J41" s="101" t="str">
        <f t="array" ref="J41">IFERROR(AVERAGE(IF($B$3:$B$28=$B41,IF($D$3:$D$28=J$31,IF($G$3:$G$28&lt;&gt;"",$G$3:$G$28)))),"")</f>
        <v/>
      </c>
      <c r="K41" s="101" t="str">
        <f t="array" ref="K41">IFERROR(AVERAGE(IF($B$3:$B$28=$B41,IF($D$3:$D$28=K$31,IF($G$3:$G$28&lt;&gt;"",$G$3:$G$28)))),"")</f>
        <v/>
      </c>
      <c r="L41" s="101" t="str">
        <f t="array" ref="L41">IFERROR(AVERAGE(IF($B$3:$B$28=$B41,IF($D$3:$D$28=L$31,IF($G$3:$G$28&lt;&gt;"",$G$3:$G$28)))),"")</f>
        <v/>
      </c>
      <c r="M41" s="101" t="str">
        <f t="array" ref="M41">IFERROR(AVERAGE(IF($B$3:$B$28=$B41,IF($D$3:$D$28=M$31,IF($G$3:$G$28&lt;&gt;"",$G$3:$G$28)))),"")</f>
        <v/>
      </c>
      <c r="N41" s="101" t="str">
        <f t="array" ref="N41">IFERROR(AVERAGE(IF($B$3:$B$28=$B41,IF($D$3:$D$28=N$31,IF($G$3:$G$28&lt;&gt;"",$G$3:$G$28)))),"")</f>
        <v/>
      </c>
      <c r="O41" s="101" t="str">
        <f t="array" ref="O41">IFERROR(AVERAGE(IF($B$3:$B$28=$B41,IF($D$3:$D$28=O$31,IF($G$3:$G$28&lt;&gt;"",$G$3:$G$28)))),"")</f>
        <v/>
      </c>
      <c r="P41" s="101" t="str">
        <f t="array" ref="P41">IFERROR(AVERAGE(IF($B$3:$B$28=$B41,IF($D$3:$D$28=P$31,IF($G$3:$G$28&lt;&gt;"",$G$3:$G$28)))),"")</f>
        <v/>
      </c>
      <c r="Q41" s="101" t="str">
        <f t="array" ref="Q41">IFERROR(AVERAGE(IF($B$3:$B$28=$B41,IF($D$3:$D$28=Q$31,IF($G$3:$G$28&lt;&gt;"",$G$3:$G$28)))),"")</f>
        <v/>
      </c>
      <c r="R41" s="101" t="str">
        <f t="array" ref="R41">IFERROR(AVERAGE(IF($B$3:$B$28=$B41,IF($D$3:$D$28=R$31,IF($G$3:$G$28&lt;&gt;"",$G$3:$G$28)))),"")</f>
        <v/>
      </c>
      <c r="S41" s="101">
        <f t="array" ref="S41">IFERROR(AVERAGE(IF($B$3:$B$28=$B41,IF($D$3:$D$28=S$31,IF($G$3:$G$28&lt;&gt;"",$G$3:$G$28)))),"")</f>
        <v>1232</v>
      </c>
      <c r="T41" s="101" t="str">
        <f t="array" ref="T41">IFERROR(AVERAGE(IF($B$3:$B$28=$B41,IF($D$3:$D$28=T$31,IF($G$3:$G$28&lt;&gt;"",$G$3:$G$28)))),"")</f>
        <v/>
      </c>
      <c r="U41" s="101" t="str">
        <f t="array" ref="U41">IFERROR(AVERAGE(IF($B$3:$B$28=$B41,IF($D$3:$D$28=U$31,IF($G$3:$G$28&lt;&gt;"",$G$3:$G$28)))),"")</f>
        <v/>
      </c>
      <c r="V41" s="101" t="str">
        <f t="array" ref="V41">IFERROR(AVERAGE(IF($B$3:$B$28=$B41,IF($D$3:$D$28=V$31,IF($G$3:$G$28&lt;&gt;"",$G$3:$G$28)))),"")</f>
        <v/>
      </c>
      <c r="W41" s="101" t="str">
        <f t="array" ref="W41">IFERROR(AVERAGE(IF($B$3:$B$28=$B41,IF($D$3:$D$28=W$31,IF($G$3:$G$28&lt;&gt;"",$G$3:$G$28)))),"")</f>
        <v/>
      </c>
      <c r="X41" s="101" t="str">
        <f t="array" ref="X41">IFERROR(AVERAGE(IF($B$3:$B$28=$B41,IF($D$3:$D$28=X$31,IF($G$3:$G$28&lt;&gt;"",$G$3:$G$28)))),"")</f>
        <v/>
      </c>
      <c r="Y41" s="101" t="str">
        <f t="array" ref="Y41">IFERROR(AVERAGE(IF($B$3:$B$28=$B41,IF($D$3:$D$28=Y$31,IF($G$3:$G$28&lt;&gt;"",$G$3:$G$28)))),"")</f>
        <v/>
      </c>
      <c r="Z41" s="101" t="str">
        <f t="array" ref="Z41">IFERROR(AVERAGE(IF($B$3:$B$28=$B41,IF($D$3:$D$28=Z$31,IF($G$3:$G$28&lt;&gt;"",$G$3:$G$28)))),"")</f>
        <v/>
      </c>
      <c r="AA41" s="101" t="str">
        <f t="array" ref="AA41">IFERROR(AVERAGE(IF($B$3:$B$28=$B41,IF($D$3:$D$28=AA$31,IF($G$3:$G$28&lt;&gt;"",$G$3:$G$28)))),"")</f>
        <v/>
      </c>
      <c r="AB41" s="101" t="str">
        <f t="array" ref="AB41">IFERROR(AVERAGE(IF($B$3:$B$28=$B41,IF($D$3:$D$28=AB$31,IF($G$3:$G$28&lt;&gt;"",$G$3:$G$28)))),"")</f>
        <v/>
      </c>
      <c r="AC41" s="101" t="str">
        <f t="array" ref="AC41">IFERROR(AVERAGE(IF($B$3:$B$28=$B41,IF($D$3:$D$28=AC$31,IF($G$3:$G$28&lt;&gt;"",$G$3:$G$28)))),"")</f>
        <v/>
      </c>
      <c r="AD41" s="101" t="str">
        <f t="array" ref="AD41">IFERROR(AVERAGE(IF($B$3:$B$28=$B41,IF($D$3:$D$28=AD$31,IF($G$3:$G$28&lt;&gt;"",$G$3:$G$28)))),"")</f>
        <v/>
      </c>
      <c r="AE41" s="101" t="str">
        <f t="array" ref="AE41">IFERROR(AVERAGE(IF($B$3:$B$28=$B41,IF($D$3:$D$28=AE$31,IF($G$3:$G$28&lt;&gt;"",$G$3:$G$28)))),"")</f>
        <v/>
      </c>
      <c r="AF41" s="101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1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1" t="str">
        <f t="array" ref="H42">IFERROR(AVERAGE(IF($B$3:$B$28=$B42,IF($D$3:$D$28=H$31,IF($G$3:$G$28&lt;&gt;"",$G$3:$G$28)))),"")</f>
        <v/>
      </c>
      <c r="I42" s="101" t="str">
        <f t="array" ref="I42">IFERROR(AVERAGE(IF($B$3:$B$28=$B42,IF($D$3:$D$28=I$31,IF($G$3:$G$28&lt;&gt;"",$G$3:$G$28)))),"")</f>
        <v/>
      </c>
      <c r="J42" s="101" t="str">
        <f t="array" ref="J42">IFERROR(AVERAGE(IF($B$3:$B$28=$B42,IF($D$3:$D$28=J$31,IF($G$3:$G$28&lt;&gt;"",$G$3:$G$28)))),"")</f>
        <v/>
      </c>
      <c r="K42" s="101" t="str">
        <f t="array" ref="K42">IFERROR(AVERAGE(IF($B$3:$B$28=$B42,IF($D$3:$D$28=K$31,IF($G$3:$G$28&lt;&gt;"",$G$3:$G$28)))),"")</f>
        <v/>
      </c>
      <c r="L42" s="101" t="str">
        <f t="array" ref="L42">IFERROR(AVERAGE(IF($B$3:$B$28=$B42,IF($D$3:$D$28=L$31,IF($G$3:$G$28&lt;&gt;"",$G$3:$G$28)))),"")</f>
        <v/>
      </c>
      <c r="M42" s="101" t="str">
        <f t="array" ref="M42">IFERROR(AVERAGE(IF($B$3:$B$28=$B42,IF($D$3:$D$28=M$31,IF($G$3:$G$28&lt;&gt;"",$G$3:$G$28)))),"")</f>
        <v/>
      </c>
      <c r="N42" s="101" t="str">
        <f t="array" ref="N42">IFERROR(AVERAGE(IF($B$3:$B$28=$B42,IF($D$3:$D$28=N$31,IF($G$3:$G$28&lt;&gt;"",$G$3:$G$28)))),"")</f>
        <v/>
      </c>
      <c r="O42" s="101" t="str">
        <f t="array" ref="O42">IFERROR(AVERAGE(IF($B$3:$B$28=$B42,IF($D$3:$D$28=O$31,IF($G$3:$G$28&lt;&gt;"",$G$3:$G$28)))),"")</f>
        <v/>
      </c>
      <c r="P42" s="101" t="str">
        <f t="array" ref="P42">IFERROR(AVERAGE(IF($B$3:$B$28=$B42,IF($D$3:$D$28=P$31,IF($G$3:$G$28&lt;&gt;"",$G$3:$G$28)))),"")</f>
        <v/>
      </c>
      <c r="Q42" s="101" t="str">
        <f t="array" ref="Q42">IFERROR(AVERAGE(IF($B$3:$B$28=$B42,IF($D$3:$D$28=Q$31,IF($G$3:$G$28&lt;&gt;"",$G$3:$G$28)))),"")</f>
        <v/>
      </c>
      <c r="R42" s="101" t="str">
        <f t="array" ref="R42">IFERROR(AVERAGE(IF($B$3:$B$28=$B42,IF($D$3:$D$28=R$31,IF($G$3:$G$28&lt;&gt;"",$G$3:$G$28)))),"")</f>
        <v/>
      </c>
      <c r="S42" s="101" t="str">
        <f t="array" ref="S42">IFERROR(AVERAGE(IF($B$3:$B$28=$B42,IF($D$3:$D$28=S$31,IF($G$3:$G$28&lt;&gt;"",$G$3:$G$28)))),"")</f>
        <v/>
      </c>
      <c r="T42" s="101">
        <f t="array" ref="T42">IFERROR(AVERAGE(IF($B$3:$B$28=$B42,IF($D$3:$D$28=T$31,IF($G$3:$G$28&lt;&gt;"",$G$3:$G$28)))),"")</f>
        <v>3221</v>
      </c>
      <c r="U42" s="101" t="str">
        <f t="array" ref="U42">IFERROR(AVERAGE(IF($B$3:$B$28=$B42,IF($D$3:$D$28=U$31,IF($G$3:$G$28&lt;&gt;"",$G$3:$G$28)))),"")</f>
        <v/>
      </c>
      <c r="V42" s="101" t="str">
        <f t="array" ref="V42">IFERROR(AVERAGE(IF($B$3:$B$28=$B42,IF($D$3:$D$28=V$31,IF($G$3:$G$28&lt;&gt;"",$G$3:$G$28)))),"")</f>
        <v/>
      </c>
      <c r="W42" s="101" t="str">
        <f t="array" ref="W42">IFERROR(AVERAGE(IF($B$3:$B$28=$B42,IF($D$3:$D$28=W$31,IF($G$3:$G$28&lt;&gt;"",$G$3:$G$28)))),"")</f>
        <v/>
      </c>
      <c r="X42" s="101" t="str">
        <f t="array" ref="X42">IFERROR(AVERAGE(IF($B$3:$B$28=$B42,IF($D$3:$D$28=X$31,IF($G$3:$G$28&lt;&gt;"",$G$3:$G$28)))),"")</f>
        <v/>
      </c>
      <c r="Y42" s="101" t="str">
        <f t="array" ref="Y42">IFERROR(AVERAGE(IF($B$3:$B$28=$B42,IF($D$3:$D$28=Y$31,IF($G$3:$G$28&lt;&gt;"",$G$3:$G$28)))),"")</f>
        <v/>
      </c>
      <c r="Z42" s="101" t="str">
        <f t="array" ref="Z42">IFERROR(AVERAGE(IF($B$3:$B$28=$B42,IF($D$3:$D$28=Z$31,IF($G$3:$G$28&lt;&gt;"",$G$3:$G$28)))),"")</f>
        <v/>
      </c>
      <c r="AA42" s="101" t="str">
        <f t="array" ref="AA42">IFERROR(AVERAGE(IF($B$3:$B$28=$B42,IF($D$3:$D$28=AA$31,IF($G$3:$G$28&lt;&gt;"",$G$3:$G$28)))),"")</f>
        <v/>
      </c>
      <c r="AB42" s="101" t="str">
        <f t="array" ref="AB42">IFERROR(AVERAGE(IF($B$3:$B$28=$B42,IF($D$3:$D$28=AB$31,IF($G$3:$G$28&lt;&gt;"",$G$3:$G$28)))),"")</f>
        <v/>
      </c>
      <c r="AC42" s="101" t="str">
        <f t="array" ref="AC42">IFERROR(AVERAGE(IF($B$3:$B$28=$B42,IF($D$3:$D$28=AC$31,IF($G$3:$G$28&lt;&gt;"",$G$3:$G$28)))),"")</f>
        <v/>
      </c>
      <c r="AD42" s="101" t="str">
        <f t="array" ref="AD42">IFERROR(AVERAGE(IF($B$3:$B$28=$B42,IF($D$3:$D$28=AD$31,IF($G$3:$G$28&lt;&gt;"",$G$3:$G$28)))),"")</f>
        <v/>
      </c>
      <c r="AE42" s="101" t="str">
        <f t="array" ref="AE42">IFERROR(AVERAGE(IF($B$3:$B$28=$B42,IF($D$3:$D$28=AE$31,IF($G$3:$G$28&lt;&gt;"",$G$3:$G$28)))),"")</f>
        <v/>
      </c>
      <c r="AF42" s="101" t="str">
        <f t="array" ref="AF42">IFERROR(AVERAGE(IF($B$3:$B$28=$B42,IF($D$3:$D$28=AF$31,IF($G$3:$G$28&lt;&gt;"",$G$3:$G$28)))),"")</f>
        <v/>
      </c>
    </row>
    <row r="43" spans="1:32" ht="9" customHeight="1" x14ac:dyDescent="0.25"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</row>
    <row r="44" spans="1:32" ht="9" customHeight="1" x14ac:dyDescent="0.25">
      <c r="A44" s="41" t="s">
        <v>549</v>
      </c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</row>
    <row r="45" spans="1:32" ht="15" hidden="1" customHeight="1" x14ac:dyDescent="0.25">
      <c r="H45" s="104">
        <f>H31</f>
        <v>44012</v>
      </c>
      <c r="I45" s="104">
        <f>I31</f>
        <v>43982</v>
      </c>
      <c r="J45" s="104">
        <f>J31</f>
        <v>43951</v>
      </c>
      <c r="K45" s="104">
        <f>K31</f>
        <v>43921</v>
      </c>
      <c r="L45" s="104">
        <f>L31</f>
        <v>43889</v>
      </c>
      <c r="M45" s="104">
        <f>M31</f>
        <v>43861</v>
      </c>
      <c r="N45" s="104">
        <f>N31</f>
        <v>43830</v>
      </c>
      <c r="O45" s="104">
        <f>O31</f>
        <v>43799</v>
      </c>
      <c r="P45" s="104">
        <f>P31</f>
        <v>43769</v>
      </c>
      <c r="Q45" s="104">
        <f>Q31</f>
        <v>43738</v>
      </c>
      <c r="R45" s="104">
        <f>R31</f>
        <v>43708</v>
      </c>
      <c r="S45" s="104">
        <f>S31</f>
        <v>43677</v>
      </c>
      <c r="T45" s="104">
        <f>T31</f>
        <v>43646</v>
      </c>
      <c r="U45" s="104">
        <f>U31</f>
        <v>43616</v>
      </c>
      <c r="V45" s="104">
        <f>V31</f>
        <v>43585</v>
      </c>
      <c r="W45" s="104">
        <f>W31</f>
        <v>43555</v>
      </c>
      <c r="X45" s="104">
        <f>X31</f>
        <v>43524</v>
      </c>
      <c r="Y45" s="104">
        <f>Y31</f>
        <v>43496</v>
      </c>
      <c r="Z45" s="104">
        <f>Z31</f>
        <v>43465</v>
      </c>
      <c r="AA45" s="104">
        <f>AA31</f>
        <v>43434</v>
      </c>
      <c r="AB45" s="104">
        <f>AB31</f>
        <v>43404</v>
      </c>
      <c r="AC45" s="104">
        <f>AC31</f>
        <v>43373</v>
      </c>
      <c r="AD45" s="104">
        <f>AD31</f>
        <v>43343</v>
      </c>
      <c r="AE45" s="104">
        <f>AE31</f>
        <v>43312</v>
      </c>
      <c r="AF45" s="104">
        <f>AF31</f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3">
        <f>IFERROR(MAX(H33:H44),0)</f>
        <v>2654</v>
      </c>
      <c r="I46" s="103">
        <f>IFERROR(MAX(I33:I44),0)</f>
        <v>1173</v>
      </c>
      <c r="J46" s="103">
        <f>IFERROR(MAX(J33:J44),0)</f>
        <v>1098</v>
      </c>
      <c r="K46" s="103">
        <f>IFERROR(MAX(K33:K44),0)</f>
        <v>986</v>
      </c>
      <c r="L46" s="103">
        <f>IFERROR(MAX(L33:L44),0)</f>
        <v>1212</v>
      </c>
      <c r="M46" s="103">
        <f>IFERROR(MAX(M33:M44),0)</f>
        <v>1993</v>
      </c>
      <c r="N46" s="103">
        <f>IFERROR(MAX(N33:N44),0)</f>
        <v>2323</v>
      </c>
      <c r="O46" s="103">
        <f>IFERROR(MAX(O33:O44),0)</f>
        <v>2566</v>
      </c>
      <c r="P46" s="103">
        <f>IFERROR(MAX(P33:P44),0)</f>
        <v>2577</v>
      </c>
      <c r="Q46" s="103">
        <f>IFERROR(MAX(Q33:Q44),0)</f>
        <v>2756</v>
      </c>
      <c r="R46" s="103">
        <f>IFERROR(MAX(R33:R44),0)</f>
        <v>2677</v>
      </c>
      <c r="S46" s="103">
        <f>IFERROR(MAX(S33:S44),0)</f>
        <v>1232</v>
      </c>
      <c r="T46" s="103">
        <f>IFERROR(MAX(T33:T44),0)</f>
        <v>3221</v>
      </c>
      <c r="U46" s="103">
        <f>IFERROR(MAX(U33:U44),0)</f>
        <v>1173</v>
      </c>
      <c r="V46" s="103">
        <f>IFERROR(MAX(V33:V44),0)</f>
        <v>1098</v>
      </c>
      <c r="W46" s="103">
        <f>IFERROR(MAX(W33:W44),0)</f>
        <v>986</v>
      </c>
      <c r="X46" s="103">
        <f>IFERROR(MAX(X33:X44),0)</f>
        <v>1212</v>
      </c>
      <c r="Y46" s="103">
        <f>IFERROR(MAX(Y33:Y44),0)</f>
        <v>1993</v>
      </c>
      <c r="Z46" s="103">
        <f>IFERROR(MAX(Z33:Z44),0)</f>
        <v>2323</v>
      </c>
      <c r="AA46" s="103">
        <f>IFERROR(MAX(AA33:AA44),0)</f>
        <v>2566</v>
      </c>
      <c r="AB46" s="103">
        <f>IFERROR(MAX(AB33:AB44),0)</f>
        <v>2577</v>
      </c>
      <c r="AC46" s="103">
        <f>IFERROR(MAX(AC33:AC44),0)</f>
        <v>2756</v>
      </c>
      <c r="AD46" s="103">
        <f>IFERROR(MAX(AD33:AD44),0)</f>
        <v>2677</v>
      </c>
      <c r="AE46" s="103">
        <f>IFERROR(MAX(AE33:AE44),0)</f>
        <v>1232</v>
      </c>
      <c r="AF46" s="103">
        <f>IFERROR(MAX(AF33:AF44),0)</f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2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FQj8+Q8CrdKCikg8B0zlpxRaorazJ8+wEhWqDqBgN2GySLrvJHAU+lR/CPMnFeXTqUa5q2oC4FMWjMSs+ryZoA==" saltValue="6PxIVqtH2Kwzyje4oIgUb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O19" sqref="O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9" t="s">
        <v>568</v>
      </c>
      <c r="C2" s="224"/>
      <c r="D2" s="220"/>
      <c r="E2" s="36" t="s">
        <v>575</v>
      </c>
      <c r="F2" s="1"/>
    </row>
    <row r="3" spans="1:6" ht="15" customHeight="1" x14ac:dyDescent="0.25">
      <c r="A3" s="4" t="s">
        <v>601</v>
      </c>
      <c r="B3" s="217" t="s">
        <v>697</v>
      </c>
      <c r="C3" s="225"/>
      <c r="D3" s="218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>
        <v>0</v>
      </c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>
        <v>0</v>
      </c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>
        <v>0</v>
      </c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>
        <v>0</v>
      </c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>
        <v>0</v>
      </c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>
        <v>0</v>
      </c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>
        <v>0</v>
      </c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>
        <v>0</v>
      </c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>
        <v>0</v>
      </c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>
        <v>0</v>
      </c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>
        <v>0</v>
      </c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>
        <v>0</v>
      </c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>
        <v>0</v>
      </c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>
        <v>0</v>
      </c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>
        <v>0</v>
      </c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>
        <v>0</v>
      </c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>
        <v>0</v>
      </c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>
        <v>0</v>
      </c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>
        <v>0</v>
      </c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>
        <v>0</v>
      </c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>
        <v>0</v>
      </c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>
        <v>0</v>
      </c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>
        <v>0</v>
      </c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vopDQRDNGUcXCeHHjYCV9mqfNFk2oucwZ9hojs+0hEpPLcvZiwGPGdifDoigTPv2sSxSYGNdUgL8GmG/9a/kGg==" saltValue="FSY5F+Or/VNii+skwNu8Z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23" sqref="B2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21" sqref="C2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448DC-16B8-4CB0-A6AE-5E974F5BEE00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34" sqref="D34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729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691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10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10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10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10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10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10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10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10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10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10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10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10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10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10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10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10" ht="12.75" customHeight="1" x14ac:dyDescent="0.25">
      <c r="A32" s="4"/>
      <c r="B32" s="26"/>
      <c r="C32" s="26"/>
      <c r="D32" s="29"/>
      <c r="E32" s="1"/>
      <c r="J32" s="2" t="s">
        <v>552</v>
      </c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+upl5L/zap3bH76YqZfrmczrXXulaP7GdZ/WMQ6J1XgX29gf5mL/ZW3MC18wuhRZRiLqoMKZ/D+b4nITyI6r8w==" saltValue="NOfozUJ5C4JEFidfVW80yA==" spinCount="100000" sheet="1" objects="1" scenarios="1"/>
  <dataValidations count="6">
    <dataValidation type="textLength" allowBlank="1" showInputMessage="1" showErrorMessage="1" errorTitle="Data Source" error="It can only accept 40 characters." sqref="D5" xr:uid="{60B47D43-9E97-469E-AD32-3B09C7891D3F}">
      <formula1>0</formula1>
      <formula2>40</formula2>
    </dataValidation>
    <dataValidation type="decimal" allowBlank="1" showInputMessage="1" showErrorMessage="1" error="Please enter a valid reading." sqref="D7:D31" xr:uid="{86B8BE20-743D-47BF-819B-DE3F3942D406}">
      <formula1>0</formula1>
      <formula2>9999999999</formula2>
    </dataValidation>
    <dataValidation type="date" allowBlank="1" showInputMessage="1" showErrorMessage="1" error="Please enter a valid date in mm/dd/yyyy format." sqref="B7:C31" xr:uid="{E8338611-794E-4F27-AFC4-C16AC35222AE}">
      <formula1>1</formula1>
      <formula2>73415</formula2>
    </dataValidation>
    <dataValidation allowBlank="1" showInputMessage="1" showErrorMessage="1" error="Please enter a valid date in mm/dd/yyyy format." sqref="B32:D34" xr:uid="{4C5720C6-6436-4CD5-9ADB-4A5B6D90A0CF}"/>
    <dataValidation type="list" allowBlank="1" showInputMessage="1" showErrorMessage="1" sqref="D3" xr:uid="{E1AD61B0-2E3A-4432-A45F-9F20EAABA1C8}">
      <formula1>ElectricityDrp</formula1>
    </dataValidation>
    <dataValidation type="list" allowBlank="1" showInputMessage="1" showErrorMessage="1" error="Units cannot edit." sqref="D4" xr:uid="{01C19E38-618F-4FCC-BF80-E170EA37C7D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2757-9296-44F6-BD6B-12C359F3EE8B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6" sqref="C16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2" t="str">
        <f ca="1">B1</f>
        <v>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730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MMWbUsgR078ytQ5GOYjxFA5BI6QT7or1/DIdRm5pp7MUeEJdSu1PvrC4QBbzEjZnGcgsKAHKJp3eFC8hcwF21w==" saltValue="wvRq2I4O2NJSA8QZ3aEyaQ==" spinCount="100000" sheet="1" objects="1" scenarios="1"/>
  <dataValidations count="6">
    <dataValidation type="textLength" allowBlank="1" showInputMessage="1" showErrorMessage="1" errorTitle="Data Source" error="It can only accept 40 characters." sqref="D5" xr:uid="{70841A8B-7C5C-40FA-B5FD-38560002DD15}">
      <formula1>0</formula1>
      <formula2>40</formula2>
    </dataValidation>
    <dataValidation type="decimal" allowBlank="1" showInputMessage="1" showErrorMessage="1" error="Please enter a valid reading." sqref="D7:D31" xr:uid="{13A2C429-DC2F-4FCE-806E-892C1BA49F2A}">
      <formula1>0</formula1>
      <formula2>9999999999</formula2>
    </dataValidation>
    <dataValidation type="date" allowBlank="1" showInputMessage="1" showErrorMessage="1" error="Please enter a valid date in mm/dd/yyyy format." sqref="B7:C31" xr:uid="{7E4EAD6A-F74C-40C4-B752-058A72C0CF57}">
      <formula1>1</formula1>
      <formula2>73415</formula2>
    </dataValidation>
    <dataValidation allowBlank="1" showInputMessage="1" showErrorMessage="1" error="Please enter a valid date in mm/dd/yyyy format." sqref="B32:D34" xr:uid="{DA82FAAA-0F88-473A-AE2A-92E221EBA9B7}"/>
    <dataValidation type="list" allowBlank="1" showInputMessage="1" showErrorMessage="1" sqref="D3" xr:uid="{E431495F-812A-4056-969E-D916DF6006B8}">
      <formula1>WaterDrp</formula1>
    </dataValidation>
    <dataValidation type="list" allowBlank="1" showInputMessage="1" showErrorMessage="1" error="Units cannot edit." sqref="D4" xr:uid="{82638566-A3FB-4657-A40B-7F78F9943631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2019-06-17T05:39:26Z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