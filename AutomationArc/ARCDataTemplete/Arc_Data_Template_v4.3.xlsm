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8.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20.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21.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D:\AutomationArc\AutomationArc\AutomationArc\ARCDataTemplete\"/>
    </mc:Choice>
  </mc:AlternateContent>
  <xr:revisionPtr revIDLastSave="0" documentId="13_ncr:1_{543A37A5-3C57-4759-8975-3CD3467E357A}" xr6:coauthVersionLast="43" xr6:coauthVersionMax="43" xr10:uidLastSave="{00000000-0000-0000-0000-000000000000}"/>
  <bookViews>
    <workbookView xWindow="-120" yWindow="-120" windowWidth="20730" windowHeight="11310" activeTab="1" xr2:uid="{00000000-000D-0000-FFFF-FFFF00000000}"/>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Energy Meter via upload" sheetId="30" r:id="rId11"/>
    <sheet name="Water meter via upload" sheetId="31" r:id="rId12"/>
    <sheet name="Carbon Monoxide" sheetId="17" r:id="rId13"/>
    <sheet name="Ozone" sheetId="18" r:id="rId14"/>
    <sheet name="Atmospheric Particulate Matter" sheetId="19" r:id="rId15"/>
    <sheet name="Acetaldehyde" sheetId="20" r:id="rId16"/>
    <sheet name="Benzene" sheetId="21" r:id="rId17"/>
    <sheet name="Styrene" sheetId="22" r:id="rId18"/>
    <sheet name="Toluene" sheetId="23" r:id="rId19"/>
    <sheet name="Naphthalene " sheetId="24" r:id="rId20"/>
    <sheet name="Dichlorobenzene" sheetId="25" r:id="rId21"/>
    <sheet name="Xylenes-total" sheetId="26" r:id="rId22"/>
    <sheet name="Formaldehyde" sheetId="27"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Readings'!$30:$30</definedName>
    <definedName name="columnDeleteVOC">'TVOC Readings'!$29:$29</definedName>
    <definedName name="Countries">Instructions!$L$36:$M$291</definedName>
    <definedName name="CountriesDetails">Instructions!$L$36:$L$291</definedName>
    <definedName name="countryName">Instructions!$L$34:$L$291</definedName>
    <definedName name="DataCopy">'CO2 Readings'!$A$50:$E$50</definedName>
    <definedName name="DataCopyVOC">'TVOC Readings'!$A$49:$E$49</definedName>
    <definedName name="Dates" localSheetId="15">'CO2 Readings'!$46:$46</definedName>
    <definedName name="Dates" localSheetId="14">'CO2 Readings'!$46:$46</definedName>
    <definedName name="Dates" localSheetId="16">'CO2 Readings'!$46:$46</definedName>
    <definedName name="Dates" localSheetId="12">'CO2 Readings'!$46:$46</definedName>
    <definedName name="Dates" localSheetId="20">'CO2 Readings'!$46:$46</definedName>
    <definedName name="Dates" localSheetId="22">'CO2 Readings'!$46:$46</definedName>
    <definedName name="Dates" localSheetId="19">'CO2 Readings'!$46:$46</definedName>
    <definedName name="Dates" localSheetId="13">'CO2 Readings'!$46:$46</definedName>
    <definedName name="Dates" localSheetId="17">'CO2 Readings'!$46:$46</definedName>
    <definedName name="Dates" localSheetId="18">'CO2 Readings'!$46:$46</definedName>
    <definedName name="Dates" localSheetId="21">'CO2 Readings'!$46:$46</definedName>
    <definedName name="Dates">'CO2 Readings'!$46:$46</definedName>
    <definedName name="DatesVOC" localSheetId="15">'TVOC Readings'!$45:$45</definedName>
    <definedName name="DatesVOC" localSheetId="14">'TVOC Readings'!$45:$45</definedName>
    <definedName name="DatesVOC" localSheetId="16">'TVOC Readings'!$45:$45</definedName>
    <definedName name="DatesVOC" localSheetId="12">'TVOC Readings'!$45:$45</definedName>
    <definedName name="DatesVOC" localSheetId="20">'TVOC Readings'!$45:$45</definedName>
    <definedName name="DatesVOC" localSheetId="22">'TVOC Readings'!$45:$45</definedName>
    <definedName name="DatesVOC" localSheetId="19">'TVOC Readings'!$45:$45</definedName>
    <definedName name="DatesVOC" localSheetId="13">'TVOC Readings'!$45:$45</definedName>
    <definedName name="DatesVOC" localSheetId="17">'TVOC Readings'!$45:$45</definedName>
    <definedName name="DatesVOC" localSheetId="18">'TVOC Readings'!$45:$45</definedName>
    <definedName name="DatesVOC" localSheetId="21">'TVOC Readings'!$45:$45</definedName>
    <definedName name="DatesVOC">'TVOC Readings'!$45:$45</definedName>
    <definedName name="DelRwNmEnd">'CO2 Reading for Upload'!$A$34:$E$34</definedName>
    <definedName name="DelRwNmEndVOC">'TVOC Reading for Upload'!$A$34:$E$34</definedName>
    <definedName name="DelRwNmStart">'CO2 Reading for Upload'!$A$6:$E$6</definedName>
    <definedName name="DelRwNmStartVOC">'TVOC Reading for Upload'!$A$6:$E$6</definedName>
    <definedName name="elecName" localSheetId="15">base_e!$G$15:$G$19</definedName>
    <definedName name="elecName" localSheetId="14">base_e!$G$15:$G$19</definedName>
    <definedName name="elecName" localSheetId="16">base_e!$G$15:$G$19</definedName>
    <definedName name="elecName" localSheetId="12">base_e!$G$15:$G$19</definedName>
    <definedName name="elecName" localSheetId="20">base_e!$G$15:$G$19</definedName>
    <definedName name="elecName" localSheetId="10">'Energy Meter via upload'!$G$39:$G$43</definedName>
    <definedName name="elecName" localSheetId="22">base_e!$G$15:$G$19</definedName>
    <definedName name="elecName" localSheetId="19">base_e!$G$15:$G$19</definedName>
    <definedName name="elecName" localSheetId="13">base_e!$G$15:$G$19</definedName>
    <definedName name="elecName" localSheetId="17">base_e!$G$15:$G$19</definedName>
    <definedName name="elecName" localSheetId="18">base_e!$G$15:$G$19</definedName>
    <definedName name="elecName" localSheetId="21">base_e!$G$15:$G$19</definedName>
    <definedName name="elecName">base_e!$G$15:$G$19</definedName>
    <definedName name="ElectricityDrp" localSheetId="15">base_e!$J$9:$J$10</definedName>
    <definedName name="ElectricityDrp" localSheetId="14">base_e!$J$9:$J$10</definedName>
    <definedName name="ElectricityDrp" localSheetId="16">base_e!$J$9:$J$10</definedName>
    <definedName name="ElectricityDrp" localSheetId="12">base_e!$J$9:$J$10</definedName>
    <definedName name="ElectricityDrp" localSheetId="20">base_e!$J$9:$J$10</definedName>
    <definedName name="ElectricityDrp" localSheetId="10">'Energy Meter via upload'!$J$33:$J$34</definedName>
    <definedName name="ElectricityDrp" localSheetId="22">base_e!$J$9:$J$10</definedName>
    <definedName name="ElectricityDrp" localSheetId="19">base_e!$J$9:$J$10</definedName>
    <definedName name="ElectricityDrp" localSheetId="13">base_e!$J$9:$J$10</definedName>
    <definedName name="ElectricityDrp" localSheetId="17">base_e!$J$9:$J$10</definedName>
    <definedName name="ElectricityDrp" localSheetId="18">base_e!$J$9:$J$10</definedName>
    <definedName name="ElectricityDrp" localSheetId="21">base_e!$J$9:$J$10</definedName>
    <definedName name="ElectricityDrp">base_e!$J$9:$J$10</definedName>
    <definedName name="fdet" localSheetId="15">Acetaldehyde!$H$1:$H$13</definedName>
    <definedName name="fdet" localSheetId="14">'Atmospheric Particulate Matter'!$H$1:$H$13</definedName>
    <definedName name="fdet" localSheetId="16">Benzene!$H$1:$H$13</definedName>
    <definedName name="fdet" localSheetId="12">'Carbon Monoxide'!$H$1:$H$13</definedName>
    <definedName name="fdet" localSheetId="20">Dichlorobenzene!$H$1:$H$13</definedName>
    <definedName name="fdet" localSheetId="22">Formaldehyde!$H$1:$H$13</definedName>
    <definedName name="fdet" localSheetId="19">'Naphthalene '!$H$1:$H$13</definedName>
    <definedName name="fdet" localSheetId="13">Ozone!$H$1:$H$13</definedName>
    <definedName name="fdet" localSheetId="17">Styrene!$H$1:$H$13</definedName>
    <definedName name="fdet" localSheetId="18">Toluene!$H$1:$H$13</definedName>
    <definedName name="fdet" localSheetId="21">'Xylenes-total'!$H$1:$H$13</definedName>
    <definedName name="fdet">base_f!$H$1:$H$13</definedName>
    <definedName name="fude" localSheetId="15">Acetaldehyde!$D$14:$D$31</definedName>
    <definedName name="fude" localSheetId="14">'Atmospheric Particulate Matter'!$D$14:$D$31</definedName>
    <definedName name="fude" localSheetId="16">Benzene!$D$14:$D$31</definedName>
    <definedName name="fude" localSheetId="12">'Carbon Monoxide'!$D$14:$D$31</definedName>
    <definedName name="fude" localSheetId="20">Dichlorobenzene!$D$14:$D$31</definedName>
    <definedName name="fude" localSheetId="22">Formaldehyde!$D$14:$D$31</definedName>
    <definedName name="fude" localSheetId="19">'Naphthalene '!$D$14:$D$31</definedName>
    <definedName name="fude" localSheetId="13">Ozone!$D$14:$D$31</definedName>
    <definedName name="fude" localSheetId="17">Styrene!$D$14:$D$31</definedName>
    <definedName name="fude" localSheetId="18">Toluene!$D$14:$D$31</definedName>
    <definedName name="fude" localSheetId="21">'Xylenes-total'!$D$14:$D$31</definedName>
    <definedName name="fude">base_f!$D$14:$D$31</definedName>
    <definedName name="fuel1" localSheetId="15">Acetaldehyde!$L$16:$L$23</definedName>
    <definedName name="fuel1" localSheetId="14">'Atmospheric Particulate Matter'!$L$16:$L$23</definedName>
    <definedName name="fuel1" localSheetId="16">Benzene!$L$16:$L$23</definedName>
    <definedName name="fuel1" localSheetId="12">'Carbon Monoxide'!$L$16:$L$23</definedName>
    <definedName name="fuel1" localSheetId="20">Dichlorobenzene!$L$16:$L$23</definedName>
    <definedName name="fuel1" localSheetId="22">Formaldehyde!$L$16:$L$23</definedName>
    <definedName name="fuel1" localSheetId="19">'Naphthalene '!$L$16:$L$23</definedName>
    <definedName name="fuel1" localSheetId="13">Ozone!$L$16:$L$23</definedName>
    <definedName name="fuel1" localSheetId="17">Styrene!$L$16:$L$23</definedName>
    <definedName name="fuel1" localSheetId="18">Toluene!$L$16:$L$23</definedName>
    <definedName name="fuel1" localSheetId="21">'Xylenes-total'!$L$16:$L$23</definedName>
    <definedName name="fuel1">base_f!$L$16:$L$23</definedName>
    <definedName name="fuel2" localSheetId="15">Acetaldehyde!$M$16:$M$23</definedName>
    <definedName name="fuel2" localSheetId="14">'Atmospheric Particulate Matter'!$M$16:$M$23</definedName>
    <definedName name="fuel2" localSheetId="16">Benzene!$M$16:$M$23</definedName>
    <definedName name="fuel2" localSheetId="12">'Carbon Monoxide'!$M$16:$M$23</definedName>
    <definedName name="fuel2" localSheetId="20">Dichlorobenzene!$M$16:$M$23</definedName>
    <definedName name="fuel2" localSheetId="22">Formaldehyde!$M$16:$M$23</definedName>
    <definedName name="fuel2" localSheetId="19">'Naphthalene '!$M$16:$M$23</definedName>
    <definedName name="fuel2" localSheetId="13">Ozone!$M$16:$M$23</definedName>
    <definedName name="fuel2" localSheetId="17">Styrene!$M$16:$M$23</definedName>
    <definedName name="fuel2" localSheetId="18">Toluene!$M$16:$M$23</definedName>
    <definedName name="fuel2" localSheetId="21">'Xylenes-total'!$M$16:$M$23</definedName>
    <definedName name="fuel2">base_f!$M$16:$M$23</definedName>
    <definedName name="fuelname" localSheetId="15">Acetaldehyde!#REF!</definedName>
    <definedName name="fuelname" localSheetId="14">'Atmospheric Particulate Matter'!#REF!</definedName>
    <definedName name="fuelname" localSheetId="16">Benzene!#REF!</definedName>
    <definedName name="fuelname" localSheetId="12">'Carbon Monoxide'!#REF!</definedName>
    <definedName name="fuelname" localSheetId="20">Dichlorobenzene!#REF!</definedName>
    <definedName name="fuelname" localSheetId="10">base_f!#REF!</definedName>
    <definedName name="fuelname" localSheetId="22">Formaldehyde!#REF!</definedName>
    <definedName name="fuelname" localSheetId="19">'Naphthalene '!#REF!</definedName>
    <definedName name="fuelname" localSheetId="13">Ozone!#REF!</definedName>
    <definedName name="fuelname" localSheetId="17">Styrene!#REF!</definedName>
    <definedName name="fuelname" localSheetId="18">Toluene!#REF!</definedName>
    <definedName name="fuelname" localSheetId="11">base_f!#REF!</definedName>
    <definedName name="fuelname" localSheetId="21">'Xylenes-total'!#REF!</definedName>
    <definedName name="fuelname">base_f!#REF!</definedName>
    <definedName name="kerosene" localSheetId="15">Acetaldehyde!$K$16:$K$23</definedName>
    <definedName name="kerosene" localSheetId="14">'Atmospheric Particulate Matter'!$K$16:$K$23</definedName>
    <definedName name="kerosene" localSheetId="16">Benzene!$K$16:$K$23</definedName>
    <definedName name="kerosene" localSheetId="12">'Carbon Monoxide'!$K$16:$K$23</definedName>
    <definedName name="kerosene" localSheetId="20">Dichlorobenzene!$K$16:$K$23</definedName>
    <definedName name="kerosene" localSheetId="22">Formaldehyde!$K$16:$K$23</definedName>
    <definedName name="kerosene" localSheetId="19">'Naphthalene '!$K$16:$K$23</definedName>
    <definedName name="kerosene" localSheetId="13">Ozone!$K$16:$K$23</definedName>
    <definedName name="kerosene" localSheetId="17">Styrene!$K$16:$K$23</definedName>
    <definedName name="kerosene" localSheetId="18">Toluene!$K$16:$K$23</definedName>
    <definedName name="kerosene" localSheetId="21">'Xylenes-total'!$K$16:$K$23</definedName>
    <definedName name="kerosene">base_f!$K$16:$K$23</definedName>
    <definedName name="liquid" localSheetId="15">Acetaldehyde!$J$16:$J$25</definedName>
    <definedName name="liquid" localSheetId="14">'Atmospheric Particulate Matter'!$J$16:$J$25</definedName>
    <definedName name="liquid" localSheetId="16">Benzene!$J$16:$J$25</definedName>
    <definedName name="liquid" localSheetId="12">'Carbon Monoxide'!$J$16:$J$25</definedName>
    <definedName name="liquid" localSheetId="20">Dichlorobenzene!$J$16:$J$25</definedName>
    <definedName name="liquid" localSheetId="22">Formaldehyde!$J$16:$J$25</definedName>
    <definedName name="liquid" localSheetId="19">'Naphthalene '!$J$16:$J$25</definedName>
    <definedName name="liquid" localSheetId="13">Ozone!$J$16:$J$25</definedName>
    <definedName name="liquid" localSheetId="17">Styrene!$J$16:$J$25</definedName>
    <definedName name="liquid" localSheetId="18">Toluene!$J$16:$J$25</definedName>
    <definedName name="liquid" localSheetId="21">'Xylenes-total'!$J$16:$J$25</definedName>
    <definedName name="liquid">base_f!$J$16:$J$25</definedName>
    <definedName name="Meter" localSheetId="10">Instructions!#REF!</definedName>
    <definedName name="Meter" localSheetId="11">Instructions!#REF!</definedName>
    <definedName name="Meter">Instructions!#REF!</definedName>
    <definedName name="meterName">Instructions!$O$36:$O$53</definedName>
    <definedName name="MeterTypes">Instructions!$L$294:$L$320</definedName>
    <definedName name="myCategoryH" localSheetId="15">Acetaldehyde!$G$19:$G$36</definedName>
    <definedName name="myCategoryH" localSheetId="14">'Atmospheric Particulate Matter'!$G$19:$G$36</definedName>
    <definedName name="myCategoryH" localSheetId="16">Benzene!$G$19:$G$36</definedName>
    <definedName name="myCategoryH" localSheetId="12">'Carbon Monoxide'!$G$19:$G$36</definedName>
    <definedName name="myCategoryH" localSheetId="20">Dichlorobenzene!$G$19:$G$36</definedName>
    <definedName name="myCategoryH" localSheetId="22">Formaldehyde!$G$19:$G$36</definedName>
    <definedName name="myCategoryH" localSheetId="19">'Naphthalene '!$G$19:$G$36</definedName>
    <definedName name="myCategoryH" localSheetId="13">Ozone!$G$19:$G$36</definedName>
    <definedName name="myCategoryH" localSheetId="17">Styrene!$G$19:$G$36</definedName>
    <definedName name="myCategoryH" localSheetId="18">Toluene!$G$19:$G$36</definedName>
    <definedName name="myCategoryH" localSheetId="21">'Xylenes-total'!$G$19:$G$36</definedName>
    <definedName name="myCategoryH">base_f!$G$19:$G$36</definedName>
    <definedName name="myitem" localSheetId="15">OFFSET(myItemList,0,0,1,COUNTA(myItemList))</definedName>
    <definedName name="myitem" localSheetId="14">OFFSET(myItemList,0,0,1,COUNTA(myItemList))</definedName>
    <definedName name="myitem" localSheetId="16">OFFSET(myItemList,0,0,1,COUNTA(myItemList))</definedName>
    <definedName name="myitem" localSheetId="12">OFFSET(myItemList,0,0,1,COUNTA(myItemList))</definedName>
    <definedName name="myitem" localSheetId="20">OFFSET(myItemList,0,0,1,COUNTA(myItemList))</definedName>
    <definedName name="myitem" localSheetId="10">OFFSET(myItemList,0,0,1,COUNTA(myItemList))</definedName>
    <definedName name="myitem" localSheetId="22">OFFSET(myItemList,0,0,1,COUNTA(myItemList))</definedName>
    <definedName name="myitem" localSheetId="19">OFFSET(myItemList,0,0,1,COUNTA(myItemList))</definedName>
    <definedName name="myitem" localSheetId="13">OFFSET(myItemList,0,0,1,COUNTA(myItemList))</definedName>
    <definedName name="myitem" localSheetId="17">OFFSET(myItemList,0,0,1,COUNTA(myItemList))</definedName>
    <definedName name="myitem" localSheetId="18">OFFSET(myItemList,0,0,1,COUNTA(myItemList))</definedName>
    <definedName name="myitem" localSheetId="11">OFFSET(myItemList,0,0,1,COUNTA(myItemList))</definedName>
    <definedName name="myitem" localSheetId="21">OFFSET(myItemList,0,0,1,COUNTA(myItemList))</definedName>
    <definedName name="myitem">OFFSET(myItemList,0,0,1,COUNTA(myItemList))</definedName>
    <definedName name="myItemListH" localSheetId="15">INDEX(Acetaldehyde!myTableH,MATCH(Acetaldehyde!A1048576,Acetaldehyde!myCategoryH,0),0)</definedName>
    <definedName name="myItemListH" localSheetId="14">INDEX('Atmospheric Particulate Matter'!myTableH,MATCH('Atmospheric Particulate Matter'!A1048576,'Atmospheric Particulate Matter'!myCategoryH,0),0)</definedName>
    <definedName name="myItemListH" localSheetId="16">INDEX(Benzene!myTableH,MATCH(Benzene!A1048576,Benzene!myCategoryH,0),0)</definedName>
    <definedName name="myItemListH" localSheetId="12">INDEX('Carbon Monoxide'!myTableH,MATCH('Carbon Monoxide'!A1048576,'Carbon Monoxide'!myCategoryH,0),0)</definedName>
    <definedName name="myItemListH" localSheetId="20">INDEX(Dichlorobenzene!myTableH,MATCH(Dichlorobenzene!A1048576,Dichlorobenzene!myCategoryH,0),0)</definedName>
    <definedName name="myItemListH" localSheetId="22">INDEX(Formaldehyde!myTableH,MATCH(Formaldehyde!A1048576,Formaldehyde!myCategoryH,0),0)</definedName>
    <definedName name="myItemListH" localSheetId="19">INDEX('Naphthalene '!myTableH,MATCH('Naphthalene '!A1048576,'Naphthalene '!myCategoryH,0),0)</definedName>
    <definedName name="myItemListH" localSheetId="13">INDEX(Ozone!myTableH,MATCH(Ozone!A1048576,Ozone!myCategoryH,0),0)</definedName>
    <definedName name="myItemListH" localSheetId="17">INDEX(Styrene!myTableH,MATCH(Styrene!A1048576,Styrene!myCategoryH,0),0)</definedName>
    <definedName name="myItemListH" localSheetId="18">INDEX(Toluene!myTableH,MATCH(Toluene!A1048576,Toluene!myCategoryH,0),0)</definedName>
    <definedName name="myItemListH" localSheetId="21">INDEX('Xylenes-total'!myTableH,MATCH('Xylenes-total'!A1048576,'Xylenes-total'!myCategoryH,0),0)</definedName>
    <definedName name="myItemListH">INDEX(myTableH,MATCH(base_f!A1048576,myCategoryH,0),0)</definedName>
    <definedName name="myTableH" localSheetId="15">Acetaldehyde!$H$19:$V$36</definedName>
    <definedName name="myTableH" localSheetId="14">'Atmospheric Particulate Matter'!$H$19:$V$36</definedName>
    <definedName name="myTableH" localSheetId="16">Benzene!$H$19:$V$36</definedName>
    <definedName name="myTableH" localSheetId="12">'Carbon Monoxide'!$H$19:$V$36</definedName>
    <definedName name="myTableH" localSheetId="20">Dichlorobenzene!$H$19:$V$36</definedName>
    <definedName name="myTableH" localSheetId="22">Formaldehyde!$H$19:$V$36</definedName>
    <definedName name="myTableH" localSheetId="19">'Naphthalene '!$H$19:$V$36</definedName>
    <definedName name="myTableH" localSheetId="13">Ozone!$H$19:$V$36</definedName>
    <definedName name="myTableH" localSheetId="17">Styrene!$H$19:$V$36</definedName>
    <definedName name="myTableH" localSheetId="18">Toluene!$H$19:$V$36</definedName>
    <definedName name="myTableH" localSheetId="21">'Xylenes-total'!$H$19:$V$36</definedName>
    <definedName name="myTableH">base_f!$H$19:$V$36</definedName>
    <definedName name="newMet" localSheetId="15">Instructions!$Q$36:$Q$37</definedName>
    <definedName name="newMet" localSheetId="14">Instructions!$Q$36:$Q$37</definedName>
    <definedName name="newMet" localSheetId="16">Instructions!$Q$36:$Q$37</definedName>
    <definedName name="newMet" localSheetId="12">Instructions!$Q$36:$Q$37</definedName>
    <definedName name="newMet" localSheetId="20">Instructions!$Q$36:$Q$37</definedName>
    <definedName name="newMet" localSheetId="22">Instructions!$Q$36:$Q$37</definedName>
    <definedName name="newMet" localSheetId="19">Instructions!$Q$36:$Q$37</definedName>
    <definedName name="newMet" localSheetId="13">Instructions!$Q$36:$Q$37</definedName>
    <definedName name="newMet" localSheetId="17">Instructions!$Q$36:$Q$37</definedName>
    <definedName name="newMet" localSheetId="18">Instructions!$Q$36:$Q$37</definedName>
    <definedName name="newMet" localSheetId="21">Instructions!$Q$36:$Q$37</definedName>
    <definedName name="newMet">Instructions!$Q$36:$Q$37</definedName>
    <definedName name="newWaUnit" localSheetId="15">'Waste Stream'!$I$36:$I$38</definedName>
    <definedName name="newWaUnit" localSheetId="14">'Waste Stream'!$I$36:$I$38</definedName>
    <definedName name="newWaUnit" localSheetId="16">'Waste Stream'!$I$36:$I$38</definedName>
    <definedName name="newWaUnit" localSheetId="12">'Waste Stream'!$I$36:$I$38</definedName>
    <definedName name="newWaUnit" localSheetId="20">'Waste Stream'!$I$36:$I$38</definedName>
    <definedName name="newWaUnit" localSheetId="22">'Waste Stream'!$I$36:$I$38</definedName>
    <definedName name="newWaUnit" localSheetId="19">'Waste Stream'!$I$36:$I$38</definedName>
    <definedName name="newWaUnit" localSheetId="13">'Waste Stream'!$I$36:$I$38</definedName>
    <definedName name="newWaUnit" localSheetId="17">'Waste Stream'!$I$36:$I$38</definedName>
    <definedName name="newWaUnit" localSheetId="18">'Waste Stream'!$I$36:$I$38</definedName>
    <definedName name="newWaUnit" localSheetId="21">'Waste Stream'!$I$36:$I$38</definedName>
    <definedName name="newWaUnit">'Waste Stream'!$I$36:$I$38</definedName>
    <definedName name="Other_Fuels_Drp" localSheetId="15">Acetaldehyde!$V$10</definedName>
    <definedName name="Other_Fuels_Drp" localSheetId="14">'Atmospheric Particulate Matter'!$V$10</definedName>
    <definedName name="Other_Fuels_Drp" localSheetId="16">Benzene!$V$10</definedName>
    <definedName name="Other_Fuels_Drp" localSheetId="12">'Carbon Monoxide'!$V$10</definedName>
    <definedName name="Other_Fuels_Drp" localSheetId="20">Dichlorobenzene!$V$10</definedName>
    <definedName name="Other_Fuels_Drp" localSheetId="22">Formaldehyde!$V$10</definedName>
    <definedName name="Other_Fuels_Drp" localSheetId="19">'Naphthalene '!$V$10</definedName>
    <definedName name="Other_Fuels_Drp" localSheetId="13">Ozone!$V$10</definedName>
    <definedName name="Other_Fuels_Drp" localSheetId="17">Styrene!$V$10</definedName>
    <definedName name="Other_Fuels_Drp" localSheetId="18">Toluene!$V$10</definedName>
    <definedName name="Other_Fuels_Drp" localSheetId="21">'Xylenes-total'!$V$10</definedName>
    <definedName name="Other_Fuels_Drp">base_f!$V$10</definedName>
    <definedName name="Period__Start_Date" localSheetId="15">COUNTIF(base_w!$B:$B,base_w!A1)=1</definedName>
    <definedName name="Period__Start_Date" localSheetId="14">COUNTIF(base_w!$B:$B,base_w!A1)=1</definedName>
    <definedName name="Period__Start_Date" localSheetId="16">COUNTIF(base_w!$B:$B,base_w!A1)=1</definedName>
    <definedName name="Period__Start_Date" localSheetId="12">COUNTIF(base_w!$B:$B,base_w!A1)=1</definedName>
    <definedName name="Period__Start_Date" localSheetId="20">COUNTIF(base_w!$B:$B,base_w!A1)=1</definedName>
    <definedName name="Period__Start_Date" localSheetId="22">COUNTIF(base_w!$B:$B,base_w!A1)=1</definedName>
    <definedName name="Period__Start_Date" localSheetId="19">COUNTIF(base_w!$B:$B,base_w!A1)=1</definedName>
    <definedName name="Period__Start_Date" localSheetId="13">COUNTIF(base_w!$B:$B,base_w!A1)=1</definedName>
    <definedName name="Period__Start_Date" localSheetId="17">COUNTIF(base_w!$B:$B,base_w!A1)=1</definedName>
    <definedName name="Period__Start_Date" localSheetId="18">COUNTIF(base_w!$B:$B,base_w!A1)=1</definedName>
    <definedName name="Period__Start_Date" localSheetId="11">COUNTIF('Water meter via upload'!$B:$B,'Water meter via upload'!A1)=1</definedName>
    <definedName name="Period__Start_Date" localSheetId="21">COUNTIF(base_w!$B:$B,base_w!A1)=1</definedName>
    <definedName name="Period__Start_Date">COUNTIF(base_w!$B:$B,base_w!A1)=1</definedName>
    <definedName name="Propane" localSheetId="15">Acetaldehyde!$I$16:$I$27</definedName>
    <definedName name="Propane" localSheetId="14">'Atmospheric Particulate Matter'!$I$16:$I$27</definedName>
    <definedName name="Propane" localSheetId="16">Benzene!$I$16:$I$27</definedName>
    <definedName name="Propane" localSheetId="12">'Carbon Monoxide'!$I$16:$I$27</definedName>
    <definedName name="Propane" localSheetId="20">Dichlorobenzene!$I$16:$I$27</definedName>
    <definedName name="Propane" localSheetId="22">Formaldehyde!$I$16:$I$27</definedName>
    <definedName name="Propane" localSheetId="19">'Naphthalene '!$I$16:$I$27</definedName>
    <definedName name="Propane" localSheetId="13">Ozone!$I$16:$I$27</definedName>
    <definedName name="Propane" localSheetId="17">Styrene!$I$16:$I$27</definedName>
    <definedName name="Propane" localSheetId="18">Toluene!$I$16:$I$27</definedName>
    <definedName name="Propane" localSheetId="21">'Xylenes-total'!$I$16:$I$27</definedName>
    <definedName name="Propane">base_f!$I$16:$I$27</definedName>
    <definedName name="propanes" localSheetId="15">Acetaldehyde!$I$16:$I$25</definedName>
    <definedName name="propanes" localSheetId="14">'Atmospheric Particulate Matter'!$I$16:$I$25</definedName>
    <definedName name="propanes" localSheetId="16">Benzene!$I$16:$I$25</definedName>
    <definedName name="propanes" localSheetId="12">'Carbon Monoxide'!$I$16:$I$25</definedName>
    <definedName name="propanes" localSheetId="20">Dichlorobenzene!$I$16:$I$25</definedName>
    <definedName name="propanes" localSheetId="22">Formaldehyde!$I$16:$I$25</definedName>
    <definedName name="propanes" localSheetId="19">'Naphthalene '!$I$16:$I$25</definedName>
    <definedName name="propanes" localSheetId="13">Ozone!$I$16:$I$25</definedName>
    <definedName name="propanes" localSheetId="17">Styrene!$I$16:$I$25</definedName>
    <definedName name="propanes" localSheetId="18">Toluene!$I$16:$I$25</definedName>
    <definedName name="propanes" localSheetId="21">'Xylenes-total'!$I$16:$I$25</definedName>
    <definedName name="propanes">base_f!$I$16:$I$25</definedName>
    <definedName name="prounit" localSheetId="15">Acetaldehyde!$I$16:$I$25</definedName>
    <definedName name="prounit" localSheetId="14">'Atmospheric Particulate Matter'!$I$16:$I$25</definedName>
    <definedName name="prounit" localSheetId="16">Benzene!$I$16:$I$25</definedName>
    <definedName name="prounit" localSheetId="12">'Carbon Monoxide'!$I$16:$I$25</definedName>
    <definedName name="prounit" localSheetId="20">Dichlorobenzene!$I$16:$I$25</definedName>
    <definedName name="prounit" localSheetId="22">Formaldehyde!$I$16:$I$25</definedName>
    <definedName name="prounit" localSheetId="19">'Naphthalene '!$I$16:$I$25</definedName>
    <definedName name="prounit" localSheetId="13">Ozone!$I$16:$I$25</definedName>
    <definedName name="prounit" localSheetId="17">Styrene!$I$16:$I$25</definedName>
    <definedName name="prounit" localSheetId="18">Toluene!$I$16:$I$25</definedName>
    <definedName name="prounit" localSheetId="21">'Xylenes-total'!$I$16:$I$25</definedName>
    <definedName name="prounit">base_f!$I$16:$I$25</definedName>
    <definedName name="RangeCount">'CO2 Reading for Upload'!$B$6:$B$34</definedName>
    <definedName name="RangeCountVOC">'TVOC Reading for Upload'!$B$6:$B$34</definedName>
    <definedName name="ReadingTable" localSheetId="15">'CO2 Readings'!$46:$47</definedName>
    <definedName name="ReadingTable" localSheetId="14">'CO2 Readings'!$46:$47</definedName>
    <definedName name="ReadingTable" localSheetId="16">'CO2 Readings'!$46:$47</definedName>
    <definedName name="ReadingTable" localSheetId="12">'CO2 Readings'!$46:$47</definedName>
    <definedName name="ReadingTable" localSheetId="20">'CO2 Readings'!$46:$47</definedName>
    <definedName name="ReadingTable" localSheetId="22">'CO2 Readings'!$46:$47</definedName>
    <definedName name="ReadingTable" localSheetId="19">'CO2 Readings'!$46:$47</definedName>
    <definedName name="ReadingTable" localSheetId="13">'CO2 Readings'!$46:$47</definedName>
    <definedName name="ReadingTable" localSheetId="17">'CO2 Readings'!$46:$47</definedName>
    <definedName name="ReadingTable" localSheetId="18">'CO2 Readings'!$46:$47</definedName>
    <definedName name="ReadingTable" localSheetId="21">'CO2 Readings'!$46:$47</definedName>
    <definedName name="ReadingTable">'CO2 Readings'!$46:$47</definedName>
    <definedName name="ReadingTableVOC" localSheetId="15">'TVOC Readings'!$45:$46</definedName>
    <definedName name="ReadingTableVOC" localSheetId="14">'TVOC Readings'!$45:$46</definedName>
    <definedName name="ReadingTableVOC" localSheetId="16">'TVOC Readings'!$45:$46</definedName>
    <definedName name="ReadingTableVOC" localSheetId="12">'TVOC Readings'!$45:$46</definedName>
    <definedName name="ReadingTableVOC" localSheetId="20">'TVOC Readings'!$45:$46</definedName>
    <definedName name="ReadingTableVOC" localSheetId="22">'TVOC Readings'!$45:$46</definedName>
    <definedName name="ReadingTableVOC" localSheetId="19">'TVOC Readings'!$45:$46</definedName>
    <definedName name="ReadingTableVOC" localSheetId="13">'TVOC Readings'!$45:$46</definedName>
    <definedName name="ReadingTableVOC" localSheetId="17">'TVOC Readings'!$45:$46</definedName>
    <definedName name="ReadingTableVOC" localSheetId="18">'TVOC Readings'!$45:$46</definedName>
    <definedName name="ReadingTableVOC" localSheetId="21">'TVOC Readings'!$45:$46</definedName>
    <definedName name="ReadingTableVOC">'TVOC Readings'!$45:$46</definedName>
    <definedName name="Sheets">TRANSPOSE(GET.WORKBOOK(1))&amp;T(NOW())</definedName>
    <definedName name="spacetype" localSheetId="15">Instructions!$S$45:$S$107</definedName>
    <definedName name="spacetype" localSheetId="14">Instructions!$S$45:$S$107</definedName>
    <definedName name="spacetype" localSheetId="16">Instructions!$S$45:$S$107</definedName>
    <definedName name="spacetype" localSheetId="12">Instructions!$S$45:$S$107</definedName>
    <definedName name="spacetype" localSheetId="20">Instructions!$S$45:$S$107</definedName>
    <definedName name="spacetype" localSheetId="22">Instructions!$S$45:$S$107</definedName>
    <definedName name="spacetype" localSheetId="19">Instructions!$S$45:$S$107</definedName>
    <definedName name="spacetype" localSheetId="13">Instructions!$S$45:$S$107</definedName>
    <definedName name="spacetype" localSheetId="17">Instructions!$S$45:$S$107</definedName>
    <definedName name="spacetype" localSheetId="18">Instructions!$S$45:$S$107</definedName>
    <definedName name="spacetype" localSheetId="21">Instructions!$S$45:$S$107</definedName>
    <definedName name="spacetype">Instructions!$S$36:$S$91</definedName>
    <definedName name="sumAnchor">'CO2 Readings'!$F$30:$F$47</definedName>
    <definedName name="sumAnchorVOC">'TVOC Readings'!$G$29:$G$46</definedName>
    <definedName name="sumDate">'CO2 Readings'!$G$30:$G$47</definedName>
    <definedName name="sumDateVOC">'TVOC Readings'!$H$29:$H$46</definedName>
    <definedName name="UniqueDate">'CO2 Readings'!$B$53</definedName>
    <definedName name="UniqueDateVOC">'TVOC Readings'!$B$52</definedName>
    <definedName name="UniqueLoc">'CO2 Readings'!$C$53</definedName>
    <definedName name="UniqueLocVOC">'TVOC Readings'!$C$52</definedName>
    <definedName name="Units">Instructions!$M$6:$M$7</definedName>
    <definedName name="UserFormat">'CO2 Readings'!$A$56:$E$56</definedName>
    <definedName name="validUnits">Instructions!$L$323:$L$341</definedName>
    <definedName name="water_meter_type" localSheetId="11">'Water meter via upload'!$H$51:$I$63</definedName>
    <definedName name="water_meter_type">base_w!$H$27:$I$39</definedName>
    <definedName name="water_type" localSheetId="11">'Water meter via upload'!$H$51:$I$63</definedName>
    <definedName name="water_type">base_w!$H$27:$I$39</definedName>
    <definedName name="water_units" localSheetId="11">'Water meter via upload'!$H$39:$H$47</definedName>
    <definedName name="water_units">base_w!$H$15:$H$23</definedName>
    <definedName name="WaterDrp" localSheetId="15">base_w!$I$9:$I$11</definedName>
    <definedName name="WaterDrp" localSheetId="14">base_w!$I$9:$I$11</definedName>
    <definedName name="WaterDrp" localSheetId="16">base_w!$I$9:$I$11</definedName>
    <definedName name="WaterDrp" localSheetId="12">base_w!$I$9:$I$11</definedName>
    <definedName name="WaterDrp" localSheetId="20">base_w!$I$9:$I$11</definedName>
    <definedName name="WaterDrp" localSheetId="22">base_w!$I$9:$I$11</definedName>
    <definedName name="WaterDrp" localSheetId="19">base_w!$I$9:$I$11</definedName>
    <definedName name="WaterDrp" localSheetId="13">base_w!$I$9:$I$11</definedName>
    <definedName name="WaterDrp" localSheetId="17">base_w!$I$9:$I$11</definedName>
    <definedName name="WaterDrp" localSheetId="18">base_w!$I$9:$I$11</definedName>
    <definedName name="WaterDrp" localSheetId="11">'Water meter via upload'!$I$33:$I$35</definedName>
    <definedName name="WaterDrp" localSheetId="21">base_w!$I$9:$I$11</definedName>
    <definedName name="WaterDrp">base_w!$I$9:$I$11</definedName>
    <definedName name="waterType" localSheetId="11">'Water meter via upload'!$H$51:$H$63</definedName>
    <definedName name="waterType">base_w!$H$27:$H$39</definedName>
    <definedName name="waterUnits" localSheetId="11">'Water meter via upload'!$J$34:$J$38</definedName>
    <definedName name="waterUnits">base_w!$J$10:$J$14</definedName>
    <definedName name="watUn" localSheetId="11">'Water meter via upload'!$H$39:$H$47</definedName>
    <definedName name="watUn">base_w!$H$15:$H$23</definedName>
    <definedName name="watUni" localSheetId="15">base_w!$H$15:$H$29</definedName>
    <definedName name="watUni" localSheetId="14">base_w!$H$15:$H$29</definedName>
    <definedName name="watUni" localSheetId="16">base_w!$H$15:$H$29</definedName>
    <definedName name="watUni" localSheetId="12">base_w!$H$15:$H$29</definedName>
    <definedName name="watUni" localSheetId="20">base_w!$H$15:$H$29</definedName>
    <definedName name="watUni" localSheetId="22">base_w!$H$15:$H$29</definedName>
    <definedName name="watUni" localSheetId="19">base_w!$H$15:$H$29</definedName>
    <definedName name="watUni" localSheetId="13">base_w!$H$15:$H$29</definedName>
    <definedName name="watUni" localSheetId="17">base_w!$H$15:$H$29</definedName>
    <definedName name="watUni" localSheetId="18">base_w!$H$15:$H$29</definedName>
    <definedName name="watUni" localSheetId="11">'Water meter via upload'!$H$39:$H$53</definedName>
    <definedName name="watUni" localSheetId="21">base_w!$H$15:$H$29</definedName>
    <definedName name="watUni">base_w!$H$15:$H$29</definedName>
    <definedName name="waUn">'Waste Stream'!$I$36:$I$42</definedName>
    <definedName name="waunit">'Waste Stream'!$J$33:$J$35</definedName>
    <definedName name="Wood" localSheetId="15">Acetaldehyde!$H$16:$H$27</definedName>
    <definedName name="Wood" localSheetId="14">'Atmospheric Particulate Matter'!$H$16:$H$27</definedName>
    <definedName name="Wood" localSheetId="16">Benzene!$H$16:$H$27</definedName>
    <definedName name="Wood" localSheetId="12">'Carbon Monoxide'!$H$16:$H$27</definedName>
    <definedName name="Wood" localSheetId="20">Dichlorobenzene!$H$16:$H$27</definedName>
    <definedName name="Wood" localSheetId="22">Formaldehyde!$H$16:$H$27</definedName>
    <definedName name="Wood" localSheetId="19">'Naphthalene '!$H$16:$H$27</definedName>
    <definedName name="Wood" localSheetId="13">Ozone!$H$16:$H$27</definedName>
    <definedName name="Wood" localSheetId="17">Styrene!$H$16:$H$27</definedName>
    <definedName name="Wood" localSheetId="18">Toluene!$H$16:$H$27</definedName>
    <definedName name="Wood" localSheetId="21">'Xylenes-total'!$H$16:$H$27</definedName>
    <definedName name="Wood">base_f!$H$16:$H$27</definedName>
    <definedName name="woods" localSheetId="15">Acetaldehyde!$H$16:$H$22</definedName>
    <definedName name="woods" localSheetId="14">'Atmospheric Particulate Matter'!$H$16:$H$22</definedName>
    <definedName name="woods" localSheetId="16">Benzene!$H$16:$H$22</definedName>
    <definedName name="woods" localSheetId="12">'Carbon Monoxide'!$H$16:$H$22</definedName>
    <definedName name="woods" localSheetId="20">Dichlorobenzene!$H$16:$H$22</definedName>
    <definedName name="woods" localSheetId="22">Formaldehyde!$H$16:$H$22</definedName>
    <definedName name="woods" localSheetId="19">'Naphthalene '!$H$16:$H$22</definedName>
    <definedName name="woods" localSheetId="13">Ozone!$H$16:$H$22</definedName>
    <definedName name="woods" localSheetId="17">Styrene!$H$16:$H$22</definedName>
    <definedName name="woods" localSheetId="18">Toluene!$H$16:$H$22</definedName>
    <definedName name="woods" localSheetId="21">'Xylenes-total'!$H$16:$H$22</definedName>
    <definedName name="woods">base_f!$H$16:$H$22</definedName>
    <definedName name="woodunit" localSheetId="15">Acetaldehyde!$H$16:$H$22</definedName>
    <definedName name="woodunit" localSheetId="14">'Atmospheric Particulate Matter'!$H$16:$H$22</definedName>
    <definedName name="woodunit" localSheetId="16">Benzene!$H$16:$H$22</definedName>
    <definedName name="woodunit" localSheetId="12">'Carbon Monoxide'!$H$16:$H$22</definedName>
    <definedName name="woodunit" localSheetId="20">Dichlorobenzene!$H$16:$H$22</definedName>
    <definedName name="woodunit" localSheetId="22">Formaldehyde!$H$16:$H$22</definedName>
    <definedName name="woodunit" localSheetId="19">'Naphthalene '!$H$16:$H$22</definedName>
    <definedName name="woodunit" localSheetId="13">Ozone!$H$16:$H$22</definedName>
    <definedName name="woodunit" localSheetId="17">Styrene!$H$16:$H$22</definedName>
    <definedName name="woodunit" localSheetId="18">Toluene!$H$16:$H$22</definedName>
    <definedName name="woodunit" localSheetId="21">'Xylenes-total'!$H$16:$H$22</definedName>
    <definedName name="woodunit">base_f!$H$16:$H$22</definedName>
    <definedName name="zep" localSheetId="11">'Water meter via upload'!$J$32</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13" l="1"/>
  <c r="E8" i="13" s="1"/>
  <c r="B8" i="13" s="1"/>
  <c r="B7" i="13"/>
  <c r="D7" i="13" s="1" a="1"/>
  <c r="D7" i="13" s="1"/>
  <c r="A7" i="13" s="1"/>
  <c r="AF31" i="15" a="1"/>
  <c r="AF31" i="15" s="1"/>
  <c r="AE31" i="15" a="1"/>
  <c r="AE31" i="15" s="1"/>
  <c r="AD31" i="15" a="1"/>
  <c r="AD31" i="15" s="1"/>
  <c r="AC31" i="15" a="1"/>
  <c r="AC31" i="15" s="1"/>
  <c r="AB31" i="15" a="1"/>
  <c r="AB31" i="15" s="1"/>
  <c r="AA31" i="15" a="1"/>
  <c r="AA31" i="15" s="1"/>
  <c r="Z31" i="15" a="1"/>
  <c r="Z31" i="15" s="1"/>
  <c r="Y31" i="15" a="1"/>
  <c r="Y31" i="15" s="1"/>
  <c r="X31" i="15" a="1"/>
  <c r="X31" i="15" s="1"/>
  <c r="W31" i="15" a="1"/>
  <c r="W31" i="15" s="1"/>
  <c r="V31" i="15" a="1"/>
  <c r="V31" i="15" s="1"/>
  <c r="U31" i="15" a="1"/>
  <c r="U31" i="15" s="1"/>
  <c r="T31" i="15" a="1"/>
  <c r="T31" i="15" s="1"/>
  <c r="S31" i="15" a="1"/>
  <c r="S31" i="15" s="1"/>
  <c r="R31" i="15" a="1"/>
  <c r="R31" i="15" s="1"/>
  <c r="Q31" i="15" a="1"/>
  <c r="Q31" i="15" s="1"/>
  <c r="P31" i="15" a="1"/>
  <c r="P31" i="15" s="1"/>
  <c r="O31" i="15" a="1"/>
  <c r="O31" i="15" s="1"/>
  <c r="N31" i="15" a="1"/>
  <c r="N31" i="15" s="1"/>
  <c r="M31" i="15" a="1"/>
  <c r="M31" i="15" s="1"/>
  <c r="L31" i="15" a="1"/>
  <c r="L31" i="15" s="1"/>
  <c r="K31" i="15" a="1"/>
  <c r="K31" i="15" s="1"/>
  <c r="J31" i="15" a="1"/>
  <c r="J31" i="15" s="1"/>
  <c r="I31" i="15" a="1"/>
  <c r="I31" i="15" s="1"/>
  <c r="E7" i="12"/>
  <c r="B7" i="12" s="1"/>
  <c r="D7" i="12" s="1"/>
  <c r="A7" i="12" s="1"/>
  <c r="AE32" i="14" a="1"/>
  <c r="AE32" i="14" s="1"/>
  <c r="AD32" i="14" a="1"/>
  <c r="AD32" i="14" s="1"/>
  <c r="AC32" i="14" a="1"/>
  <c r="AC32" i="14" s="1"/>
  <c r="AB32" i="14" a="1"/>
  <c r="AB32" i="14" s="1"/>
  <c r="AA32" i="14" a="1"/>
  <c r="AA32" i="14" s="1"/>
  <c r="Z32" i="14" a="1"/>
  <c r="Z32" i="14" s="1"/>
  <c r="Y32" i="14" a="1"/>
  <c r="Y32" i="14" s="1"/>
  <c r="X32" i="14" a="1"/>
  <c r="X32" i="14" s="1"/>
  <c r="W32" i="14" a="1"/>
  <c r="W32" i="14" s="1"/>
  <c r="V32" i="14" a="1"/>
  <c r="V32" i="14" s="1"/>
  <c r="U32" i="14" a="1"/>
  <c r="U32" i="14" s="1"/>
  <c r="T32" i="14" a="1"/>
  <c r="T32" i="14" s="1"/>
  <c r="S32" i="14" a="1"/>
  <c r="S32" i="14" s="1"/>
  <c r="R32" i="14" a="1"/>
  <c r="R32" i="14" s="1"/>
  <c r="Q32" i="14" a="1"/>
  <c r="Q32" i="14" s="1"/>
  <c r="P32" i="14" a="1"/>
  <c r="P32" i="14" s="1"/>
  <c r="O32" i="14" a="1"/>
  <c r="O32" i="14" s="1"/>
  <c r="N32" i="14" a="1"/>
  <c r="N32" i="14" s="1"/>
  <c r="M32" i="14" a="1"/>
  <c r="M32" i="14" s="1"/>
  <c r="L32" i="14" a="1"/>
  <c r="L32" i="14" s="1"/>
  <c r="K32" i="14" a="1"/>
  <c r="K32" i="14" s="1"/>
  <c r="J32" i="14" a="1"/>
  <c r="J32" i="14" s="1"/>
  <c r="I32" i="14" a="1"/>
  <c r="I32" i="14" s="1"/>
  <c r="H32" i="14" a="1"/>
  <c r="H32" i="14" s="1"/>
  <c r="C8" i="13" l="1"/>
  <c r="D8" i="13" a="1"/>
  <c r="D8" i="13" s="1"/>
  <c r="A8" i="13" s="1"/>
  <c r="E9" i="13"/>
  <c r="C7" i="13"/>
  <c r="AF29" i="15"/>
  <c r="AF39" i="15" a="1"/>
  <c r="AF39" i="15" s="1"/>
  <c r="AF35" i="15" a="1"/>
  <c r="AF35" i="15" s="1"/>
  <c r="AF45" i="15"/>
  <c r="AF41" i="15" a="1"/>
  <c r="AF41" i="15" s="1"/>
  <c r="AF37" i="15" a="1"/>
  <c r="AF37" i="15" s="1"/>
  <c r="AF33" i="15" a="1"/>
  <c r="AF33" i="15" s="1"/>
  <c r="AF40" i="15" a="1"/>
  <c r="AF40" i="15" s="1"/>
  <c r="AF36" i="15" a="1"/>
  <c r="AF36" i="15" s="1"/>
  <c r="AF42" i="15" a="1"/>
  <c r="AF42" i="15" s="1"/>
  <c r="AF38" i="15" a="1"/>
  <c r="AF38" i="15" s="1"/>
  <c r="AF34" i="15" a="1"/>
  <c r="AF34" i="15" s="1"/>
  <c r="AE29" i="15"/>
  <c r="AE39" i="15" a="1"/>
  <c r="AE39" i="15" s="1"/>
  <c r="AE35" i="15" a="1"/>
  <c r="AE35" i="15" s="1"/>
  <c r="AE45" i="15"/>
  <c r="AE41" i="15" a="1"/>
  <c r="AE41" i="15" s="1"/>
  <c r="AE37" i="15" a="1"/>
  <c r="AE37" i="15" s="1"/>
  <c r="AE33" i="15" a="1"/>
  <c r="AE33" i="15" s="1"/>
  <c r="AE40" i="15" a="1"/>
  <c r="AE40" i="15" s="1"/>
  <c r="AE36" i="15" a="1"/>
  <c r="AE36" i="15" s="1"/>
  <c r="AE42" i="15" a="1"/>
  <c r="AE42" i="15" s="1"/>
  <c r="AE38" i="15" a="1"/>
  <c r="AE38" i="15" s="1"/>
  <c r="AE34" i="15" a="1"/>
  <c r="AE34" i="15" s="1"/>
  <c r="AD29" i="15"/>
  <c r="AD45" i="15"/>
  <c r="AD41" i="15" a="1"/>
  <c r="AD41" i="15" s="1"/>
  <c r="AD39" i="15" a="1"/>
  <c r="AD39" i="15" s="1"/>
  <c r="AD37" i="15" a="1"/>
  <c r="AD37" i="15" s="1"/>
  <c r="AD35" i="15" a="1"/>
  <c r="AD35" i="15" s="1"/>
  <c r="AD33" i="15" a="1"/>
  <c r="AD33" i="15" s="1"/>
  <c r="AD38" i="15" a="1"/>
  <c r="AD38" i="15" s="1"/>
  <c r="AD42" i="15" a="1"/>
  <c r="AD42" i="15" s="1"/>
  <c r="AD40" i="15" a="1"/>
  <c r="AD40" i="15" s="1"/>
  <c r="AD36" i="15" a="1"/>
  <c r="AD36" i="15" s="1"/>
  <c r="AD34" i="15" a="1"/>
  <c r="AD34" i="15" s="1"/>
  <c r="AC29" i="15"/>
  <c r="AC39" i="15" a="1"/>
  <c r="AC39" i="15" s="1"/>
  <c r="AC35" i="15" a="1"/>
  <c r="AC35" i="15" s="1"/>
  <c r="AC45" i="15"/>
  <c r="AC41" i="15" a="1"/>
  <c r="AC41" i="15" s="1"/>
  <c r="AC37" i="15" a="1"/>
  <c r="AC37" i="15" s="1"/>
  <c r="AC33" i="15" a="1"/>
  <c r="AC33" i="15" s="1"/>
  <c r="AC40" i="15" a="1"/>
  <c r="AC40" i="15" s="1"/>
  <c r="AC36" i="15" a="1"/>
  <c r="AC36" i="15" s="1"/>
  <c r="AC42" i="15" a="1"/>
  <c r="AC42" i="15" s="1"/>
  <c r="AC38" i="15" a="1"/>
  <c r="AC38" i="15" s="1"/>
  <c r="AC34" i="15" a="1"/>
  <c r="AC34" i="15" s="1"/>
  <c r="AB29" i="15"/>
  <c r="AB39" i="15" a="1"/>
  <c r="AB39" i="15" s="1"/>
  <c r="AB35" i="15" a="1"/>
  <c r="AB35" i="15" s="1"/>
  <c r="AB45" i="15"/>
  <c r="AB41" i="15" a="1"/>
  <c r="AB41" i="15" s="1"/>
  <c r="AB37" i="15" a="1"/>
  <c r="AB37" i="15" s="1"/>
  <c r="AB33" i="15" a="1"/>
  <c r="AB33" i="15" s="1"/>
  <c r="AB40" i="15" a="1"/>
  <c r="AB40" i="15" s="1"/>
  <c r="AB36" i="15" a="1"/>
  <c r="AB36" i="15" s="1"/>
  <c r="AB42" i="15" a="1"/>
  <c r="AB42" i="15" s="1"/>
  <c r="AB38" i="15" a="1"/>
  <c r="AB38" i="15" s="1"/>
  <c r="AB34" i="15" a="1"/>
  <c r="AB34" i="15" s="1"/>
  <c r="AA29" i="15"/>
  <c r="AA39" i="15" a="1"/>
  <c r="AA39" i="15" s="1"/>
  <c r="AA35" i="15" a="1"/>
  <c r="AA35" i="15" s="1"/>
  <c r="AA45" i="15"/>
  <c r="AA41" i="15" a="1"/>
  <c r="AA41" i="15" s="1"/>
  <c r="AA37" i="15" a="1"/>
  <c r="AA37" i="15" s="1"/>
  <c r="AA33" i="15" a="1"/>
  <c r="AA33" i="15" s="1"/>
  <c r="AA40" i="15" a="1"/>
  <c r="AA40" i="15" s="1"/>
  <c r="AA36" i="15" a="1"/>
  <c r="AA36" i="15" s="1"/>
  <c r="AA42" i="15" a="1"/>
  <c r="AA42" i="15" s="1"/>
  <c r="AA38" i="15" a="1"/>
  <c r="AA38" i="15" s="1"/>
  <c r="AA34" i="15" a="1"/>
  <c r="AA34" i="15" s="1"/>
  <c r="Z29" i="15"/>
  <c r="Z39" i="15" a="1"/>
  <c r="Z39" i="15" s="1"/>
  <c r="Z35" i="15" a="1"/>
  <c r="Z35" i="15" s="1"/>
  <c r="Z45" i="15"/>
  <c r="Z41" i="15" a="1"/>
  <c r="Z41" i="15" s="1"/>
  <c r="Z37" i="15" a="1"/>
  <c r="Z37" i="15" s="1"/>
  <c r="Z33" i="15" a="1"/>
  <c r="Z33" i="15" s="1"/>
  <c r="Z40" i="15" a="1"/>
  <c r="Z40" i="15" s="1"/>
  <c r="Z36" i="15" a="1"/>
  <c r="Z36" i="15" s="1"/>
  <c r="Z42" i="15" a="1"/>
  <c r="Z42" i="15" s="1"/>
  <c r="Z38" i="15" a="1"/>
  <c r="Z38" i="15" s="1"/>
  <c r="Z34" i="15" a="1"/>
  <c r="Z34" i="15" s="1"/>
  <c r="Y29" i="15"/>
  <c r="Y39" i="15" a="1"/>
  <c r="Y39" i="15" s="1"/>
  <c r="Y35" i="15" a="1"/>
  <c r="Y35" i="15" s="1"/>
  <c r="Y45" i="15"/>
  <c r="Y41" i="15" a="1"/>
  <c r="Y41" i="15" s="1"/>
  <c r="Y37" i="15" a="1"/>
  <c r="Y37" i="15" s="1"/>
  <c r="Y33" i="15" a="1"/>
  <c r="Y33" i="15" s="1"/>
  <c r="Y40" i="15" a="1"/>
  <c r="Y40" i="15" s="1"/>
  <c r="Y36" i="15" a="1"/>
  <c r="Y36" i="15" s="1"/>
  <c r="Y42" i="15" a="1"/>
  <c r="Y42" i="15" s="1"/>
  <c r="Y38" i="15" a="1"/>
  <c r="Y38" i="15" s="1"/>
  <c r="Y34" i="15" a="1"/>
  <c r="Y34" i="15" s="1"/>
  <c r="X29" i="15"/>
  <c r="X39" i="15" a="1"/>
  <c r="X39" i="15" s="1"/>
  <c r="X35" i="15" a="1"/>
  <c r="X35" i="15" s="1"/>
  <c r="X45" i="15"/>
  <c r="X41" i="15" a="1"/>
  <c r="X41" i="15" s="1"/>
  <c r="X37" i="15" a="1"/>
  <c r="X37" i="15" s="1"/>
  <c r="X33" i="15" a="1"/>
  <c r="X33" i="15" s="1"/>
  <c r="X40" i="15" a="1"/>
  <c r="X40" i="15" s="1"/>
  <c r="X36" i="15" a="1"/>
  <c r="X36" i="15" s="1"/>
  <c r="X42" i="15" a="1"/>
  <c r="X42" i="15" s="1"/>
  <c r="X38" i="15" a="1"/>
  <c r="X38" i="15" s="1"/>
  <c r="X34" i="15" a="1"/>
  <c r="X34" i="15" s="1"/>
  <c r="W29" i="15"/>
  <c r="W39" i="15" a="1"/>
  <c r="W39" i="15" s="1"/>
  <c r="W35" i="15" a="1"/>
  <c r="W35" i="15" s="1"/>
  <c r="W45" i="15"/>
  <c r="W41" i="15" a="1"/>
  <c r="W41" i="15" s="1"/>
  <c r="W37" i="15" a="1"/>
  <c r="W37" i="15" s="1"/>
  <c r="W33" i="15" a="1"/>
  <c r="W33" i="15" s="1"/>
  <c r="W40" i="15" a="1"/>
  <c r="W40" i="15" s="1"/>
  <c r="W38" i="15" a="1"/>
  <c r="W38" i="15" s="1"/>
  <c r="W42" i="15" a="1"/>
  <c r="W42" i="15" s="1"/>
  <c r="W36" i="15" a="1"/>
  <c r="W36" i="15" s="1"/>
  <c r="W34" i="15" a="1"/>
  <c r="W34" i="15" s="1"/>
  <c r="V29" i="15"/>
  <c r="V39" i="15" a="1"/>
  <c r="V39" i="15" s="1"/>
  <c r="V35" i="15" a="1"/>
  <c r="V35" i="15" s="1"/>
  <c r="V45" i="15"/>
  <c r="V41" i="15" a="1"/>
  <c r="V41" i="15" s="1"/>
  <c r="V37" i="15" a="1"/>
  <c r="V37" i="15" s="1"/>
  <c r="V33" i="15" a="1"/>
  <c r="V33" i="15" s="1"/>
  <c r="V40" i="15" a="1"/>
  <c r="V40" i="15" s="1"/>
  <c r="V36" i="15" a="1"/>
  <c r="V36" i="15" s="1"/>
  <c r="V42" i="15" a="1"/>
  <c r="V42" i="15" s="1"/>
  <c r="V38" i="15" a="1"/>
  <c r="V38" i="15" s="1"/>
  <c r="V34" i="15" a="1"/>
  <c r="V34" i="15" s="1"/>
  <c r="U29" i="15"/>
  <c r="U39" i="15" a="1"/>
  <c r="U39" i="15" s="1"/>
  <c r="U37" i="15" a="1"/>
  <c r="U37" i="15" s="1"/>
  <c r="U33" i="15" a="1"/>
  <c r="U33" i="15" s="1"/>
  <c r="U34" i="15" a="1"/>
  <c r="U34" i="15" s="1"/>
  <c r="U45" i="15"/>
  <c r="U41" i="15" a="1"/>
  <c r="U41" i="15" s="1"/>
  <c r="U35" i="15" a="1"/>
  <c r="U35" i="15" s="1"/>
  <c r="U42" i="15" a="1"/>
  <c r="U42" i="15" s="1"/>
  <c r="U40" i="15" a="1"/>
  <c r="U40" i="15" s="1"/>
  <c r="U38" i="15" a="1"/>
  <c r="U38" i="15" s="1"/>
  <c r="U36" i="15" a="1"/>
  <c r="U36" i="15" s="1"/>
  <c r="T29" i="15"/>
  <c r="T33" i="15" a="1"/>
  <c r="T33" i="15" s="1"/>
  <c r="T45" i="15"/>
  <c r="T41" i="15" a="1"/>
  <c r="T41" i="15" s="1"/>
  <c r="T39" i="15" a="1"/>
  <c r="T39" i="15" s="1"/>
  <c r="T37" i="15" a="1"/>
  <c r="T37" i="15" s="1"/>
  <c r="T35" i="15" a="1"/>
  <c r="T35" i="15" s="1"/>
  <c r="T34" i="15" a="1"/>
  <c r="T34" i="15" s="1"/>
  <c r="T42" i="15" a="1"/>
  <c r="T42" i="15" s="1"/>
  <c r="T40" i="15" a="1"/>
  <c r="T40" i="15" s="1"/>
  <c r="T38" i="15" a="1"/>
  <c r="T38" i="15" s="1"/>
  <c r="T36" i="15" a="1"/>
  <c r="T36" i="15" s="1"/>
  <c r="S29" i="15"/>
  <c r="S39" i="15" a="1"/>
  <c r="S39" i="15" s="1"/>
  <c r="S35" i="15" a="1"/>
  <c r="S35" i="15" s="1"/>
  <c r="S45" i="15"/>
  <c r="S41" i="15" a="1"/>
  <c r="S41" i="15" s="1"/>
  <c r="S37" i="15" a="1"/>
  <c r="S37" i="15" s="1"/>
  <c r="S33" i="15" a="1"/>
  <c r="S33" i="15" s="1"/>
  <c r="S40" i="15" a="1"/>
  <c r="S40" i="15" s="1"/>
  <c r="S36" i="15" a="1"/>
  <c r="S36" i="15" s="1"/>
  <c r="S42" i="15" a="1"/>
  <c r="S42" i="15" s="1"/>
  <c r="S38" i="15" a="1"/>
  <c r="S38" i="15" s="1"/>
  <c r="S34" i="15" a="1"/>
  <c r="S34" i="15" s="1"/>
  <c r="R29" i="15"/>
  <c r="R39" i="15" a="1"/>
  <c r="R39" i="15" s="1"/>
  <c r="R35" i="15" a="1"/>
  <c r="R35" i="15" s="1"/>
  <c r="R45" i="15"/>
  <c r="R41" i="15" a="1"/>
  <c r="R41" i="15" s="1"/>
  <c r="R37" i="15" a="1"/>
  <c r="R37" i="15" s="1"/>
  <c r="R33" i="15" a="1"/>
  <c r="R33" i="15" s="1"/>
  <c r="R40" i="15" a="1"/>
  <c r="R40" i="15" s="1"/>
  <c r="R36" i="15" a="1"/>
  <c r="R36" i="15" s="1"/>
  <c r="R42" i="15" a="1"/>
  <c r="R42" i="15" s="1"/>
  <c r="R38" i="15" a="1"/>
  <c r="R38" i="15" s="1"/>
  <c r="R34" i="15" a="1"/>
  <c r="R34" i="15" s="1"/>
  <c r="Q29" i="15"/>
  <c r="Q39" i="15" a="1"/>
  <c r="Q39" i="15" s="1"/>
  <c r="Q35" i="15" a="1"/>
  <c r="Q35" i="15" s="1"/>
  <c r="Q45" i="15"/>
  <c r="Q41" i="15" a="1"/>
  <c r="Q41" i="15" s="1"/>
  <c r="Q37" i="15" a="1"/>
  <c r="Q37" i="15" s="1"/>
  <c r="Q33" i="15" a="1"/>
  <c r="Q33" i="15" s="1"/>
  <c r="Q40" i="15" a="1"/>
  <c r="Q40" i="15" s="1"/>
  <c r="Q36" i="15" a="1"/>
  <c r="Q36" i="15" s="1"/>
  <c r="Q42" i="15" a="1"/>
  <c r="Q42" i="15" s="1"/>
  <c r="Q38" i="15" a="1"/>
  <c r="Q38" i="15" s="1"/>
  <c r="Q34" i="15" a="1"/>
  <c r="Q34" i="15" s="1"/>
  <c r="P29" i="15"/>
  <c r="P39" i="15" a="1"/>
  <c r="P39" i="15" s="1"/>
  <c r="P35" i="15" a="1"/>
  <c r="P35" i="15" s="1"/>
  <c r="P45" i="15"/>
  <c r="P41" i="15" a="1"/>
  <c r="P41" i="15" s="1"/>
  <c r="P37" i="15" a="1"/>
  <c r="P37" i="15" s="1"/>
  <c r="P33" i="15" a="1"/>
  <c r="P33" i="15" s="1"/>
  <c r="P40" i="15" a="1"/>
  <c r="P40" i="15" s="1"/>
  <c r="P36" i="15" a="1"/>
  <c r="P36" i="15" s="1"/>
  <c r="P42" i="15" a="1"/>
  <c r="P42" i="15" s="1"/>
  <c r="P38" i="15" a="1"/>
  <c r="P38" i="15" s="1"/>
  <c r="P34" i="15" a="1"/>
  <c r="P34" i="15" s="1"/>
  <c r="O29" i="15"/>
  <c r="O39" i="15" a="1"/>
  <c r="O39" i="15" s="1"/>
  <c r="O35" i="15" a="1"/>
  <c r="O35" i="15" s="1"/>
  <c r="O45" i="15"/>
  <c r="O41" i="15" a="1"/>
  <c r="O41" i="15" s="1"/>
  <c r="O37" i="15" a="1"/>
  <c r="O37" i="15" s="1"/>
  <c r="O33" i="15" a="1"/>
  <c r="O33" i="15" s="1"/>
  <c r="O40" i="15" a="1"/>
  <c r="O40" i="15" s="1"/>
  <c r="O36" i="15" a="1"/>
  <c r="O36" i="15" s="1"/>
  <c r="O42" i="15" a="1"/>
  <c r="O42" i="15" s="1"/>
  <c r="O38" i="15" a="1"/>
  <c r="O38" i="15" s="1"/>
  <c r="O34" i="15" a="1"/>
  <c r="O34" i="15" s="1"/>
  <c r="N29" i="15"/>
  <c r="N35" i="15" a="1"/>
  <c r="N35" i="15" s="1"/>
  <c r="N45" i="15"/>
  <c r="N41" i="15" a="1"/>
  <c r="N41" i="15" s="1"/>
  <c r="N39" i="15" a="1"/>
  <c r="N39" i="15" s="1"/>
  <c r="N37" i="15" a="1"/>
  <c r="N37" i="15" s="1"/>
  <c r="N33" i="15" a="1"/>
  <c r="N33" i="15" s="1"/>
  <c r="N36" i="15" a="1"/>
  <c r="N36" i="15" s="1"/>
  <c r="N42" i="15" a="1"/>
  <c r="N42" i="15" s="1"/>
  <c r="N40" i="15" a="1"/>
  <c r="N40" i="15" s="1"/>
  <c r="N38" i="15" a="1"/>
  <c r="N38" i="15" s="1"/>
  <c r="N34" i="15" a="1"/>
  <c r="N34" i="15" s="1"/>
  <c r="M29" i="15"/>
  <c r="M33" i="15" a="1"/>
  <c r="M33" i="15" s="1"/>
  <c r="M45" i="15"/>
  <c r="M41" i="15" a="1"/>
  <c r="M41" i="15" s="1"/>
  <c r="M39" i="15" a="1"/>
  <c r="M39" i="15" s="1"/>
  <c r="M37" i="15" a="1"/>
  <c r="M37" i="15" s="1"/>
  <c r="M35" i="15" a="1"/>
  <c r="M35" i="15" s="1"/>
  <c r="M34" i="15" a="1"/>
  <c r="M34" i="15" s="1"/>
  <c r="M42" i="15" a="1"/>
  <c r="M42" i="15" s="1"/>
  <c r="M40" i="15" a="1"/>
  <c r="M40" i="15" s="1"/>
  <c r="M38" i="15" a="1"/>
  <c r="M38" i="15" s="1"/>
  <c r="M36" i="15" a="1"/>
  <c r="M36" i="15" s="1"/>
  <c r="L29" i="15"/>
  <c r="L39" i="15" a="1"/>
  <c r="L39" i="15" s="1"/>
  <c r="L35" i="15" a="1"/>
  <c r="L35" i="15" s="1"/>
  <c r="L45" i="15"/>
  <c r="L41" i="15" a="1"/>
  <c r="L41" i="15" s="1"/>
  <c r="L37" i="15" a="1"/>
  <c r="L37" i="15" s="1"/>
  <c r="L33" i="15" a="1"/>
  <c r="L33" i="15" s="1"/>
  <c r="L40" i="15" a="1"/>
  <c r="L40" i="15" s="1"/>
  <c r="L36" i="15" a="1"/>
  <c r="L36" i="15" s="1"/>
  <c r="L42" i="15" a="1"/>
  <c r="L42" i="15" s="1"/>
  <c r="L38" i="15" a="1"/>
  <c r="L38" i="15" s="1"/>
  <c r="L34" i="15" a="1"/>
  <c r="L34" i="15" s="1"/>
  <c r="K29" i="15"/>
  <c r="K45" i="15"/>
  <c r="K41" i="15" a="1"/>
  <c r="K41" i="15" s="1"/>
  <c r="K39" i="15" a="1"/>
  <c r="K39" i="15" s="1"/>
  <c r="K37" i="15" a="1"/>
  <c r="K37" i="15" s="1"/>
  <c r="K35" i="15" a="1"/>
  <c r="K35" i="15" s="1"/>
  <c r="K33" i="15" a="1"/>
  <c r="K33" i="15" s="1"/>
  <c r="K40" i="15" a="1"/>
  <c r="K40" i="15" s="1"/>
  <c r="K36" i="15" a="1"/>
  <c r="K36" i="15" s="1"/>
  <c r="K34" i="15" a="1"/>
  <c r="K34" i="15" s="1"/>
  <c r="K42" i="15" a="1"/>
  <c r="K42" i="15" s="1"/>
  <c r="K38" i="15" a="1"/>
  <c r="K38" i="15" s="1"/>
  <c r="J29" i="15"/>
  <c r="J33" i="15" a="1"/>
  <c r="J33" i="15" s="1"/>
  <c r="J45" i="15"/>
  <c r="J41" i="15" a="1"/>
  <c r="J41" i="15" s="1"/>
  <c r="J39" i="15" a="1"/>
  <c r="J39" i="15" s="1"/>
  <c r="J37" i="15" a="1"/>
  <c r="J37" i="15" s="1"/>
  <c r="J35" i="15" a="1"/>
  <c r="J35" i="15" s="1"/>
  <c r="J36" i="15" a="1"/>
  <c r="J36" i="15" s="1"/>
  <c r="J42" i="15" a="1"/>
  <c r="J42" i="15" s="1"/>
  <c r="J40" i="15" a="1"/>
  <c r="J40" i="15" s="1"/>
  <c r="J38" i="15" a="1"/>
  <c r="J38" i="15" s="1"/>
  <c r="J34" i="15" a="1"/>
  <c r="J34" i="15" s="1"/>
  <c r="I29" i="15"/>
  <c r="I35" i="15" a="1"/>
  <c r="I35" i="15" s="1"/>
  <c r="I45" i="15"/>
  <c r="I41" i="15" a="1"/>
  <c r="I41" i="15" s="1"/>
  <c r="I39" i="15" a="1"/>
  <c r="I39" i="15" s="1"/>
  <c r="I37" i="15" a="1"/>
  <c r="I37" i="15" s="1"/>
  <c r="I33" i="15" a="1"/>
  <c r="I33" i="15" s="1"/>
  <c r="I36" i="15" a="1"/>
  <c r="I36" i="15" s="1"/>
  <c r="I42" i="15" a="1"/>
  <c r="I42" i="15" s="1"/>
  <c r="I40" i="15" a="1"/>
  <c r="I40" i="15" s="1"/>
  <c r="I38" i="15" a="1"/>
  <c r="I38" i="15" s="1"/>
  <c r="I34" i="15" a="1"/>
  <c r="I34" i="15" s="1"/>
  <c r="E8" i="12"/>
  <c r="B8" i="12" s="1"/>
  <c r="C8" i="12" s="1"/>
  <c r="C7" i="12"/>
  <c r="AE30" i="14"/>
  <c r="AE46" i="14"/>
  <c r="AE42" i="14" a="1"/>
  <c r="AE42" i="14" s="1"/>
  <c r="AE40" i="14" a="1"/>
  <c r="AE40" i="14" s="1"/>
  <c r="AE38" i="14" a="1"/>
  <c r="AE38" i="14" s="1"/>
  <c r="AE36" i="14" a="1"/>
  <c r="AE36" i="14" s="1"/>
  <c r="AE34" i="14" a="1"/>
  <c r="AE34" i="14" s="1"/>
  <c r="AE35" i="14" a="1"/>
  <c r="AE35" i="14" s="1"/>
  <c r="AE43" i="14" a="1"/>
  <c r="AE43" i="14" s="1"/>
  <c r="AE41" i="14" a="1"/>
  <c r="AE41" i="14" s="1"/>
  <c r="AE39" i="14" a="1"/>
  <c r="AE39" i="14" s="1"/>
  <c r="AE37" i="14" a="1"/>
  <c r="AE37" i="14" s="1"/>
  <c r="AD30" i="14"/>
  <c r="AD38" i="14" a="1"/>
  <c r="AD38" i="14" s="1"/>
  <c r="AD46" i="14"/>
  <c r="AD42" i="14" a="1"/>
  <c r="AD42" i="14" s="1"/>
  <c r="AD40" i="14" a="1"/>
  <c r="AD40" i="14" s="1"/>
  <c r="AD36" i="14" a="1"/>
  <c r="AD36" i="14" s="1"/>
  <c r="AD34" i="14" a="1"/>
  <c r="AD34" i="14" s="1"/>
  <c r="AD39" i="14" a="1"/>
  <c r="AD39" i="14" s="1"/>
  <c r="AD43" i="14" a="1"/>
  <c r="AD43" i="14" s="1"/>
  <c r="AD41" i="14" a="1"/>
  <c r="AD41" i="14" s="1"/>
  <c r="AD37" i="14" a="1"/>
  <c r="AD37" i="14" s="1"/>
  <c r="AD35" i="14" a="1"/>
  <c r="AD35" i="14" s="1"/>
  <c r="AC30" i="14"/>
  <c r="AC40" i="14" a="1"/>
  <c r="AC40" i="14" s="1"/>
  <c r="AC36" i="14" a="1"/>
  <c r="AC36" i="14" s="1"/>
  <c r="AC46" i="14"/>
  <c r="AC42" i="14" a="1"/>
  <c r="AC42" i="14" s="1"/>
  <c r="AC38" i="14" a="1"/>
  <c r="AC38" i="14" s="1"/>
  <c r="AC34" i="14" a="1"/>
  <c r="AC34" i="14" s="1"/>
  <c r="AC41" i="14" a="1"/>
  <c r="AC41" i="14" s="1"/>
  <c r="AC39" i="14" a="1"/>
  <c r="AC39" i="14" s="1"/>
  <c r="AC35" i="14" a="1"/>
  <c r="AC35" i="14" s="1"/>
  <c r="AC43" i="14" a="1"/>
  <c r="AC43" i="14" s="1"/>
  <c r="AC37" i="14" a="1"/>
  <c r="AC37" i="14" s="1"/>
  <c r="AB30" i="14"/>
  <c r="AB40" i="14" a="1"/>
  <c r="AB40" i="14" s="1"/>
  <c r="AB36" i="14" a="1"/>
  <c r="AB36" i="14" s="1"/>
  <c r="AB46" i="14"/>
  <c r="AB42" i="14" a="1"/>
  <c r="AB42" i="14" s="1"/>
  <c r="AB38" i="14" a="1"/>
  <c r="AB38" i="14" s="1"/>
  <c r="AB34" i="14" a="1"/>
  <c r="AB34" i="14" s="1"/>
  <c r="AB41" i="14" a="1"/>
  <c r="AB41" i="14" s="1"/>
  <c r="AB37" i="14" a="1"/>
  <c r="AB37" i="14" s="1"/>
  <c r="AB43" i="14" a="1"/>
  <c r="AB43" i="14" s="1"/>
  <c r="AB39" i="14" a="1"/>
  <c r="AB39" i="14" s="1"/>
  <c r="AB35" i="14" a="1"/>
  <c r="AB35" i="14" s="1"/>
  <c r="AA46" i="14"/>
  <c r="AA42" i="14" a="1"/>
  <c r="AA42" i="14" s="1"/>
  <c r="AA40" i="14" a="1"/>
  <c r="AA40" i="14" s="1"/>
  <c r="AA38" i="14" a="1"/>
  <c r="AA38" i="14" s="1"/>
  <c r="AA36" i="14" a="1"/>
  <c r="AA36" i="14" s="1"/>
  <c r="AA34" i="14" a="1"/>
  <c r="AA34" i="14" s="1"/>
  <c r="AA41" i="14" a="1"/>
  <c r="AA41" i="14" s="1"/>
  <c r="AA35" i="14" a="1"/>
  <c r="AA35" i="14" s="1"/>
  <c r="AA30" i="14"/>
  <c r="AA43" i="14" a="1"/>
  <c r="AA43" i="14" s="1"/>
  <c r="AA39" i="14" a="1"/>
  <c r="AA39" i="14" s="1"/>
  <c r="AA37" i="14" a="1"/>
  <c r="AA37" i="14" s="1"/>
  <c r="Z30" i="14"/>
  <c r="Z40" i="14" a="1"/>
  <c r="Z40" i="14" s="1"/>
  <c r="Z38" i="14" a="1"/>
  <c r="Z38" i="14" s="1"/>
  <c r="Z34" i="14" a="1"/>
  <c r="Z34" i="14" s="1"/>
  <c r="Z46" i="14"/>
  <c r="Z42" i="14" a="1"/>
  <c r="Z42" i="14" s="1"/>
  <c r="Z36" i="14" a="1"/>
  <c r="Z36" i="14" s="1"/>
  <c r="Z41" i="14" a="1"/>
  <c r="Z41" i="14" s="1"/>
  <c r="Z39" i="14" a="1"/>
  <c r="Z39" i="14" s="1"/>
  <c r="Z35" i="14" a="1"/>
  <c r="Z35" i="14" s="1"/>
  <c r="Z43" i="14" a="1"/>
  <c r="Z43" i="14" s="1"/>
  <c r="Z37" i="14" a="1"/>
  <c r="Z37" i="14" s="1"/>
  <c r="Y30" i="14"/>
  <c r="Y40" i="14" a="1"/>
  <c r="Y40" i="14" s="1"/>
  <c r="Y38" i="14" a="1"/>
  <c r="Y38" i="14" s="1"/>
  <c r="Y34" i="14" a="1"/>
  <c r="Y34" i="14" s="1"/>
  <c r="Y46" i="14"/>
  <c r="Y42" i="14" a="1"/>
  <c r="Y42" i="14" s="1"/>
  <c r="Y36" i="14" a="1"/>
  <c r="Y36" i="14" s="1"/>
  <c r="Y41" i="14" a="1"/>
  <c r="Y41" i="14" s="1"/>
  <c r="Y39" i="14" a="1"/>
  <c r="Y39" i="14" s="1"/>
  <c r="Y35" i="14" a="1"/>
  <c r="Y35" i="14" s="1"/>
  <c r="Y43" i="14" a="1"/>
  <c r="Y43" i="14" s="1"/>
  <c r="Y37" i="14" a="1"/>
  <c r="Y37" i="14" s="1"/>
  <c r="X30" i="14"/>
  <c r="X40" i="14" a="1"/>
  <c r="X40" i="14" s="1"/>
  <c r="X38" i="14" a="1"/>
  <c r="X38" i="14" s="1"/>
  <c r="X34" i="14" a="1"/>
  <c r="X34" i="14" s="1"/>
  <c r="X46" i="14"/>
  <c r="X42" i="14" a="1"/>
  <c r="X42" i="14" s="1"/>
  <c r="X36" i="14" a="1"/>
  <c r="X36" i="14" s="1"/>
  <c r="X41" i="14" a="1"/>
  <c r="X41" i="14" s="1"/>
  <c r="X39" i="14" a="1"/>
  <c r="X39" i="14" s="1"/>
  <c r="X43" i="14" a="1"/>
  <c r="X43" i="14" s="1"/>
  <c r="X37" i="14" a="1"/>
  <c r="X37" i="14" s="1"/>
  <c r="X35" i="14" a="1"/>
  <c r="X35" i="14" s="1"/>
  <c r="W30" i="14"/>
  <c r="W40" i="14" a="1"/>
  <c r="W40" i="14" s="1"/>
  <c r="W36" i="14" a="1"/>
  <c r="W36" i="14" s="1"/>
  <c r="W46" i="14"/>
  <c r="W42" i="14" a="1"/>
  <c r="W42" i="14" s="1"/>
  <c r="W38" i="14" a="1"/>
  <c r="W38" i="14" s="1"/>
  <c r="W34" i="14" a="1"/>
  <c r="W34" i="14" s="1"/>
  <c r="W41" i="14" a="1"/>
  <c r="W41" i="14" s="1"/>
  <c r="W39" i="14" a="1"/>
  <c r="W39" i="14" s="1"/>
  <c r="W35" i="14" a="1"/>
  <c r="W35" i="14" s="1"/>
  <c r="W43" i="14" a="1"/>
  <c r="W43" i="14" s="1"/>
  <c r="W37" i="14" a="1"/>
  <c r="W37" i="14" s="1"/>
  <c r="V30" i="14"/>
  <c r="V40" i="14" a="1"/>
  <c r="V40" i="14" s="1"/>
  <c r="V38" i="14" a="1"/>
  <c r="V38" i="14" s="1"/>
  <c r="V34" i="14" a="1"/>
  <c r="V34" i="14" s="1"/>
  <c r="V46" i="14"/>
  <c r="V42" i="14" a="1"/>
  <c r="V42" i="14" s="1"/>
  <c r="V36" i="14" a="1"/>
  <c r="V36" i="14" s="1"/>
  <c r="V41" i="14" a="1"/>
  <c r="V41" i="14" s="1"/>
  <c r="V39" i="14" a="1"/>
  <c r="V39" i="14" s="1"/>
  <c r="V35" i="14" a="1"/>
  <c r="V35" i="14" s="1"/>
  <c r="V43" i="14" a="1"/>
  <c r="V43" i="14" s="1"/>
  <c r="V37" i="14" a="1"/>
  <c r="V37" i="14" s="1"/>
  <c r="U30" i="14"/>
  <c r="U40" i="14" a="1"/>
  <c r="U40" i="14" s="1"/>
  <c r="U36" i="14" a="1"/>
  <c r="U36" i="14" s="1"/>
  <c r="U46" i="14"/>
  <c r="U42" i="14" a="1"/>
  <c r="U42" i="14" s="1"/>
  <c r="U38" i="14" a="1"/>
  <c r="U38" i="14" s="1"/>
  <c r="U34" i="14" a="1"/>
  <c r="U34" i="14" s="1"/>
  <c r="U41" i="14" a="1"/>
  <c r="U41" i="14" s="1"/>
  <c r="U39" i="14" a="1"/>
  <c r="U39" i="14" s="1"/>
  <c r="U43" i="14" a="1"/>
  <c r="U43" i="14" s="1"/>
  <c r="U37" i="14" a="1"/>
  <c r="U37" i="14" s="1"/>
  <c r="U35" i="14" a="1"/>
  <c r="U35" i="14" s="1"/>
  <c r="T30" i="14"/>
  <c r="T40" i="14" a="1"/>
  <c r="T40" i="14" s="1"/>
  <c r="T38" i="14" a="1"/>
  <c r="T38" i="14" s="1"/>
  <c r="T34" i="14" a="1"/>
  <c r="T34" i="14" s="1"/>
  <c r="T46" i="14"/>
  <c r="T42" i="14" a="1"/>
  <c r="T42" i="14" s="1"/>
  <c r="T36" i="14" a="1"/>
  <c r="T36" i="14" s="1"/>
  <c r="T37" i="14" a="1"/>
  <c r="T37" i="14" s="1"/>
  <c r="T43" i="14" a="1"/>
  <c r="T43" i="14" s="1"/>
  <c r="T41" i="14" a="1"/>
  <c r="T41" i="14" s="1"/>
  <c r="T39" i="14" a="1"/>
  <c r="T39" i="14" s="1"/>
  <c r="T35" i="14" a="1"/>
  <c r="T35" i="14" s="1"/>
  <c r="S30" i="14"/>
  <c r="S40" i="14" a="1"/>
  <c r="S40" i="14" s="1"/>
  <c r="S36" i="14" a="1"/>
  <c r="S36" i="14" s="1"/>
  <c r="S46" i="14"/>
  <c r="S42" i="14" a="1"/>
  <c r="S42" i="14" s="1"/>
  <c r="S38" i="14" a="1"/>
  <c r="S38" i="14" s="1"/>
  <c r="S34" i="14" a="1"/>
  <c r="S34" i="14" s="1"/>
  <c r="S41" i="14" a="1"/>
  <c r="S41" i="14" s="1"/>
  <c r="S39" i="14" a="1"/>
  <c r="S39" i="14" s="1"/>
  <c r="S43" i="14" a="1"/>
  <c r="S43" i="14" s="1"/>
  <c r="S37" i="14" a="1"/>
  <c r="S37" i="14" s="1"/>
  <c r="S35" i="14" a="1"/>
  <c r="S35" i="14" s="1"/>
  <c r="R46" i="14"/>
  <c r="R42" i="14" a="1"/>
  <c r="R42" i="14" s="1"/>
  <c r="R40" i="14" a="1"/>
  <c r="R40" i="14" s="1"/>
  <c r="R38" i="14" a="1"/>
  <c r="R38" i="14" s="1"/>
  <c r="R36" i="14" a="1"/>
  <c r="R36" i="14" s="1"/>
  <c r="R34" i="14" a="1"/>
  <c r="R34" i="14" s="1"/>
  <c r="R30" i="14"/>
  <c r="R41" i="14" a="1"/>
  <c r="R41" i="14" s="1"/>
  <c r="R37" i="14" a="1"/>
  <c r="R37" i="14" s="1"/>
  <c r="R43" i="14" a="1"/>
  <c r="R43" i="14" s="1"/>
  <c r="R39" i="14" a="1"/>
  <c r="R39" i="14" s="1"/>
  <c r="R35" i="14" a="1"/>
  <c r="R35" i="14" s="1"/>
  <c r="Q30" i="14"/>
  <c r="Q40" i="14" a="1"/>
  <c r="Q40" i="14" s="1"/>
  <c r="Q38" i="14" a="1"/>
  <c r="Q38" i="14" s="1"/>
  <c r="Q34" i="14" a="1"/>
  <c r="Q34" i="14" s="1"/>
  <c r="Q35" i="14" a="1"/>
  <c r="Q35" i="14" s="1"/>
  <c r="Q46" i="14"/>
  <c r="Q42" i="14" a="1"/>
  <c r="Q42" i="14" s="1"/>
  <c r="Q36" i="14" a="1"/>
  <c r="Q36" i="14" s="1"/>
  <c r="Q37" i="14" a="1"/>
  <c r="Q37" i="14" s="1"/>
  <c r="Q43" i="14" a="1"/>
  <c r="Q43" i="14" s="1"/>
  <c r="Q41" i="14" a="1"/>
  <c r="Q41" i="14" s="1"/>
  <c r="Q39" i="14" a="1"/>
  <c r="Q39" i="14" s="1"/>
  <c r="P30" i="14"/>
  <c r="P40" i="14" a="1"/>
  <c r="P40" i="14" s="1"/>
  <c r="P38" i="14" a="1"/>
  <c r="P38" i="14" s="1"/>
  <c r="P34" i="14" a="1"/>
  <c r="P34" i="14" s="1"/>
  <c r="P46" i="14"/>
  <c r="P42" i="14" a="1"/>
  <c r="P42" i="14" s="1"/>
  <c r="P36" i="14" a="1"/>
  <c r="P36" i="14" s="1"/>
  <c r="P41" i="14" a="1"/>
  <c r="P41" i="14" s="1"/>
  <c r="P39" i="14" a="1"/>
  <c r="P39" i="14" s="1"/>
  <c r="P35" i="14" a="1"/>
  <c r="P35" i="14" s="1"/>
  <c r="P43" i="14" a="1"/>
  <c r="P43" i="14" s="1"/>
  <c r="P37" i="14" a="1"/>
  <c r="P37" i="14" s="1"/>
  <c r="O30" i="14"/>
  <c r="O40" i="14" a="1"/>
  <c r="O40" i="14" s="1"/>
  <c r="O38" i="14" a="1"/>
  <c r="O38" i="14" s="1"/>
  <c r="O34" i="14" a="1"/>
  <c r="O34" i="14" s="1"/>
  <c r="O46" i="14"/>
  <c r="O42" i="14" a="1"/>
  <c r="O42" i="14" s="1"/>
  <c r="O36" i="14" a="1"/>
  <c r="O36" i="14" s="1"/>
  <c r="O41" i="14" a="1"/>
  <c r="O41" i="14" s="1"/>
  <c r="O39" i="14" a="1"/>
  <c r="O39" i="14" s="1"/>
  <c r="O43" i="14" a="1"/>
  <c r="O43" i="14" s="1"/>
  <c r="O37" i="14" a="1"/>
  <c r="O37" i="14" s="1"/>
  <c r="O35" i="14" a="1"/>
  <c r="O35" i="14" s="1"/>
  <c r="N30" i="14"/>
  <c r="N40" i="14" a="1"/>
  <c r="N40" i="14" s="1"/>
  <c r="N36" i="14" a="1"/>
  <c r="N36" i="14" s="1"/>
  <c r="N46" i="14"/>
  <c r="N42" i="14" a="1"/>
  <c r="N42" i="14" s="1"/>
  <c r="N38" i="14" a="1"/>
  <c r="N38" i="14" s="1"/>
  <c r="N34" i="14" a="1"/>
  <c r="N34" i="14" s="1"/>
  <c r="N41" i="14" a="1"/>
  <c r="N41" i="14" s="1"/>
  <c r="N37" i="14" a="1"/>
  <c r="N37" i="14" s="1"/>
  <c r="N43" i="14" a="1"/>
  <c r="N43" i="14" s="1"/>
  <c r="N39" i="14" a="1"/>
  <c r="N39" i="14" s="1"/>
  <c r="N35" i="14" a="1"/>
  <c r="N35" i="14" s="1"/>
  <c r="M30" i="14"/>
  <c r="M40" i="14" a="1"/>
  <c r="M40" i="14" s="1"/>
  <c r="M38" i="14" a="1"/>
  <c r="M38" i="14" s="1"/>
  <c r="M34" i="14" a="1"/>
  <c r="M34" i="14" s="1"/>
  <c r="M46" i="14"/>
  <c r="M42" i="14" a="1"/>
  <c r="M42" i="14" s="1"/>
  <c r="M36" i="14" a="1"/>
  <c r="M36" i="14" s="1"/>
  <c r="M41" i="14" a="1"/>
  <c r="M41" i="14" s="1"/>
  <c r="M39" i="14" a="1"/>
  <c r="M39" i="14" s="1"/>
  <c r="M35" i="14" a="1"/>
  <c r="M35" i="14" s="1"/>
  <c r="M43" i="14" a="1"/>
  <c r="M43" i="14" s="1"/>
  <c r="M37" i="14" a="1"/>
  <c r="M37" i="14" s="1"/>
  <c r="L30" i="14"/>
  <c r="L40" i="14" a="1"/>
  <c r="L40" i="14" s="1"/>
  <c r="L36" i="14" a="1"/>
  <c r="L36" i="14" s="1"/>
  <c r="L37" i="14" a="1"/>
  <c r="L37" i="14" s="1"/>
  <c r="L46" i="14"/>
  <c r="L42" i="14" a="1"/>
  <c r="L42" i="14" s="1"/>
  <c r="L38" i="14" a="1"/>
  <c r="L38" i="14" s="1"/>
  <c r="L34" i="14" a="1"/>
  <c r="L34" i="14" s="1"/>
  <c r="L35" i="14" a="1"/>
  <c r="L35" i="14" s="1"/>
  <c r="L43" i="14" a="1"/>
  <c r="L43" i="14" s="1"/>
  <c r="L41" i="14" a="1"/>
  <c r="L41" i="14" s="1"/>
  <c r="L39" i="14" a="1"/>
  <c r="L39" i="14" s="1"/>
  <c r="K30" i="14"/>
  <c r="K40" i="14" a="1"/>
  <c r="K40" i="14" s="1"/>
  <c r="K38" i="14" a="1"/>
  <c r="K38" i="14" s="1"/>
  <c r="K35" i="14" a="1"/>
  <c r="K35" i="14" s="1"/>
  <c r="K46" i="14"/>
  <c r="K42" i="14" a="1"/>
  <c r="K42" i="14" s="1"/>
  <c r="K36" i="14" a="1"/>
  <c r="K36" i="14" s="1"/>
  <c r="K34" i="14" a="1"/>
  <c r="K34" i="14" s="1"/>
  <c r="K41" i="14" a="1"/>
  <c r="K41" i="14" s="1"/>
  <c r="K39" i="14" a="1"/>
  <c r="K39" i="14" s="1"/>
  <c r="K43" i="14" a="1"/>
  <c r="K43" i="14" s="1"/>
  <c r="K37" i="14" a="1"/>
  <c r="K37" i="14" s="1"/>
  <c r="J30" i="14"/>
  <c r="J40" i="14" a="1"/>
  <c r="J40" i="14" s="1"/>
  <c r="J38" i="14" a="1"/>
  <c r="J38" i="14" s="1"/>
  <c r="J34" i="14" a="1"/>
  <c r="J34" i="14" s="1"/>
  <c r="J46" i="14"/>
  <c r="J42" i="14" a="1"/>
  <c r="J42" i="14" s="1"/>
  <c r="J36" i="14" a="1"/>
  <c r="J36" i="14" s="1"/>
  <c r="J41" i="14" a="1"/>
  <c r="J41" i="14" s="1"/>
  <c r="J39" i="14" a="1"/>
  <c r="J39" i="14" s="1"/>
  <c r="J35" i="14" a="1"/>
  <c r="J35" i="14" s="1"/>
  <c r="J43" i="14" a="1"/>
  <c r="J43" i="14" s="1"/>
  <c r="J37" i="14" a="1"/>
  <c r="J37" i="14" s="1"/>
  <c r="I30" i="14"/>
  <c r="I40" i="14" a="1"/>
  <c r="I40" i="14" s="1"/>
  <c r="I38" i="14" a="1"/>
  <c r="I38" i="14" s="1"/>
  <c r="I34" i="14" a="1"/>
  <c r="I34" i="14" s="1"/>
  <c r="I46" i="14"/>
  <c r="I42" i="14" a="1"/>
  <c r="I42" i="14" s="1"/>
  <c r="I36" i="14" a="1"/>
  <c r="I36" i="14" s="1"/>
  <c r="I41" i="14" a="1"/>
  <c r="I41" i="14" s="1"/>
  <c r="I39" i="14" a="1"/>
  <c r="I39" i="14" s="1"/>
  <c r="I35" i="14" a="1"/>
  <c r="I35" i="14" s="1"/>
  <c r="I43" i="14" a="1"/>
  <c r="I43" i="14" s="1"/>
  <c r="I37" i="14" a="1"/>
  <c r="I37" i="14" s="1"/>
  <c r="H30" i="14"/>
  <c r="H40" i="14" a="1"/>
  <c r="H40" i="14" s="1"/>
  <c r="H38" i="14" a="1"/>
  <c r="H38" i="14" s="1"/>
  <c r="H34" i="14" a="1"/>
  <c r="H34" i="14" s="1"/>
  <c r="H46" i="14"/>
  <c r="H42" i="14" a="1"/>
  <c r="H42" i="14" s="1"/>
  <c r="H36" i="14" a="1"/>
  <c r="H36" i="14" s="1"/>
  <c r="H41" i="14" a="1"/>
  <c r="H41" i="14" s="1"/>
  <c r="H39" i="14" a="1"/>
  <c r="H39" i="14" s="1"/>
  <c r="H35" i="14" a="1"/>
  <c r="H35" i="14" s="1"/>
  <c r="H43" i="14" a="1"/>
  <c r="H43" i="14" s="1"/>
  <c r="H37" i="14" a="1"/>
  <c r="H37" i="14" s="1"/>
  <c r="D6" i="31"/>
  <c r="B1" i="31"/>
  <c r="D1" i="31" s="1"/>
  <c r="D6" i="30"/>
  <c r="B1" i="30"/>
  <c r="D1" i="30" s="1"/>
  <c r="E10" i="13" l="1"/>
  <c r="B9" i="13"/>
  <c r="AF46" i="15"/>
  <c r="AE46" i="15"/>
  <c r="AD46" i="15"/>
  <c r="AC46" i="15"/>
  <c r="AB46" i="15"/>
  <c r="AA46" i="15"/>
  <c r="Z46" i="15"/>
  <c r="Y46" i="15"/>
  <c r="X46" i="15"/>
  <c r="W46" i="15"/>
  <c r="V46" i="15"/>
  <c r="U46" i="15"/>
  <c r="T46" i="15"/>
  <c r="S46" i="15"/>
  <c r="R46" i="15"/>
  <c r="Q46" i="15"/>
  <c r="P46" i="15"/>
  <c r="O46" i="15"/>
  <c r="N46" i="15"/>
  <c r="M46" i="15"/>
  <c r="L46" i="15"/>
  <c r="K46" i="15"/>
  <c r="J46" i="15"/>
  <c r="I46" i="15"/>
  <c r="E9" i="12"/>
  <c r="E10" i="12" s="1"/>
  <c r="D8" i="12"/>
  <c r="A8" i="12" s="1"/>
  <c r="B9" i="12"/>
  <c r="AE47" i="14"/>
  <c r="AD47" i="14"/>
  <c r="AC47" i="14"/>
  <c r="AB47" i="14"/>
  <c r="AA47" i="14"/>
  <c r="Z47" i="14"/>
  <c r="Y47" i="14"/>
  <c r="X47" i="14"/>
  <c r="W47" i="14"/>
  <c r="V47" i="14"/>
  <c r="U47" i="14"/>
  <c r="T47" i="14"/>
  <c r="S47" i="14"/>
  <c r="R47" i="14"/>
  <c r="Q47" i="14"/>
  <c r="P47" i="14"/>
  <c r="O47" i="14"/>
  <c r="N47" i="14"/>
  <c r="M47" i="14"/>
  <c r="L47" i="14"/>
  <c r="K47" i="14"/>
  <c r="J47" i="14"/>
  <c r="I47" i="14"/>
  <c r="H47" i="14"/>
  <c r="D9" i="13" l="1" a="1"/>
  <c r="D9" i="13" s="1"/>
  <c r="A9" i="13" s="1"/>
  <c r="C9" i="13"/>
  <c r="B10" i="13"/>
  <c r="E11" i="13"/>
  <c r="B10" i="12"/>
  <c r="E11" i="12"/>
  <c r="D9" i="12"/>
  <c r="A9" i="12" s="1"/>
  <c r="C9" i="12"/>
  <c r="J9" i="16"/>
  <c r="J10" i="16"/>
  <c r="J11" i="16"/>
  <c r="J12" i="16"/>
  <c r="J13" i="16"/>
  <c r="J14" i="16"/>
  <c r="J15" i="16"/>
  <c r="J16" i="16"/>
  <c r="J17" i="16"/>
  <c r="J18" i="16"/>
  <c r="I19" i="16"/>
  <c r="E12" i="13" l="1"/>
  <c r="B11" i="13"/>
  <c r="C10" i="13"/>
  <c r="D10" i="13" a="1"/>
  <c r="D10" i="13" s="1"/>
  <c r="A10" i="13" s="1"/>
  <c r="B11" i="12"/>
  <c r="E12" i="12"/>
  <c r="C10" i="12"/>
  <c r="D10" i="12"/>
  <c r="A10" i="12" s="1"/>
  <c r="F19" i="16"/>
  <c r="D26" i="16" s="1"/>
  <c r="B12" i="13" l="1"/>
  <c r="E13" i="13"/>
  <c r="D11" i="13" a="1"/>
  <c r="D11" i="13" s="1"/>
  <c r="A11" i="13" s="1"/>
  <c r="C11" i="13"/>
  <c r="B12" i="12"/>
  <c r="E13" i="12"/>
  <c r="C11" i="12"/>
  <c r="D11" i="12"/>
  <c r="A11" i="12" s="1"/>
  <c r="K8" i="16"/>
  <c r="J8" i="16" s="1"/>
  <c r="K9" i="16"/>
  <c r="K10" i="16"/>
  <c r="K11" i="16"/>
  <c r="K12" i="16"/>
  <c r="K13" i="16"/>
  <c r="K14" i="16"/>
  <c r="K15" i="16"/>
  <c r="K16" i="16"/>
  <c r="K17" i="16"/>
  <c r="K18" i="16"/>
  <c r="K7" i="16"/>
  <c r="J7" i="16" s="1"/>
  <c r="E14" i="13" l="1"/>
  <c r="B13" i="13"/>
  <c r="C12" i="13"/>
  <c r="D12" i="13" a="1"/>
  <c r="D12" i="13" s="1"/>
  <c r="A12" i="13" s="1"/>
  <c r="B13" i="12"/>
  <c r="E14" i="12"/>
  <c r="C12" i="12"/>
  <c r="D12" i="12"/>
  <c r="A12" i="12" s="1"/>
  <c r="G19" i="16"/>
  <c r="D13" i="13" l="1" a="1"/>
  <c r="D13" i="13" s="1"/>
  <c r="A13" i="13" s="1"/>
  <c r="C13" i="13"/>
  <c r="B14" i="13"/>
  <c r="E15" i="13"/>
  <c r="B14" i="12"/>
  <c r="E15" i="12"/>
  <c r="D13" i="12"/>
  <c r="A13" i="12" s="1"/>
  <c r="C13" i="12"/>
  <c r="B50" i="16"/>
  <c r="B44" i="16"/>
  <c r="B38" i="16"/>
  <c r="E16" i="13" l="1"/>
  <c r="B15" i="13"/>
  <c r="C14" i="13"/>
  <c r="D14" i="13" a="1"/>
  <c r="D14" i="13" s="1"/>
  <c r="A14" i="13" s="1"/>
  <c r="B15" i="12"/>
  <c r="E16" i="12"/>
  <c r="C14" i="12"/>
  <c r="D14" i="12"/>
  <c r="A14" i="12" s="1"/>
  <c r="D6" i="27"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B16" i="13" l="1"/>
  <c r="E17" i="13"/>
  <c r="D15" i="13" a="1"/>
  <c r="D15" i="13" s="1"/>
  <c r="A15" i="13" s="1"/>
  <c r="C15" i="13"/>
  <c r="B16" i="12"/>
  <c r="E17" i="12"/>
  <c r="C15" i="12"/>
  <c r="D15" i="12"/>
  <c r="A15" i="12" s="1"/>
  <c r="D19" i="16"/>
  <c r="E18" i="13" l="1"/>
  <c r="B17" i="13"/>
  <c r="C16" i="13"/>
  <c r="D16" i="13" a="1"/>
  <c r="D16" i="13" s="1"/>
  <c r="A16" i="13" s="1"/>
  <c r="B17" i="12"/>
  <c r="E18" i="12"/>
  <c r="C16" i="12"/>
  <c r="D16" i="12"/>
  <c r="A16" i="12" s="1"/>
  <c r="L8" i="16"/>
  <c r="L9" i="16"/>
  <c r="L10" i="16"/>
  <c r="L11" i="16"/>
  <c r="L12" i="16"/>
  <c r="L13" i="16"/>
  <c r="L14" i="16"/>
  <c r="L15" i="16"/>
  <c r="L16" i="16"/>
  <c r="B18" i="13" l="1"/>
  <c r="E19" i="13"/>
  <c r="D17" i="13" a="1"/>
  <c r="D17" i="13" s="1"/>
  <c r="A17" i="13" s="1"/>
  <c r="C17" i="13"/>
  <c r="B18" i="12"/>
  <c r="E19" i="12"/>
  <c r="D17" i="12"/>
  <c r="A17" i="12" s="1"/>
  <c r="C17" i="12"/>
  <c r="L7" i="16"/>
  <c r="D25" i="16" s="1"/>
  <c r="C18" i="13" l="1"/>
  <c r="D18" i="13" a="1"/>
  <c r="D18" i="13" s="1"/>
  <c r="A18" i="13" s="1"/>
  <c r="E20" i="13"/>
  <c r="B19" i="13"/>
  <c r="B19" i="12"/>
  <c r="E20" i="12"/>
  <c r="C18" i="12"/>
  <c r="D18" i="12"/>
  <c r="A18" i="12" s="1"/>
  <c r="H19" i="16"/>
  <c r="C19" i="13" l="1"/>
  <c r="D19" i="13" a="1"/>
  <c r="D19" i="13" s="1"/>
  <c r="A19" i="13" s="1"/>
  <c r="B20" i="13"/>
  <c r="E21" i="13"/>
  <c r="B20" i="12"/>
  <c r="E21" i="12"/>
  <c r="C19" i="12"/>
  <c r="D19" i="12"/>
  <c r="A19" i="12" s="1"/>
  <c r="H31" i="15" a="1"/>
  <c r="H31" i="15" s="1"/>
  <c r="G32" i="14" a="1"/>
  <c r="G32" i="14" s="1"/>
  <c r="E22" i="13" l="1"/>
  <c r="B21" i="13"/>
  <c r="C20" i="13"/>
  <c r="D20" i="13" a="1"/>
  <c r="D20" i="13" s="1"/>
  <c r="A20" i="13" s="1"/>
  <c r="B21" i="12"/>
  <c r="E22" i="12"/>
  <c r="C20" i="12"/>
  <c r="D20" i="12"/>
  <c r="A20" i="12" s="1"/>
  <c r="E19" i="16"/>
  <c r="B22" i="13" l="1"/>
  <c r="E23" i="13"/>
  <c r="D21" i="13" a="1"/>
  <c r="D21" i="13" s="1"/>
  <c r="A21" i="13" s="1"/>
  <c r="C21" i="13"/>
  <c r="B22" i="12"/>
  <c r="E23" i="12"/>
  <c r="D21" i="12"/>
  <c r="A21" i="12" s="1"/>
  <c r="C21" i="12"/>
  <c r="L17" i="16"/>
  <c r="L18" i="16"/>
  <c r="E24" i="13" l="1"/>
  <c r="B23" i="13"/>
  <c r="C22" i="13"/>
  <c r="D22" i="13" a="1"/>
  <c r="D22" i="13" s="1"/>
  <c r="A22" i="13" s="1"/>
  <c r="B23" i="12"/>
  <c r="E24" i="12"/>
  <c r="C22" i="12"/>
  <c r="D22" i="12"/>
  <c r="A22" i="12" s="1"/>
  <c r="B33" i="15" a="1"/>
  <c r="B33" i="15" s="1"/>
  <c r="B34" i="14" a="1"/>
  <c r="B34" i="14" s="1"/>
  <c r="D24" i="16"/>
  <c r="B24" i="16"/>
  <c r="D6" i="16"/>
  <c r="D6" i="13"/>
  <c r="D6" i="12"/>
  <c r="E49" i="15"/>
  <c r="C52" i="15" a="1"/>
  <c r="C52" i="15" s="1"/>
  <c r="B52" i="15" a="1"/>
  <c r="B52" i="15" s="1"/>
  <c r="C53" i="14" a="1"/>
  <c r="C53" i="14" s="1"/>
  <c r="B53" i="14" a="1"/>
  <c r="B53" i="14" s="1"/>
  <c r="E50" i="14"/>
  <c r="B1" i="6"/>
  <c r="B1" i="8"/>
  <c r="B1" i="4"/>
  <c r="D6" i="8"/>
  <c r="D6" i="6"/>
  <c r="D6" i="4"/>
  <c r="E6" i="11"/>
  <c r="D6" i="11"/>
  <c r="D23" i="13" l="1" a="1"/>
  <c r="D23" i="13" s="1"/>
  <c r="A23" i="13" s="1"/>
  <c r="C23" i="13"/>
  <c r="B24" i="13"/>
  <c r="E25" i="13"/>
  <c r="B34" i="15" a="1"/>
  <c r="B34" i="15" s="1"/>
  <c r="B24" i="12"/>
  <c r="E25" i="12"/>
  <c r="C23" i="12"/>
  <c r="D23" i="12"/>
  <c r="A23" i="12" s="1"/>
  <c r="B35" i="14" a="1"/>
  <c r="B35" i="14" s="1"/>
  <c r="A33" i="15"/>
  <c r="H33" i="15" a="1"/>
  <c r="H33" i="15" s="1"/>
  <c r="H29" i="15"/>
  <c r="H45" i="15"/>
  <c r="D1" i="8"/>
  <c r="D1" i="6"/>
  <c r="D1" i="4"/>
  <c r="J19" i="16"/>
  <c r="G30" i="14"/>
  <c r="G46" i="14"/>
  <c r="A34" i="14"/>
  <c r="G34" i="14" a="1"/>
  <c r="G34" i="14" s="1"/>
  <c r="E26" i="13" l="1"/>
  <c r="B25" i="13"/>
  <c r="C24" i="13"/>
  <c r="D24" i="13" a="1"/>
  <c r="D24" i="13" s="1"/>
  <c r="A24" i="13" s="1"/>
  <c r="B35" i="15" a="1"/>
  <c r="B35" i="15" s="1"/>
  <c r="B36" i="15" s="1" a="1"/>
  <c r="B36" i="15" s="1"/>
  <c r="A35" i="15"/>
  <c r="A34" i="15"/>
  <c r="H34" i="15" a="1"/>
  <c r="H34" i="15" s="1"/>
  <c r="B25" i="12"/>
  <c r="E26" i="12"/>
  <c r="C24" i="12"/>
  <c r="D24" i="12"/>
  <c r="A24" i="12" s="1"/>
  <c r="B36" i="14" a="1"/>
  <c r="B36" i="14" s="1"/>
  <c r="D28" i="16"/>
  <c r="D27" i="16"/>
  <c r="B49" i="15"/>
  <c r="C49" i="15" s="1"/>
  <c r="G35" i="14" a="1"/>
  <c r="G35" i="14" s="1"/>
  <c r="A35" i="14"/>
  <c r="B50" i="14"/>
  <c r="C50" i="14" s="1"/>
  <c r="D25" i="13" l="1" a="1"/>
  <c r="D25" i="13" s="1"/>
  <c r="A25" i="13" s="1"/>
  <c r="C25" i="13"/>
  <c r="B26" i="13"/>
  <c r="E27" i="13"/>
  <c r="H35" i="15" a="1"/>
  <c r="H35" i="15" s="1"/>
  <c r="H36" i="15" a="1"/>
  <c r="H36" i="15" s="1"/>
  <c r="A36" i="15"/>
  <c r="B37" i="15" a="1"/>
  <c r="B37" i="15" s="1"/>
  <c r="B26" i="12"/>
  <c r="E27" i="12"/>
  <c r="D25" i="12"/>
  <c r="A25" i="12" s="1"/>
  <c r="C25" i="12"/>
  <c r="A36" i="14"/>
  <c r="G36" i="14" a="1"/>
  <c r="G36" i="14" s="1"/>
  <c r="B37" i="14" a="1"/>
  <c r="B37" i="14" s="1"/>
  <c r="E28" i="13" l="1"/>
  <c r="B27" i="13"/>
  <c r="C26" i="13"/>
  <c r="D26" i="13" a="1"/>
  <c r="D26" i="13" s="1"/>
  <c r="A26" i="13" s="1"/>
  <c r="H37" i="15" a="1"/>
  <c r="H37" i="15" s="1"/>
  <c r="A37" i="15"/>
  <c r="B38" i="15" a="1"/>
  <c r="B38" i="15" s="1"/>
  <c r="B27" i="12"/>
  <c r="E28" i="12"/>
  <c r="C26" i="12"/>
  <c r="D26" i="12"/>
  <c r="A26" i="12" s="1"/>
  <c r="G37" i="14" a="1"/>
  <c r="G37" i="14" s="1"/>
  <c r="A37" i="14"/>
  <c r="B38" i="14" a="1"/>
  <c r="B38" i="14" s="1"/>
  <c r="D27" i="13" l="1" a="1"/>
  <c r="D27" i="13" s="1"/>
  <c r="A27" i="13" s="1"/>
  <c r="C27" i="13"/>
  <c r="B28" i="13"/>
  <c r="E29" i="13"/>
  <c r="B39" i="15" a="1"/>
  <c r="B39" i="15" s="1"/>
  <c r="A39" i="15"/>
  <c r="H39" i="15" a="1"/>
  <c r="H39" i="15" s="1"/>
  <c r="B40" i="15" a="1"/>
  <c r="B40" i="15" s="1"/>
  <c r="A38" i="15"/>
  <c r="H38" i="15" a="1"/>
  <c r="H38" i="15" s="1"/>
  <c r="C27" i="12"/>
  <c r="D27" i="12"/>
  <c r="A27" i="12" s="1"/>
  <c r="B28" i="12"/>
  <c r="E29" i="12"/>
  <c r="B39" i="14" a="1"/>
  <c r="B39" i="14" s="1"/>
  <c r="A38" i="14"/>
  <c r="G38" i="14" a="1"/>
  <c r="G38" i="14" s="1"/>
  <c r="E30" i="13" l="1"/>
  <c r="B29" i="13"/>
  <c r="C28" i="13"/>
  <c r="D28" i="13" a="1"/>
  <c r="D28" i="13" s="1"/>
  <c r="A28" i="13" s="1"/>
  <c r="B41" i="15" a="1"/>
  <c r="B41" i="15" s="1"/>
  <c r="A41" i="15" s="1"/>
  <c r="H41" i="15" a="1"/>
  <c r="H41" i="15" s="1"/>
  <c r="B42" i="15" a="1"/>
  <c r="B42" i="15" s="1"/>
  <c r="A40" i="15"/>
  <c r="H40" i="15" a="1"/>
  <c r="H40" i="15" s="1"/>
  <c r="B29" i="12"/>
  <c r="E30" i="12"/>
  <c r="C28" i="12"/>
  <c r="D28" i="12"/>
  <c r="A28" i="12" s="1"/>
  <c r="B40" i="14" a="1"/>
  <c r="B40" i="14" s="1"/>
  <c r="G40" i="14" s="1" a="1"/>
  <c r="G40" i="14" s="1"/>
  <c r="A40" i="14"/>
  <c r="G39" i="14" a="1"/>
  <c r="G39" i="14" s="1"/>
  <c r="A39" i="14"/>
  <c r="D29" i="13" l="1" a="1"/>
  <c r="D29" i="13" s="1"/>
  <c r="A29" i="13" s="1"/>
  <c r="C29" i="13"/>
  <c r="B30" i="13"/>
  <c r="E31" i="13"/>
  <c r="H42" i="15" a="1"/>
  <c r="H42" i="15" s="1"/>
  <c r="A42" i="15"/>
  <c r="E31" i="12"/>
  <c r="B30" i="12"/>
  <c r="D29" i="12"/>
  <c r="A29" i="12" s="1"/>
  <c r="C29" i="12"/>
  <c r="B41" i="14" a="1"/>
  <c r="B41" i="14" s="1"/>
  <c r="B31" i="13" l="1"/>
  <c r="C30" i="13"/>
  <c r="D30" i="13" a="1"/>
  <c r="D30" i="13" s="1"/>
  <c r="A30" i="13" s="1"/>
  <c r="C30" i="12"/>
  <c r="D30" i="12"/>
  <c r="A30" i="12" s="1"/>
  <c r="B31" i="12"/>
  <c r="B42" i="14" a="1"/>
  <c r="B42" i="14" s="1"/>
  <c r="G41" i="14" a="1"/>
  <c r="G41" i="14" s="1"/>
  <c r="A41" i="14"/>
  <c r="G42" i="14" a="1"/>
  <c r="G42" i="14" s="1"/>
  <c r="A42" i="14"/>
  <c r="B43" i="14" a="1"/>
  <c r="B43" i="14" s="1"/>
  <c r="D31" i="13" l="1" a="1"/>
  <c r="D31" i="13" s="1"/>
  <c r="A31" i="13" s="1"/>
  <c r="C31" i="13"/>
  <c r="C31" i="12"/>
  <c r="D31" i="12"/>
  <c r="A31" i="12" s="1"/>
  <c r="A43" i="14"/>
  <c r="G43" i="14" a="1"/>
  <c r="G43" i="14" s="1"/>
  <c r="H46" i="15" l="1"/>
  <c r="D49" i="15" l="1" a="1"/>
  <c r="D49" i="15" s="1"/>
  <c r="A49" i="15" s="1"/>
  <c r="G47" i="14" l="1"/>
  <c r="D50" i="14" l="1"/>
  <c r="A50"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<sst xmlns="http://schemas.openxmlformats.org/spreadsheetml/2006/main" count="4030" uniqueCount="763">
  <si>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</si>
  <si>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</si>
  <si>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</si>
  <si>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</si>
  <si>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</si>
  <si>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</si>
  <si>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</si>
  <si>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</si>
  <si>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</si>
  <si>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</si>
  <si>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</si>
  <si>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</si>
  <si>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</si>
  <si>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</si>
  <si>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</si>
  <si>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</si>
  <si>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</si>
  <si>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</si>
  <si>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</si>
  <si>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</si>
  <si>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</si>
  <si>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</si>
  <si>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</si>
  <si>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</si>
  <si>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</si>
  <si>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</si>
  <si>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</si>
  <si>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</si>
  <si>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</si>
  <si>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</si>
  <si>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</si>
  <si>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</si>
  <si>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</si>
  <si>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</si>
  <si>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</si>
  <si>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</si>
  <si>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</si>
  <si>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</si>
  <si>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</si>
  <si>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</si>
  <si>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</si>
  <si>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</si>
  <si>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</si>
  <si>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</si>
  <si>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</si>
  <si>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</si>
  <si>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</si>
  <si>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</si>
  <si>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</si>
  <si>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</si>
  <si>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</si>
  <si>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</si>
  <si>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</si>
  <si>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</si>
  <si>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</si>
  <si>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</si>
  <si>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</si>
  <si>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</si>
  <si>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</si>
  <si>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</si>
  <si>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</si>
  <si>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</si>
  <si>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</si>
  <si>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</si>
  <si>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</si>
  <si>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</si>
  <si>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</si>
  <si>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</si>
  <si>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</si>
  <si>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</si>
  <si>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</si>
  <si>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</si>
  <si>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</si>
  <si>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</si>
  <si>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</si>
  <si>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</si>
  <si>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</si>
  <si>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</si>
  <si>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</si>
  <si>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</si>
  <si>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</si>
  <si>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</si>
  <si>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</si>
  <si>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</si>
  <si>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</si>
  <si>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</si>
  <si>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</si>
  <si>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</si>
  <si>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</si>
  <si>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</si>
  <si>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</si>
  <si>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</si>
  <si>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</si>
  <si>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</si>
  <si>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</si>
  <si>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</si>
  <si>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</si>
  <si>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</si>
  <si>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</si>
  <si>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</si>
  <si>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</si>
  <si>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</si>
  <si>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</si>
  <si>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</si>
  <si>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</si>
  <si>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</si>
  <si>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</si>
  <si>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</si>
  <si>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</si>
  <si>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</si>
  <si>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</si>
  <si>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</si>
  <si>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</si>
  <si>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</si>
  <si>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</si>
  <si>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</si>
  <si>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</si>
  <si>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</si>
  <si>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</si>
  <si>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</si>
  <si>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</si>
  <si>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</si>
  <si>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</si>
  <si>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</si>
  <si>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</si>
  <si>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</si>
  <si>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</si>
  <si>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</si>
  <si>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</si>
  <si>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</si>
  <si>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</si>
  <si>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</si>
  <si>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</si>
  <si>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</si>
  <si>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</si>
  <si>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</si>
  <si>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</si>
  <si>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</si>
  <si>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</si>
  <si>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</si>
  <si>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</si>
  <si>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</si>
  <si>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</si>
  <si>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</si>
  <si>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</si>
  <si>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</si>
  <si>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</si>
  <si>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</si>
  <si>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</si>
  <si>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</si>
  <si>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</si>
  <si>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</si>
  <si>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</si>
  <si>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</si>
  <si>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</si>
  <si>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</si>
  <si>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</si>
  <si>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</si>
  <si>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</si>
  <si>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</si>
  <si>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</si>
  <si>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</si>
  <si>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</si>
  <si>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</si>
  <si>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</si>
  <si>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</si>
  <si>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</si>
  <si>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</si>
  <si>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</si>
  <si>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</si>
  <si>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</si>
  <si>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</si>
  <si>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</si>
  <si>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</si>
  <si>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</si>
  <si>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</si>
  <si>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</si>
  <si>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</si>
  <si>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</si>
  <si>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</si>
  <si>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</si>
  <si>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</si>
  <si>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</si>
  <si>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</si>
  <si>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</si>
  <si>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</si>
  <si>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</si>
  <si>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</si>
  <si>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</si>
  <si>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</si>
  <si>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</si>
  <si>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</si>
  <si>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</si>
  <si>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</si>
  <si>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</si>
  <si>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</si>
  <si>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</si>
  <si>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</si>
  <si>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</si>
  <si>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</si>
  <si>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</si>
  <si>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</si>
  <si>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</si>
  <si>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</si>
  <si>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</si>
  <si>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</si>
  <si>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</si>
  <si>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</si>
  <si>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</si>
  <si>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</si>
  <si>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</si>
  <si>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</si>
  <si>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</si>
  <si>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</si>
  <si>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</si>
  <si>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</si>
  <si>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</si>
  <si>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</si>
  <si>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</si>
  <si>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</si>
  <si>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</si>
  <si>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</si>
  <si>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</si>
  <si>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</si>
  <si>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</si>
  <si>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</si>
  <si>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</si>
  <si>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</si>
  <si>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</si>
  <si>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</si>
  <si>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</si>
  <si>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</si>
  <si>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</si>
  <si>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</si>
  <si>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</si>
  <si>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</si>
  <si>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</si>
  <si>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</si>
  <si>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</si>
  <si>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</si>
  <si>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</si>
  <si>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</si>
  <si>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</si>
  <si>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</si>
  <si>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</si>
  <si>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</si>
  <si>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</si>
  <si>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</si>
  <si>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</si>
  <si>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</si>
  <si>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</si>
  <si>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</si>
  <si>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</si>
  <si>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</si>
  <si>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</si>
  <si>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</si>
  <si>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</si>
  <si>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</si>
  <si>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</si>
  <si>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</si>
  <si>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</si>
  <si>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</si>
  <si>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</si>
  <si>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</si>
  <si>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</si>
  <si>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</si>
  <si>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</si>
  <si>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</si>
  <si>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</si>
  <si>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</si>
  <si>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</si>
  <si>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</si>
  <si>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</si>
  <si>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</si>
  <si>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</si>
  <si>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</si>
  <si>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</si>
  <si>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</si>
  <si>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</si>
  <si>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</si>
  <si>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</si>
  <si>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</si>
  <si>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</si>
  <si>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</si>
  <si>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</si>
  <si>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</si>
  <si>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</si>
  <si>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</si>
  <si>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</si>
  <si>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</si>
  <si>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</si>
  <si>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</si>
  <si>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</si>
  <si>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</si>
  <si>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</si>
  <si>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</si>
  <si>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</si>
  <si>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</si>
  <si>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</si>
  <si>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</si>
  <si>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</si>
  <si>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</si>
  <si>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</si>
  <si>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</si>
  <si>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</si>
  <si>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</si>
  <si>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</si>
  <si>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</si>
  <si>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</si>
  <si>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</si>
  <si>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</si>
  <si>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</si>
  <si>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</si>
  <si>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</si>
  <si>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</si>
  <si>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</si>
  <si>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</si>
  <si>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</si>
  <si>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</si>
  <si>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</si>
  <si>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</si>
  <si>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</si>
  <si>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</si>
  <si>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</si>
  <si>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</si>
  <si>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</si>
  <si>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</si>
  <si>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</si>
  <si>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</si>
  <si>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</si>
  <si>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</si>
  <si>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</si>
  <si>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</si>
  <si>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</si>
  <si>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</si>
  <si>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</si>
  <si>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</si>
  <si>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</si>
  <si>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</si>
  <si>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</si>
  <si>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</si>
  <si>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</si>
  <si>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</si>
  <si>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</si>
  <si>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</si>
  <si>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</si>
  <si>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</si>
  <si>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</si>
  <si>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</si>
  <si>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</si>
  <si>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</si>
  <si>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</si>
  <si>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</si>
  <si>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</si>
  <si>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</si>
  <si>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</si>
  <si>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</si>
  <si>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</si>
  <si>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</si>
  <si>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</si>
  <si>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</si>
  <si>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</si>
  <si>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</si>
  <si>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</si>
  <si>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</si>
  <si>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</si>
  <si>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</si>
  <si>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</si>
  <si>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</si>
  <si>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</si>
  <si>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</si>
  <si>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</si>
  <si>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</si>
  <si>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</si>
  <si>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</si>
  <si>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</si>
  <si>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</si>
  <si>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</si>
  <si>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</si>
  <si>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</si>
  <si>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</si>
  <si>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</si>
  <si>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</si>
  <si>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</si>
  <si>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</si>
  <si>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</si>
  <si>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</si>
  <si>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</si>
  <si>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</si>
  <si>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</si>
  <si>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</si>
  <si>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</si>
  <si>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</si>
  <si>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</si>
  <si>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</si>
  <si>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</si>
  <si>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</si>
  <si>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</si>
  <si>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</si>
  <si>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</si>
  <si>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</si>
  <si>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</si>
  <si>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</si>
  <si>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</si>
  <si>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</si>
  <si>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</si>
  <si>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</si>
  <si>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</si>
  <si>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</si>
  <si>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</si>
  <si>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</si>
  <si>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</si>
  <si>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</si>
  <si>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</si>
  <si>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</si>
  <si>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</si>
  <si>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</si>
  <si>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</si>
  <si>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</si>
  <si>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</si>
  <si>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</si>
  <si>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</si>
  <si>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</si>
  <si>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</si>
  <si>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</si>
  <si>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</si>
  <si>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</si>
  <si>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</si>
  <si>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</si>
  <si>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</si>
  <si>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</si>
  <si>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</si>
  <si>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</si>
  <si>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</si>
  <si>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</si>
  <si>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</si>
  <si>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</si>
  <si>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</si>
  <si>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</si>
  <si>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</si>
  <si>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</si>
  <si>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</si>
  <si>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</si>
  <si>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</si>
  <si>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</si>
  <si>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</si>
  <si>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</si>
  <si>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</si>
  <si>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</si>
  <si>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</si>
  <si>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</si>
  <si>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</si>
  <si>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</si>
  <si>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</si>
  <si>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</si>
  <si>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</si>
  <si>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</si>
  <si>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</si>
  <si>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</si>
  <si>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</si>
  <si>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</si>
  <si>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</si>
  <si>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</si>
  <si>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</si>
  <si>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</si>
  <si>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</si>
  <si>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</si>
  <si>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</si>
  <si>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</si>
  <si>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</si>
  <si>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</si>
  <si>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</si>
  <si>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</si>
  <si>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</si>
  <si>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</si>
  <si>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</si>
  <si>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</si>
  <si>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</si>
  <si>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</si>
  <si>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</si>
  <si>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</si>
  <si>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</si>
  <si>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</si>
  <si>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</si>
  <si>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</si>
  <si>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</si>
  <si>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</si>
  <si>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</si>
  <si>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</si>
  <si>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</si>
  <si>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</si>
  <si>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</si>
  <si>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</si>
  <si>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</si>
  <si>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</si>
  <si>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</si>
  <si>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</si>
  <si>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</si>
  <si>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</si>
  <si>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</si>
  <si>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</si>
  <si>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</si>
  <si>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</si>
  <si>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</si>
  <si>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</si>
  <si>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</si>
  <si>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</si>
  <si>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</si>
  <si>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</si>
  <si>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</si>
  <si>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</si>
  <si>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</si>
  <si>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</si>
  <si>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</si>
  <si>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</si>
  <si>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</si>
  <si>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</si>
  <si>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</si>
  <si>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</si>
  <si>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</si>
  <si>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</si>
  <si>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</si>
  <si>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</si>
  <si>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</si>
  <si>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</si>
  <si>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</si>
  <si>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</si>
  <si>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</si>
  <si>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</si>
  <si>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</si>
  <si>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</si>
  <si>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</si>
  <si>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</si>
  <si>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</si>
  <si>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</si>
  <si>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</si>
  <si>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</si>
  <si>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</si>
  <si>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</si>
  <si>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</si>
  <si>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</si>
  <si>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</si>
  <si>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</si>
  <si>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</si>
  <si>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</si>
  <si>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</si>
  <si>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</si>
  <si>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</si>
  <si>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</si>
  <si>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</si>
  <si>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</si>
  <si>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</si>
  <si>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</si>
  <si>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</si>
  <si>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</si>
  <si>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</si>
  <si>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</si>
  <si>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</si>
  <si>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</si>
  <si>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</si>
  <si>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</si>
  <si>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</si>
  <si>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</si>
  <si>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</si>
  <si>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</si>
  <si>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</si>
  <si>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</si>
  <si>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</si>
  <si>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</si>
  <si>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</si>
  <si>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</si>
  <si>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</si>
  <si>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</si>
  <si>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</si>
  <si>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</si>
  <si>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</si>
  <si>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</si>
  <si>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</si>
  <si>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</si>
  <si>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</si>
  <si>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</si>
  <si>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</si>
  <si>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</si>
  <si>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</si>
  <si>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</si>
  <si>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</si>
  <si>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</si>
  <si>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</si>
  <si>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</si>
  <si>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</si>
  <si>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</si>
  <si>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</si>
  <si>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</si>
  <si>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</si>
  <si>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</si>
  <si>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</si>
  <si>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</si>
  <si>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</si>
  <si>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</si>
  <si>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</si>
  <si>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</si>
  <si>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</si>
  <si>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</si>
  <si>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</si>
  <si>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</si>
  <si>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</si>
  <si>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</si>
  <si>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</si>
  <si>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</si>
  <si>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</si>
  <si>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</si>
  <si>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</si>
  <si>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</si>
  <si>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</si>
  <si>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</si>
  <si>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</si>
  <si>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</si>
  <si>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</si>
  <si>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</si>
  <si>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</si>
  <si>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</si>
  <si>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</si>
  <si>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</si>
  <si>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</si>
  <si>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</si>
  <si>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</si>
  <si>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</si>
  <si>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</si>
  <si>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</si>
  <si>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</si>
  <si>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</si>
  <si>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</si>
  <si>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</si>
  <si>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</si>
  <si>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</si>
  <si>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</si>
  <si>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</si>
  <si>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</si>
  <si>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</si>
  <si>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</si>
  <si>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</si>
  <si>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</si>
  <si>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</si>
  <si>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</si>
  <si>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</si>
  <si>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</si>
  <si>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</si>
  <si>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</si>
  <si>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</si>
  <si>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</si>
  <si>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</si>
  <si>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</si>
  <si>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</si>
  <si>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</si>
  <si>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</si>
  <si>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</si>
  <si>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</si>
  <si>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</si>
  <si>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</si>
  <si>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</si>
  <si>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</si>
  <si>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</si>
  <si>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</si>
  <si>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</si>
  <si>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</si>
  <si>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</si>
  <si>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</si>
  <si>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</si>
  <si>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</si>
  <si>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</si>
  <si>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</si>
  <si>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</si>
  <si>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</si>
  <si>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</si>
  <si>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</si>
  <si>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</si>
  <si>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</si>
  <si>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</si>
  <si>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</si>
  <si>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</si>
  <si>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</si>
  <si>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</si>
  <si>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</si>
  <si>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</si>
  <si>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</si>
  <si>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</si>
  <si>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</si>
  <si>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</si>
  <si>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</si>
  <si>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</si>
  <si>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</si>
  <si>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</si>
  <si>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</si>
  <si>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</si>
  <si>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</si>
  <si>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</si>
  <si>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</si>
  <si>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</si>
  <si>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</si>
  <si>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</si>
  <si>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</si>
  <si>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</si>
  <si>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</si>
  <si>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</si>
  <si>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</si>
  <si>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</si>
  <si>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</si>
  <si>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</si>
  <si>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</si>
  <si>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</si>
  <si>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</si>
  <si>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</si>
  <si>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</si>
  <si>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</si>
  <si>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</si>
  <si>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</si>
  <si>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</si>
  <si>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</si>
  <si>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</si>
  <si>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</si>
  <si>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</si>
  <si>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</si>
  <si>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</si>
  <si>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</si>
  <si>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</si>
  <si>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</si>
  <si>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</si>
  <si>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</si>
  <si>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</si>
  <si>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</si>
  <si>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</si>
  <si>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</si>
  <si>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</si>
  <si>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</si>
  <si>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</si>
  <si>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</si>
  <si>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</si>
  <si>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</si>
  <si>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</si>
  <si>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</si>
  <si>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</si>
  <si>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</si>
  <si>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</si>
  <si>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</si>
  <si>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</si>
  <si>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</si>
  <si>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</si>
  <si>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</si>
  <si>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</si>
  <si>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F</t>
  </si>
  <si>
    <t>Goa</t>
  </si>
  <si>
    <t>Test 1</t>
  </si>
  <si>
    <t>Hyd</t>
  </si>
  <si>
    <t>Delhi</t>
  </si>
  <si>
    <t>Banglore</t>
  </si>
  <si>
    <t>Chennai</t>
  </si>
  <si>
    <t>Madhya Pradesh</t>
  </si>
  <si>
    <t>Gujrat</t>
  </si>
  <si>
    <t>Ludhiyana</t>
  </si>
  <si>
    <t>Uttar Pradesh</t>
  </si>
  <si>
    <t>Sikkim</t>
  </si>
  <si>
    <t>Energy Meter via upload</t>
  </si>
  <si>
    <t>Water meter via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</si>
</sst>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 fillId="0" borderId="0" xfId="1" applyFont="1" applyFill="1" applyBorder="1" applyAlignment="1">
      <alignment horizontal="center" vertical="center"/>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6" borderId="57" xfId="0" applyFont="1" applyFill="1" applyBorder="1" applyAlignment="1">
      <alignment horizontal="left" vertical="center"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 Summaries</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33</xdr:row>
          <xdr:rowOff>9525</xdr:rowOff>
        </xdr:from>
        <xdr:to>
          <xdr:col>2</xdr:col>
          <xdr:colOff>447675</xdr:colOff>
          <xdr:row>33</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400050</xdr:rowOff>
        </xdr:from>
        <xdr:to>
          <xdr:col>3</xdr:col>
          <xdr:colOff>981075</xdr:colOff>
          <xdr:row>35</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29</xdr:row>
          <xdr:rowOff>190500</xdr:rowOff>
        </xdr:from>
        <xdr:to>
          <xdr:col>2</xdr:col>
          <xdr:colOff>885825</xdr:colOff>
          <xdr:row>29</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114300</xdr:rowOff>
        </xdr:from>
        <xdr:to>
          <xdr:col>2</xdr:col>
          <xdr:colOff>114300</xdr:colOff>
          <xdr:row>28</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28</xdr:row>
          <xdr:rowOff>133350</xdr:rowOff>
        </xdr:from>
        <xdr:to>
          <xdr:col>3</xdr:col>
          <xdr:colOff>600075</xdr:colOff>
          <xdr:row>28</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28</xdr:row>
          <xdr:rowOff>152400</xdr:rowOff>
        </xdr:from>
        <xdr:to>
          <xdr:col>4</xdr:col>
          <xdr:colOff>962025</xdr:colOff>
          <xdr:row>28</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33</xdr:row>
          <xdr:rowOff>28575</xdr:rowOff>
        </xdr:from>
        <xdr:to>
          <xdr:col>2</xdr:col>
          <xdr:colOff>466725</xdr:colOff>
          <xdr:row>33</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33</xdr:row>
          <xdr:rowOff>352425</xdr:rowOff>
        </xdr:from>
        <xdr:to>
          <xdr:col>3</xdr:col>
          <xdr:colOff>990600</xdr:colOff>
          <xdr:row>35</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28</xdr:row>
          <xdr:rowOff>190500</xdr:rowOff>
        </xdr:from>
        <xdr:to>
          <xdr:col>2</xdr:col>
          <xdr:colOff>885825</xdr:colOff>
          <xdr:row>28</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xdr:row>
          <xdr:rowOff>114300</xdr:rowOff>
        </xdr:from>
        <xdr:to>
          <xdr:col>2</xdr:col>
          <xdr:colOff>114300</xdr:colOff>
          <xdr:row>27</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27</xdr:row>
          <xdr:rowOff>133350</xdr:rowOff>
        </xdr:from>
        <xdr:to>
          <xdr:col>3</xdr:col>
          <xdr:colOff>600075</xdr:colOff>
          <xdr:row>27</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27</xdr:row>
          <xdr:rowOff>133350</xdr:rowOff>
        </xdr:from>
        <xdr:to>
          <xdr:col>4</xdr:col>
          <xdr:colOff>885825</xdr:colOff>
          <xdr:row>27</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32</xdr:row>
          <xdr:rowOff>0</xdr:rowOff>
        </xdr:from>
        <xdr:to>
          <xdr:col>2</xdr:col>
          <xdr:colOff>9525</xdr:colOff>
          <xdr:row>33</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32</xdr:row>
          <xdr:rowOff>0</xdr:rowOff>
        </xdr:from>
        <xdr:to>
          <xdr:col>3</xdr:col>
          <xdr:colOff>9525</xdr:colOff>
          <xdr:row>33</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33</xdr:row>
          <xdr:rowOff>9525</xdr:rowOff>
        </xdr:from>
        <xdr:to>
          <xdr:col>3</xdr:col>
          <xdr:colOff>1200150</xdr:colOff>
          <xdr:row>33</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33</xdr:row>
          <xdr:rowOff>9525</xdr:rowOff>
        </xdr:from>
        <xdr:to>
          <xdr:col>2</xdr:col>
          <xdr:colOff>0</xdr:colOff>
          <xdr:row>33</xdr:row>
          <xdr:rowOff>276225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33</xdr:row>
          <xdr:rowOff>9525</xdr:rowOff>
        </xdr:from>
        <xdr:to>
          <xdr:col>2</xdr:col>
          <xdr:colOff>1304925</xdr:colOff>
          <xdr:row>33</xdr:row>
          <xdr:rowOff>276225</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31</xdr:row>
          <xdr:rowOff>142875</xdr:rowOff>
        </xdr:from>
        <xdr:to>
          <xdr:col>3</xdr:col>
          <xdr:colOff>1104900</xdr:colOff>
          <xdr:row>33</xdr:row>
          <xdr:rowOff>266700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32</xdr:row>
          <xdr:rowOff>0</xdr:rowOff>
        </xdr:from>
        <xdr:to>
          <xdr:col>2</xdr:col>
          <xdr:colOff>0</xdr:colOff>
          <xdr:row>33</xdr:row>
          <xdr:rowOff>190500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B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32</xdr:row>
          <xdr:rowOff>0</xdr:rowOff>
        </xdr:from>
        <xdr:to>
          <xdr:col>2</xdr:col>
          <xdr:colOff>1295400</xdr:colOff>
          <xdr:row>33</xdr:row>
          <xdr:rowOff>190500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B00-000002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31</xdr:row>
          <xdr:rowOff>180975</xdr:rowOff>
        </xdr:from>
        <xdr:to>
          <xdr:col>3</xdr:col>
          <xdr:colOff>1085850</xdr:colOff>
          <xdr:row>33</xdr:row>
          <xdr:rowOff>209550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B00-000003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2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2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4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4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6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6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6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9" t="s">
        <v>723</v>
      </c>
      <c r="D3" s="220"/>
      <c r="E3" s="220"/>
      <c r="F3" s="220"/>
      <c r="G3" s="1"/>
      <c r="H3" s="1"/>
      <c r="I3" s="9"/>
      <c r="J3" s="1"/>
      <c r="K3" s="89"/>
      <c r="L3" s="77"/>
      <c r="M3" s="77"/>
      <c r="N3" s="77"/>
    </row>
    <row r="4" spans="2:14" ht="36" customHeight="1" x14ac:dyDescent="0.25">
      <c r="B4" s="88"/>
      <c r="C4" s="222" t="s">
        <v>724</v>
      </c>
      <c r="D4" s="222"/>
      <c r="E4" s="222"/>
      <c r="F4" s="222"/>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6" t="s">
        <v>725</v>
      </c>
      <c r="D12" s="217"/>
      <c r="E12" s="218"/>
      <c r="F12" s="127">
        <v>2017</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3" t="s">
        <v>726</v>
      </c>
      <c r="D15" s="223"/>
      <c r="E15" s="223"/>
      <c r="F15" s="223"/>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21" t="s">
        <v>700</v>
      </c>
      <c r="E26" s="221"/>
      <c r="F26" s="221"/>
      <c r="G26" s="7"/>
      <c r="H26" s="7"/>
      <c r="I26" s="8"/>
      <c r="J26" s="7"/>
      <c r="K26" s="89"/>
      <c r="L26" s="77"/>
      <c r="M26" s="77"/>
      <c r="N26" s="77"/>
    </row>
    <row r="27" spans="2:14" ht="30" customHeight="1" x14ac:dyDescent="0.25">
      <c r="B27" s="88"/>
      <c r="C27" s="15"/>
      <c r="D27" s="221" t="s">
        <v>701</v>
      </c>
      <c r="E27" s="221"/>
      <c r="F27" s="221"/>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15" t="s">
        <v>730</v>
      </c>
      <c r="D35" s="215"/>
      <c r="E35" s="215"/>
      <c r="F35" s="215"/>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14" t="s">
        <v>733</v>
      </c>
      <c r="D43" s="214"/>
      <c r="E43" s="214"/>
      <c r="F43" s="214"/>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13" t="s">
        <v>735</v>
      </c>
      <c r="D45" s="213"/>
      <c r="E45" s="213"/>
      <c r="F45" s="213"/>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13" t="s">
        <v>736</v>
      </c>
      <c r="D47" s="213"/>
      <c r="E47" s="213"/>
      <c r="F47" s="213"/>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14" t="s">
        <v>737</v>
      </c>
      <c r="D49" s="214"/>
      <c r="E49" s="214"/>
      <c r="F49" s="214"/>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12:E12"/>
    <mergeCell ref="C3:F3"/>
    <mergeCell ref="D26:F26"/>
    <mergeCell ref="D27:F27"/>
    <mergeCell ref="C4:F4"/>
    <mergeCell ref="C15:F15"/>
    <mergeCell ref="C45:F45"/>
    <mergeCell ref="C47:F47"/>
    <mergeCell ref="C49:F49"/>
    <mergeCell ref="C43:F43"/>
    <mergeCell ref="C35:F3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tabSelected="1" topLeftCell="A6" zoomScale="90" zoomScaleNormal="90" workbookViewId="0">
      <pane xSplit="4" topLeftCell="E1" activePane="topRight" state="frozen"/>
      <selection activeCell="D28" sqref="C28:D32"/>
      <selection pane="topRight" activeCell="D30" sqref="D30"/>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24" t="s">
        <v>740</v>
      </c>
      <c r="C4" s="224"/>
      <c r="D4" s="224"/>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25" t="s">
        <v>720</v>
      </c>
      <c r="O5" s="226"/>
      <c r="P5" s="226"/>
      <c r="Q5" s="226"/>
      <c r="R5" s="227"/>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751</v>
      </c>
      <c r="C7" s="118" t="s">
        <v>616</v>
      </c>
      <c r="D7" s="117">
        <v>2500</v>
      </c>
      <c r="E7" s="116">
        <v>30</v>
      </c>
      <c r="F7" s="116">
        <v>3</v>
      </c>
      <c r="G7" s="116">
        <v>7</v>
      </c>
      <c r="H7" s="116">
        <v>27</v>
      </c>
      <c r="I7" s="189">
        <v>1.3888888888888888E-2</v>
      </c>
      <c r="J7" s="187">
        <f>IFERROR((K7/E7)*(I7*24)," ")</f>
        <v>2.0999999999999996</v>
      </c>
      <c r="K7" s="168">
        <f>G7*H7</f>
        <v>189</v>
      </c>
      <c r="L7" s="104">
        <f t="shared" ref="L7" si="0">E7*D7</f>
        <v>75000</v>
      </c>
      <c r="M7" s="183"/>
      <c r="N7" s="209" t="s">
        <v>709</v>
      </c>
      <c r="O7" s="210" t="s">
        <v>709</v>
      </c>
      <c r="P7" s="210" t="s">
        <v>709</v>
      </c>
      <c r="Q7" s="210" t="s">
        <v>709</v>
      </c>
      <c r="R7" s="210" t="s">
        <v>709</v>
      </c>
    </row>
    <row r="8" spans="1:19" ht="15" customHeight="1" x14ac:dyDescent="0.2">
      <c r="A8" s="114">
        <v>0</v>
      </c>
      <c r="B8" s="115" t="s">
        <v>751</v>
      </c>
      <c r="C8" s="118" t="s">
        <v>618</v>
      </c>
      <c r="D8" s="117">
        <v>2500</v>
      </c>
      <c r="E8" s="116">
        <v>30</v>
      </c>
      <c r="F8" s="116">
        <v>4</v>
      </c>
      <c r="G8" s="116">
        <v>5</v>
      </c>
      <c r="H8" s="116">
        <v>2</v>
      </c>
      <c r="I8" s="189">
        <v>6.9444444444444441E-3</v>
      </c>
      <c r="J8" s="187">
        <f t="shared" ref="J8:J18" si="1">IFERROR((K8/E8)*(I8*24)," ")</f>
        <v>5.5555555555555552E-2</v>
      </c>
      <c r="K8" s="168">
        <f t="shared" ref="K8:K18" si="2">G8*H8</f>
        <v>10</v>
      </c>
      <c r="L8" s="104">
        <f t="shared" ref="L8:L16" si="3">E8*D8</f>
        <v>75000</v>
      </c>
      <c r="M8" s="183"/>
      <c r="N8" s="210" t="s">
        <v>709</v>
      </c>
      <c r="O8" s="210" t="s">
        <v>709</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709</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36" t="s">
        <v>722</v>
      </c>
      <c r="C19" s="237"/>
      <c r="D19" s="158">
        <f>IFERROR(SUM(D7:D18)," ")</f>
        <v>5000</v>
      </c>
      <c r="E19" s="119">
        <f t="shared" ref="E19:J19" si="5">SUM(E7:E18)</f>
        <v>60</v>
      </c>
      <c r="F19" s="119">
        <f t="shared" si="5"/>
        <v>7</v>
      </c>
      <c r="G19" s="119">
        <f t="shared" si="5"/>
        <v>12</v>
      </c>
      <c r="H19" s="119">
        <f t="shared" si="5"/>
        <v>29</v>
      </c>
      <c r="I19" s="190">
        <f>SUM(I7:I18)</f>
        <v>2.0833333333333332E-2</v>
      </c>
      <c r="J19" s="188">
        <f t="shared" si="5"/>
        <v>2.155555555555555</v>
      </c>
      <c r="K19" s="169"/>
    </row>
    <row r="20" spans="1:18" ht="33.75" customHeight="1" x14ac:dyDescent="0.2"/>
    <row r="21" spans="1:18" ht="12" customHeight="1" x14ac:dyDescent="0.2"/>
    <row r="22" spans="1:18" ht="12" customHeight="1" x14ac:dyDescent="0.2">
      <c r="B22" s="175" t="s">
        <v>745</v>
      </c>
    </row>
    <row r="24" spans="1:18" x14ac:dyDescent="0.2">
      <c r="A24" s="143"/>
      <c r="B24" s="231" t="str">
        <f>CONCATENATE("Gross 
Floor Area 
",IF(Instructions!$F$10="SI Units","(sq m)","(sq ft)"))</f>
        <v>Gross 
Floor Area 
(sq ft)</v>
      </c>
      <c r="C24" s="232"/>
      <c r="D24" s="156">
        <f>IFERROR(D19," ")</f>
        <v>5000</v>
      </c>
      <c r="F24" s="228"/>
      <c r="G24" s="228"/>
      <c r="H24" s="228"/>
      <c r="I24" s="228"/>
      <c r="L24" s="144"/>
    </row>
    <row r="25" spans="1:18" x14ac:dyDescent="0.2">
      <c r="A25" s="143"/>
      <c r="B25" s="238" t="s">
        <v>746</v>
      </c>
      <c r="C25" s="233"/>
      <c r="D25" s="157">
        <f>IFERROR(ROUND(SUM(L7:L18)/D19, 0)," ")</f>
        <v>30</v>
      </c>
      <c r="F25" s="176"/>
      <c r="G25" s="176"/>
      <c r="H25" s="176"/>
      <c r="I25" s="176"/>
    </row>
    <row r="26" spans="1:18" x14ac:dyDescent="0.2">
      <c r="A26" s="143"/>
      <c r="B26" s="173" t="s">
        <v>595</v>
      </c>
      <c r="C26" s="164"/>
      <c r="D26" s="120">
        <f>F19</f>
        <v>7</v>
      </c>
      <c r="F26" s="176"/>
      <c r="G26" s="176"/>
      <c r="H26" s="176"/>
      <c r="I26" s="176"/>
    </row>
    <row r="27" spans="1:18" x14ac:dyDescent="0.2">
      <c r="A27" s="143"/>
      <c r="B27" s="173" t="s">
        <v>592</v>
      </c>
      <c r="C27" s="164"/>
      <c r="D27" s="120">
        <f>ROUND(J19,0)</f>
        <v>2</v>
      </c>
      <c r="F27" s="178"/>
      <c r="G27" s="178"/>
      <c r="H27" s="176"/>
      <c r="I27" s="176"/>
    </row>
    <row r="28" spans="1:18" x14ac:dyDescent="0.2">
      <c r="A28" s="143"/>
      <c r="B28" s="234" t="s">
        <v>747</v>
      </c>
      <c r="C28" s="235"/>
      <c r="D28" s="120">
        <f>IFERROR(ROUND((F19+J19), 0)," ")</f>
        <v>9</v>
      </c>
      <c r="F28" s="179"/>
      <c r="G28" s="179"/>
      <c r="H28" s="177"/>
      <c r="I28" s="177"/>
    </row>
    <row r="29" spans="1:18" x14ac:dyDescent="0.2">
      <c r="C29" s="174"/>
      <c r="D29" s="121"/>
    </row>
    <row r="30" spans="1:18" x14ac:dyDescent="0.2">
      <c r="B30" s="229" t="s">
        <v>712</v>
      </c>
      <c r="C30" s="230"/>
      <c r="D30" s="192">
        <v>43466</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31" t="str">
        <f>CONCATENATE("Gross 
Floor Area 
",IF(Instructions!$F$10="SI Units","(sq m)","(sq ft)"))</f>
        <v>Gross 
Floor Area 
(sq ft)</v>
      </c>
      <c r="C38" s="232"/>
      <c r="D38" s="156">
        <v>5000</v>
      </c>
    </row>
    <row r="39" spans="2:4" hidden="1" x14ac:dyDescent="0.2">
      <c r="B39" s="233" t="s">
        <v>597</v>
      </c>
      <c r="C39" s="233"/>
      <c r="D39" s="157">
        <v>30</v>
      </c>
    </row>
    <row r="40" spans="2:4" hidden="1" x14ac:dyDescent="0.2">
      <c r="B40" s="234" t="s">
        <v>598</v>
      </c>
      <c r="C40" s="235"/>
      <c r="D40" s="157">
        <v>9</v>
      </c>
    </row>
    <row r="41" spans="2:4" hidden="1" x14ac:dyDescent="0.2"/>
    <row r="42" spans="2:4" hidden="1" x14ac:dyDescent="0.2">
      <c r="B42" s="104" t="s">
        <v>716</v>
      </c>
    </row>
    <row r="43" spans="2:4" hidden="1" x14ac:dyDescent="0.2"/>
    <row r="44" spans="2:4" hidden="1" x14ac:dyDescent="0.2">
      <c r="B44" s="231" t="str">
        <f>CONCATENATE("Gross 
Floor Area 
",IF(Instructions!$F$10="SI Units","(sq m)","(sq ft)"))</f>
        <v>Gross 
Floor Area 
(sq ft)</v>
      </c>
      <c r="C44" s="232"/>
      <c r="D44" s="156">
        <v>5000</v>
      </c>
    </row>
    <row r="45" spans="2:4" hidden="1" x14ac:dyDescent="0.2">
      <c r="B45" s="233" t="s">
        <v>597</v>
      </c>
      <c r="C45" s="233"/>
      <c r="D45" s="157">
        <v>30</v>
      </c>
    </row>
    <row r="46" spans="2:4" hidden="1" x14ac:dyDescent="0.2">
      <c r="B46" s="234" t="s">
        <v>598</v>
      </c>
      <c r="C46" s="235"/>
      <c r="D46" s="157">
        <v>9</v>
      </c>
    </row>
    <row r="47" spans="2:4" hidden="1" x14ac:dyDescent="0.2"/>
    <row r="48" spans="2:4" hidden="1" x14ac:dyDescent="0.2">
      <c r="B48" s="104" t="s">
        <v>717</v>
      </c>
    </row>
    <row r="49" spans="2:4" hidden="1" x14ac:dyDescent="0.2"/>
    <row r="50" spans="2:4" hidden="1" x14ac:dyDescent="0.2">
      <c r="B50" s="231" t="str">
        <f>CONCATENATE("Gross 
Floor Area 
",IF(Instructions!$F$10="SI Units","(sq m)","(sq ft)"))</f>
        <v>Gross 
Floor Area 
(sq ft)</v>
      </c>
      <c r="C50" s="232"/>
      <c r="D50" s="156">
        <v>5000</v>
      </c>
    </row>
    <row r="51" spans="2:4" hidden="1" x14ac:dyDescent="0.2">
      <c r="B51" s="233" t="s">
        <v>597</v>
      </c>
      <c r="C51" s="233"/>
      <c r="D51" s="157">
        <v>30</v>
      </c>
    </row>
    <row r="52" spans="2:4" hidden="1" x14ac:dyDescent="0.2">
      <c r="B52" s="234" t="s">
        <v>598</v>
      </c>
      <c r="C52" s="235"/>
      <c r="D52" s="157">
        <v>9</v>
      </c>
    </row>
    <row r="53" spans="2:4" hidden="1" x14ac:dyDescent="0.2"/>
    <row r="54" spans="2:4" hidden="1" x14ac:dyDescent="0.2">
      <c r="B54" s="104" t="s">
        <v>718</v>
      </c>
    </row>
    <row r="55" spans="2:4" hidden="1" x14ac:dyDescent="0.2"/>
    <row r="56" spans="2:4" hidden="1" x14ac:dyDescent="0.2">
      <c r="B56" s="180" t="s">
        <v>710</v>
      </c>
      <c r="C56" s="164"/>
      <c r="D56" s="120">
        <v>9</v>
      </c>
    </row>
    <row r="57" spans="2:4" hidden="1" x14ac:dyDescent="0.2">
      <c r="B57" s="180" t="s">
        <v>711</v>
      </c>
      <c r="C57" s="164"/>
      <c r="D57" s="120">
        <v>0</v>
      </c>
    </row>
    <row r="58" spans="2:4" hidden="1" x14ac:dyDescent="0.2">
      <c r="B58" s="234" t="s">
        <v>598</v>
      </c>
      <c r="C58" s="235"/>
      <c r="D58" s="157">
        <v>9</v>
      </c>
    </row>
    <row r="59" spans="2:4" hidden="1" x14ac:dyDescent="0.2"/>
    <row r="60" spans="2:4" hidden="1" x14ac:dyDescent="0.2">
      <c r="B60" s="104" t="s">
        <v>719</v>
      </c>
    </row>
    <row r="61" spans="2:4" hidden="1" x14ac:dyDescent="0.2"/>
    <row r="62" spans="2:4" hidden="1" x14ac:dyDescent="0.2">
      <c r="B62" s="180" t="s">
        <v>710</v>
      </c>
      <c r="C62" s="164"/>
      <c r="D62" s="120">
        <v>9</v>
      </c>
    </row>
    <row r="63" spans="2:4" hidden="1" x14ac:dyDescent="0.2">
      <c r="B63" s="180" t="s">
        <v>711</v>
      </c>
      <c r="C63" s="164"/>
      <c r="D63" s="120">
        <v>0</v>
      </c>
    </row>
    <row r="64" spans="2:4" hidden="1" x14ac:dyDescent="0.2">
      <c r="B64" s="234" t="s">
        <v>598</v>
      </c>
      <c r="C64" s="235"/>
      <c r="D64" s="157">
        <v>9</v>
      </c>
    </row>
  </sheetData>
  <mergeCells count="20">
    <mergeCell ref="B51:C51"/>
    <mergeCell ref="B52:C52"/>
    <mergeCell ref="B58:C58"/>
    <mergeCell ref="B64:C64"/>
    <mergeCell ref="B40:C40"/>
    <mergeCell ref="B44:C44"/>
    <mergeCell ref="B45:C45"/>
    <mergeCell ref="B46:C46"/>
    <mergeCell ref="B50:C50"/>
    <mergeCell ref="B39:C39"/>
    <mergeCell ref="B28:C28"/>
    <mergeCell ref="B19:C19"/>
    <mergeCell ref="B24:C24"/>
    <mergeCell ref="H24:I24"/>
    <mergeCell ref="B25:C25"/>
    <mergeCell ref="B4:D4"/>
    <mergeCell ref="N5:R5"/>
    <mergeCell ref="F24:G24"/>
    <mergeCell ref="B30:C30"/>
    <mergeCell ref="B38:C38"/>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34"/>
  <sheetViews>
    <sheetView zoomScaleNormal="100" workbookViewId="0"/>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34</v>
      </c>
      <c r="B6" s="3" t="s">
        <v>543</v>
      </c>
      <c r="C6" s="3" t="s">
        <v>544</v>
      </c>
      <c r="D6" s="3" t="str">
        <f>CONCATENATE("Average 95th Percentile 
CO2 Reading 
","(",D4,")")</f>
        <v>Average 95th Percentile 
CO2 Reading 
(ppm)</v>
      </c>
      <c r="E6" s="1"/>
      <c r="F6" s="36"/>
    </row>
    <row r="7" spans="1:6" x14ac:dyDescent="0.25">
      <c r="A7" s="37">
        <f>IFERROR(IF(D7="",1,0),1)</f>
        <v>0</v>
      </c>
      <c r="B7" s="52">
        <f t="shared" ref="B7:B31" si="0">INDEX(Dates,1,E7)</f>
        <v>44012</v>
      </c>
      <c r="C7" s="52">
        <f t="shared" ref="C7" si="1">B7</f>
        <v>44012</v>
      </c>
      <c r="D7" s="53">
        <f t="shared" ref="D7:D31" si="2">HLOOKUP(B7,ReadingTable,2,FALSE)</f>
        <v>0.62</v>
      </c>
      <c r="E7" s="68">
        <f>IF(E6="",7,E6+1)</f>
        <v>7</v>
      </c>
    </row>
    <row r="8" spans="1:6" x14ac:dyDescent="0.25">
      <c r="A8" s="37">
        <f t="shared" ref="A8:A31" si="3">IFERROR(IF(D8="",1,0),1)</f>
        <v>0</v>
      </c>
      <c r="B8" s="52">
        <f t="shared" si="0"/>
        <v>43982</v>
      </c>
      <c r="C8" s="52">
        <f t="shared" ref="C8:C31" si="4">B8</f>
        <v>43982</v>
      </c>
      <c r="D8" s="53">
        <f t="shared" si="2"/>
        <v>0.19</v>
      </c>
      <c r="E8" s="68">
        <f t="shared" ref="E8:E31" si="5">IF(E7="",7,E7+1)</f>
        <v>8</v>
      </c>
    </row>
    <row r="9" spans="1:6" x14ac:dyDescent="0.25">
      <c r="A9" s="37">
        <f t="shared" si="3"/>
        <v>0</v>
      </c>
      <c r="B9" s="52">
        <f t="shared" si="0"/>
        <v>43951</v>
      </c>
      <c r="C9" s="52">
        <f t="shared" si="4"/>
        <v>43951</v>
      </c>
      <c r="D9" s="53">
        <f t="shared" si="2"/>
        <v>0.44</v>
      </c>
      <c r="E9" s="68">
        <f t="shared" si="5"/>
        <v>9</v>
      </c>
    </row>
    <row r="10" spans="1:6" x14ac:dyDescent="0.25">
      <c r="A10" s="37">
        <f t="shared" si="3"/>
        <v>0</v>
      </c>
      <c r="B10" s="52">
        <f t="shared" si="0"/>
        <v>43921</v>
      </c>
      <c r="C10" s="52">
        <f t="shared" si="4"/>
        <v>43921</v>
      </c>
      <c r="D10" s="53">
        <f t="shared" si="2"/>
        <v>0.73</v>
      </c>
      <c r="E10" s="68">
        <f t="shared" si="5"/>
        <v>10</v>
      </c>
    </row>
    <row r="11" spans="1:6" x14ac:dyDescent="0.25">
      <c r="A11" s="37">
        <f t="shared" si="3"/>
        <v>0</v>
      </c>
      <c r="B11" s="52">
        <f t="shared" si="0"/>
        <v>43889</v>
      </c>
      <c r="C11" s="52">
        <f t="shared" si="4"/>
        <v>43889</v>
      </c>
      <c r="D11" s="53">
        <f t="shared" si="2"/>
        <v>0.99</v>
      </c>
      <c r="E11" s="68">
        <f t="shared" si="5"/>
        <v>11</v>
      </c>
    </row>
    <row r="12" spans="1:6" x14ac:dyDescent="0.25">
      <c r="A12" s="37">
        <f t="shared" si="3"/>
        <v>0</v>
      </c>
      <c r="B12" s="52">
        <f t="shared" si="0"/>
        <v>43861</v>
      </c>
      <c r="C12" s="52">
        <f t="shared" si="4"/>
        <v>43861</v>
      </c>
      <c r="D12" s="53">
        <f t="shared" si="2"/>
        <v>0.11</v>
      </c>
      <c r="E12" s="68">
        <f t="shared" si="5"/>
        <v>12</v>
      </c>
    </row>
    <row r="13" spans="1:6" x14ac:dyDescent="0.25">
      <c r="A13" s="37">
        <f t="shared" si="3"/>
        <v>0</v>
      </c>
      <c r="B13" s="52">
        <f t="shared" si="0"/>
        <v>43830</v>
      </c>
      <c r="C13" s="52">
        <f t="shared" si="4"/>
        <v>43830</v>
      </c>
      <c r="D13" s="53">
        <f t="shared" si="2"/>
        <v>0.25</v>
      </c>
      <c r="E13" s="68">
        <f t="shared" si="5"/>
        <v>13</v>
      </c>
    </row>
    <row r="14" spans="1:6" x14ac:dyDescent="0.25">
      <c r="A14" s="37">
        <f t="shared" si="3"/>
        <v>0</v>
      </c>
      <c r="B14" s="52">
        <f t="shared" si="0"/>
        <v>43799</v>
      </c>
      <c r="C14" s="52">
        <f t="shared" si="4"/>
        <v>43799</v>
      </c>
      <c r="D14" s="53">
        <f t="shared" si="2"/>
        <v>0.25</v>
      </c>
      <c r="E14" s="68">
        <f t="shared" si="5"/>
        <v>14</v>
      </c>
    </row>
    <row r="15" spans="1:6" x14ac:dyDescent="0.25">
      <c r="A15" s="37">
        <f t="shared" si="3"/>
        <v>0</v>
      </c>
      <c r="B15" s="52">
        <f t="shared" si="0"/>
        <v>43769</v>
      </c>
      <c r="C15" s="52">
        <f t="shared" si="4"/>
        <v>43769</v>
      </c>
      <c r="D15" s="53">
        <f t="shared" si="2"/>
        <v>0.33</v>
      </c>
      <c r="E15" s="68">
        <f t="shared" si="5"/>
        <v>15</v>
      </c>
    </row>
    <row r="16" spans="1:6" x14ac:dyDescent="0.25">
      <c r="A16" s="37">
        <f t="shared" si="3"/>
        <v>0</v>
      </c>
      <c r="B16" s="52">
        <f t="shared" si="0"/>
        <v>43738</v>
      </c>
      <c r="C16" s="52">
        <f t="shared" si="4"/>
        <v>43738</v>
      </c>
      <c r="D16" s="53">
        <f t="shared" si="2"/>
        <v>0.19</v>
      </c>
      <c r="E16" s="68">
        <f t="shared" si="5"/>
        <v>16</v>
      </c>
    </row>
    <row r="17" spans="1:5" x14ac:dyDescent="0.25">
      <c r="A17" s="37">
        <f t="shared" si="3"/>
        <v>0</v>
      </c>
      <c r="B17" s="52">
        <f t="shared" si="0"/>
        <v>43708</v>
      </c>
      <c r="C17" s="52">
        <f t="shared" si="4"/>
        <v>43708</v>
      </c>
      <c r="D17" s="53">
        <f t="shared" si="2"/>
        <v>0.5</v>
      </c>
      <c r="E17" s="68">
        <f t="shared" si="5"/>
        <v>17</v>
      </c>
    </row>
    <row r="18" spans="1:5" x14ac:dyDescent="0.25">
      <c r="A18" s="37">
        <f t="shared" si="3"/>
        <v>0</v>
      </c>
      <c r="B18" s="52">
        <f t="shared" si="0"/>
        <v>43677</v>
      </c>
      <c r="C18" s="52">
        <f t="shared" si="4"/>
        <v>43677</v>
      </c>
      <c r="D18" s="53">
        <f t="shared" si="2"/>
        <v>0.5</v>
      </c>
      <c r="E18" s="68">
        <f t="shared" si="5"/>
        <v>18</v>
      </c>
    </row>
    <row r="19" spans="1:5" x14ac:dyDescent="0.25">
      <c r="A19" s="37">
        <f t="shared" si="3"/>
        <v>0</v>
      </c>
      <c r="B19" s="52">
        <f t="shared" si="0"/>
        <v>43646</v>
      </c>
      <c r="C19" s="52">
        <f t="shared" si="4"/>
        <v>43646</v>
      </c>
      <c r="D19" s="53">
        <f t="shared" si="2"/>
        <v>0.5</v>
      </c>
      <c r="E19" s="68">
        <f t="shared" si="5"/>
        <v>19</v>
      </c>
    </row>
    <row r="20" spans="1:5" x14ac:dyDescent="0.25">
      <c r="A20" s="37">
        <f t="shared" si="3"/>
        <v>0</v>
      </c>
      <c r="B20" s="52">
        <f t="shared" si="0"/>
        <v>43616</v>
      </c>
      <c r="C20" s="52">
        <f t="shared" si="4"/>
        <v>43616</v>
      </c>
      <c r="D20" s="53">
        <f t="shared" si="2"/>
        <v>0.19</v>
      </c>
      <c r="E20" s="68">
        <f t="shared" si="5"/>
        <v>20</v>
      </c>
    </row>
    <row r="21" spans="1:5" x14ac:dyDescent="0.25">
      <c r="A21" s="37">
        <f t="shared" si="3"/>
        <v>0</v>
      </c>
      <c r="B21" s="52">
        <f t="shared" si="0"/>
        <v>43585</v>
      </c>
      <c r="C21" s="52">
        <f t="shared" si="4"/>
        <v>43585</v>
      </c>
      <c r="D21" s="53">
        <f t="shared" si="2"/>
        <v>0.44</v>
      </c>
      <c r="E21" s="68">
        <f t="shared" si="5"/>
        <v>21</v>
      </c>
    </row>
    <row r="22" spans="1:5" x14ac:dyDescent="0.25">
      <c r="A22" s="37">
        <f t="shared" si="3"/>
        <v>0</v>
      </c>
      <c r="B22" s="52">
        <f t="shared" si="0"/>
        <v>43555</v>
      </c>
      <c r="C22" s="52">
        <f t="shared" si="4"/>
        <v>43555</v>
      </c>
      <c r="D22" s="53">
        <f t="shared" si="2"/>
        <v>0.73</v>
      </c>
      <c r="E22" s="68">
        <f t="shared" si="5"/>
        <v>22</v>
      </c>
    </row>
    <row r="23" spans="1:5" x14ac:dyDescent="0.25">
      <c r="A23" s="37">
        <f t="shared" si="3"/>
        <v>0</v>
      </c>
      <c r="B23" s="52">
        <f t="shared" si="0"/>
        <v>43524</v>
      </c>
      <c r="C23" s="52">
        <f t="shared" si="4"/>
        <v>43524</v>
      </c>
      <c r="D23" s="53">
        <f t="shared" si="2"/>
        <v>0.99</v>
      </c>
      <c r="E23" s="68">
        <f t="shared" si="5"/>
        <v>23</v>
      </c>
    </row>
    <row r="24" spans="1:5" x14ac:dyDescent="0.25">
      <c r="A24" s="37">
        <f t="shared" si="3"/>
        <v>0</v>
      </c>
      <c r="B24" s="52">
        <f t="shared" si="0"/>
        <v>43496</v>
      </c>
      <c r="C24" s="52">
        <f t="shared" si="4"/>
        <v>43496</v>
      </c>
      <c r="D24" s="53">
        <f t="shared" si="2"/>
        <v>0.11</v>
      </c>
      <c r="E24" s="68">
        <f t="shared" si="5"/>
        <v>24</v>
      </c>
    </row>
    <row r="25" spans="1:5" x14ac:dyDescent="0.25">
      <c r="A25" s="37">
        <f t="shared" si="3"/>
        <v>0</v>
      </c>
      <c r="B25" s="52">
        <f t="shared" si="0"/>
        <v>43465</v>
      </c>
      <c r="C25" s="52">
        <f t="shared" si="4"/>
        <v>43465</v>
      </c>
      <c r="D25" s="53">
        <f t="shared" si="2"/>
        <v>0.25</v>
      </c>
      <c r="E25" s="68">
        <f t="shared" si="5"/>
        <v>25</v>
      </c>
    </row>
    <row r="26" spans="1:5" x14ac:dyDescent="0.25">
      <c r="A26" s="37">
        <f t="shared" si="3"/>
        <v>0</v>
      </c>
      <c r="B26" s="52">
        <f t="shared" si="0"/>
        <v>43434</v>
      </c>
      <c r="C26" s="52">
        <f t="shared" si="4"/>
        <v>43434</v>
      </c>
      <c r="D26" s="53">
        <f t="shared" si="2"/>
        <v>0.25</v>
      </c>
      <c r="E26" s="68">
        <f t="shared" si="5"/>
        <v>26</v>
      </c>
    </row>
    <row r="27" spans="1:5" x14ac:dyDescent="0.25">
      <c r="A27" s="37">
        <f t="shared" si="3"/>
        <v>0</v>
      </c>
      <c r="B27" s="52">
        <f t="shared" si="0"/>
        <v>43404</v>
      </c>
      <c r="C27" s="52">
        <f t="shared" si="4"/>
        <v>43404</v>
      </c>
      <c r="D27" s="53">
        <f t="shared" si="2"/>
        <v>0.33</v>
      </c>
      <c r="E27" s="68">
        <f t="shared" si="5"/>
        <v>27</v>
      </c>
    </row>
    <row r="28" spans="1:5" x14ac:dyDescent="0.25">
      <c r="A28" s="37">
        <f t="shared" si="3"/>
        <v>0</v>
      </c>
      <c r="B28" s="52">
        <f t="shared" si="0"/>
        <v>43373</v>
      </c>
      <c r="C28" s="52">
        <f t="shared" si="4"/>
        <v>43373</v>
      </c>
      <c r="D28" s="53">
        <f t="shared" si="2"/>
        <v>0.19</v>
      </c>
      <c r="E28" s="68">
        <f t="shared" si="5"/>
        <v>28</v>
      </c>
    </row>
    <row r="29" spans="1:5" x14ac:dyDescent="0.25">
      <c r="A29" s="37">
        <f t="shared" si="3"/>
        <v>0</v>
      </c>
      <c r="B29" s="52">
        <f t="shared" si="0"/>
        <v>43343</v>
      </c>
      <c r="C29" s="52">
        <f t="shared" si="4"/>
        <v>43343</v>
      </c>
      <c r="D29" s="53">
        <f t="shared" si="2"/>
        <v>0.5</v>
      </c>
      <c r="E29" s="68">
        <f t="shared" si="5"/>
        <v>29</v>
      </c>
    </row>
    <row r="30" spans="1:5" x14ac:dyDescent="0.25">
      <c r="A30" s="37">
        <f t="shared" si="3"/>
        <v>0</v>
      </c>
      <c r="B30" s="52">
        <f t="shared" si="0"/>
        <v>43312</v>
      </c>
      <c r="C30" s="52">
        <f t="shared" si="4"/>
        <v>43312</v>
      </c>
      <c r="D30" s="53">
        <f t="shared" si="2"/>
        <v>0.5</v>
      </c>
      <c r="E30" s="68">
        <f t="shared" si="5"/>
        <v>30</v>
      </c>
    </row>
    <row r="31" spans="1:5" x14ac:dyDescent="0.25">
      <c r="A31" s="37">
        <f t="shared" si="3"/>
        <v>0</v>
      </c>
      <c r="B31" s="52">
        <f t="shared" si="0"/>
        <v>43281</v>
      </c>
      <c r="C31" s="52">
        <f t="shared" si="4"/>
        <v>43281</v>
      </c>
      <c r="D31" s="53">
        <f t="shared" si="2"/>
        <v>0.5</v>
      </c>
      <c r="E31" s="68">
        <f t="shared" si="5"/>
        <v>31</v>
      </c>
    </row>
    <row r="32" spans="1:5" x14ac:dyDescent="0.25">
      <c r="A32" s="4" t="s">
        <v>545</v>
      </c>
      <c r="B32" s="1"/>
      <c r="C32" s="1"/>
      <c r="D32" s="1"/>
      <c r="E32" s="1"/>
    </row>
    <row r="33" spans="1:5" x14ac:dyDescent="0.25">
      <c r="A33" s="4"/>
      <c r="B33" s="1"/>
      <c r="C33" s="1"/>
      <c r="D33" s="1"/>
      <c r="E33" s="1"/>
    </row>
    <row r="34" spans="1:5" ht="36.6" customHeight="1" x14ac:dyDescent="0.25">
      <c r="A34" s="4" t="s">
        <v>545</v>
      </c>
      <c r="B34" s="24"/>
      <c r="C34" s="24"/>
      <c r="D34" s="24"/>
      <c r="E34" s="1"/>
    </row>
  </sheetData>
  <sheetProtection algorithmName="SHA-512" hashValue="8Q8pr0wqxaEpGsGMyO9eWx6Nedily2SHZxy8cQilpgk0Ncrfy8Oj8eloep5zALIm7fPIBAkGIinDciBm4kmtTA==" saltValue="r51xLDJzp4sfRX0OUKiHJ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31" xr:uid="{00000000-0002-0000-0500-000001000000}">
      <formula1>1</formula1>
      <formula2>73051</formula2>
    </dataValidation>
    <dataValidation type="decimal" allowBlank="1" showInputMessage="1" showErrorMessage="1" error="Please enter a valid reading." sqref="D7:D31"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33</xdr:row>
                    <xdr:rowOff>9525</xdr:rowOff>
                  </from>
                  <to>
                    <xdr:col>2</xdr:col>
                    <xdr:colOff>447675</xdr:colOff>
                    <xdr:row>33</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33</xdr:row>
                    <xdr:rowOff>400050</xdr:rowOff>
                  </from>
                  <to>
                    <xdr:col>3</xdr:col>
                    <xdr:colOff>981075</xdr:colOff>
                    <xdr:row>35</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E56"/>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6" ht="36" customHeight="1" x14ac:dyDescent="0.25">
      <c r="A1" s="38" t="s">
        <v>589</v>
      </c>
      <c r="B1" s="40" t="s">
        <v>606</v>
      </c>
    </row>
    <row r="2" spans="1:6" ht="33.75" customHeight="1" x14ac:dyDescent="0.25">
      <c r="A2" s="38" t="s">
        <v>589</v>
      </c>
      <c r="B2" s="41" t="s">
        <v>574</v>
      </c>
      <c r="C2" s="42" t="s">
        <v>680</v>
      </c>
      <c r="D2" s="43" t="s">
        <v>575</v>
      </c>
      <c r="E2" s="44" t="s">
        <v>576</v>
      </c>
      <c r="F2" s="45" t="s">
        <v>582</v>
      </c>
    </row>
    <row r="3" spans="1:6" x14ac:dyDescent="0.25">
      <c r="B3" s="75" t="s">
        <v>750</v>
      </c>
      <c r="C3" s="76">
        <v>223</v>
      </c>
      <c r="D3" s="91">
        <v>44012</v>
      </c>
      <c r="E3" s="97">
        <v>0.375</v>
      </c>
      <c r="F3" s="92">
        <v>0.62</v>
      </c>
    </row>
    <row r="4" spans="1:6" x14ac:dyDescent="0.25">
      <c r="B4" s="75" t="s">
        <v>752</v>
      </c>
      <c r="C4" s="76">
        <v>224</v>
      </c>
      <c r="D4" s="91">
        <v>43982</v>
      </c>
      <c r="E4" s="97">
        <v>0.41666666666666669</v>
      </c>
      <c r="F4" s="92">
        <v>0.19</v>
      </c>
    </row>
    <row r="5" spans="1:6" x14ac:dyDescent="0.25">
      <c r="A5" s="38">
        <v>0</v>
      </c>
      <c r="B5" s="75" t="s">
        <v>753</v>
      </c>
      <c r="C5" s="76">
        <v>225</v>
      </c>
      <c r="D5" s="91">
        <v>43951</v>
      </c>
      <c r="E5" s="97">
        <v>0.45833333333333331</v>
      </c>
      <c r="F5" s="92">
        <v>0.44</v>
      </c>
    </row>
    <row r="6" spans="1:6" x14ac:dyDescent="0.25">
      <c r="B6" s="75" t="s">
        <v>754</v>
      </c>
      <c r="C6" s="76">
        <v>226</v>
      </c>
      <c r="D6" s="91">
        <v>43921</v>
      </c>
      <c r="E6" s="97">
        <v>0.10416666666666667</v>
      </c>
      <c r="F6" s="92">
        <v>0.73</v>
      </c>
    </row>
    <row r="7" spans="1:6" x14ac:dyDescent="0.25">
      <c r="B7" s="75" t="s">
        <v>755</v>
      </c>
      <c r="C7" s="76">
        <v>227</v>
      </c>
      <c r="D7" s="91">
        <v>43889</v>
      </c>
      <c r="E7" s="97">
        <v>0.14583333333333334</v>
      </c>
      <c r="F7" s="92">
        <v>0.99</v>
      </c>
    </row>
    <row r="8" spans="1:6" x14ac:dyDescent="0.25">
      <c r="B8" s="75" t="s">
        <v>752</v>
      </c>
      <c r="C8" s="76">
        <v>228</v>
      </c>
      <c r="D8" s="91">
        <v>43861</v>
      </c>
      <c r="E8" s="97">
        <v>8.3333333333333329E-2</v>
      </c>
      <c r="F8" s="92">
        <v>0.11</v>
      </c>
    </row>
    <row r="9" spans="1:6" x14ac:dyDescent="0.25">
      <c r="B9" s="75" t="s">
        <v>753</v>
      </c>
      <c r="C9" s="76">
        <v>229</v>
      </c>
      <c r="D9" s="91">
        <v>43830</v>
      </c>
      <c r="E9" s="97">
        <v>0.125</v>
      </c>
      <c r="F9" s="92">
        <v>0.25</v>
      </c>
    </row>
    <row r="10" spans="1:6" x14ac:dyDescent="0.25">
      <c r="B10" s="75" t="s">
        <v>750</v>
      </c>
      <c r="C10" s="76">
        <v>230</v>
      </c>
      <c r="D10" s="91">
        <v>43799</v>
      </c>
      <c r="E10" s="97">
        <v>0.33333333333333331</v>
      </c>
      <c r="F10" s="92">
        <v>0.25</v>
      </c>
    </row>
    <row r="11" spans="1:6" x14ac:dyDescent="0.25">
      <c r="B11" s="75" t="s">
        <v>756</v>
      </c>
      <c r="C11" s="76">
        <v>231</v>
      </c>
      <c r="D11" s="91">
        <v>43769</v>
      </c>
      <c r="E11" s="97">
        <v>0.30555555555555552</v>
      </c>
      <c r="F11" s="92">
        <v>0.33</v>
      </c>
    </row>
    <row r="12" spans="1:6" x14ac:dyDescent="0.25">
      <c r="B12" s="75" t="s">
        <v>757</v>
      </c>
      <c r="C12" s="76">
        <v>232</v>
      </c>
      <c r="D12" s="91">
        <v>43738</v>
      </c>
      <c r="E12" s="97">
        <v>0.26458333333333334</v>
      </c>
      <c r="F12" s="92">
        <v>0.19</v>
      </c>
    </row>
    <row r="13" spans="1:6" x14ac:dyDescent="0.25">
      <c r="B13" s="75" t="s">
        <v>758</v>
      </c>
      <c r="C13" s="76">
        <v>233</v>
      </c>
      <c r="D13" s="91">
        <v>43708</v>
      </c>
      <c r="E13" s="97">
        <v>0.5083333333333333</v>
      </c>
      <c r="F13" s="92">
        <v>0.5</v>
      </c>
    </row>
    <row r="14" spans="1:6" x14ac:dyDescent="0.25">
      <c r="B14" s="75" t="s">
        <v>759</v>
      </c>
      <c r="C14" s="76">
        <v>234</v>
      </c>
      <c r="D14" s="91">
        <v>43677</v>
      </c>
      <c r="E14" s="97">
        <v>5.486111111111111E-2</v>
      </c>
      <c r="F14" s="92">
        <v>0.5</v>
      </c>
    </row>
    <row r="15" spans="1:6" x14ac:dyDescent="0.25">
      <c r="B15" s="75" t="s">
        <v>760</v>
      </c>
      <c r="C15" s="76">
        <v>235</v>
      </c>
      <c r="D15" s="91">
        <v>43646</v>
      </c>
      <c r="E15" s="97">
        <v>0.38194444444444442</v>
      </c>
      <c r="F15" s="92">
        <v>0.5</v>
      </c>
    </row>
    <row r="16" spans="1:6" x14ac:dyDescent="0.25">
      <c r="B16" s="75" t="s">
        <v>750</v>
      </c>
      <c r="C16" s="76">
        <v>236</v>
      </c>
      <c r="D16" s="91">
        <v>43616</v>
      </c>
      <c r="E16" s="97">
        <v>0.375</v>
      </c>
      <c r="F16" s="92">
        <v>0.19</v>
      </c>
    </row>
    <row r="17" spans="1:31" x14ac:dyDescent="0.25">
      <c r="B17" s="75" t="s">
        <v>752</v>
      </c>
      <c r="C17" s="76">
        <v>237</v>
      </c>
      <c r="D17" s="91">
        <v>43585</v>
      </c>
      <c r="E17" s="97">
        <v>0.41666666666666669</v>
      </c>
      <c r="F17" s="92">
        <v>0.44</v>
      </c>
    </row>
    <row r="18" spans="1:31" x14ac:dyDescent="0.25">
      <c r="B18" s="75" t="s">
        <v>753</v>
      </c>
      <c r="C18" s="76">
        <v>238</v>
      </c>
      <c r="D18" s="91">
        <v>43555</v>
      </c>
      <c r="E18" s="97">
        <v>0.45833333333333331</v>
      </c>
      <c r="F18" s="92">
        <v>0.73</v>
      </c>
    </row>
    <row r="19" spans="1:31" x14ac:dyDescent="0.25">
      <c r="B19" s="75" t="s">
        <v>754</v>
      </c>
      <c r="C19" s="76">
        <v>239</v>
      </c>
      <c r="D19" s="91">
        <v>43524</v>
      </c>
      <c r="E19" s="97">
        <v>0.10416666666666667</v>
      </c>
      <c r="F19" s="92">
        <v>0.99</v>
      </c>
    </row>
    <row r="20" spans="1:31" x14ac:dyDescent="0.25">
      <c r="B20" s="75" t="s">
        <v>755</v>
      </c>
      <c r="C20" s="76">
        <v>240</v>
      </c>
      <c r="D20" s="91">
        <v>43496</v>
      </c>
      <c r="E20" s="97">
        <v>0.14583333333333334</v>
      </c>
      <c r="F20" s="92">
        <v>0.11</v>
      </c>
    </row>
    <row r="21" spans="1:31" x14ac:dyDescent="0.25">
      <c r="B21" s="75" t="s">
        <v>752</v>
      </c>
      <c r="C21" s="76">
        <v>241</v>
      </c>
      <c r="D21" s="91">
        <v>43465</v>
      </c>
      <c r="E21" s="97">
        <v>8.3333333333333329E-2</v>
      </c>
      <c r="F21" s="92">
        <v>0.25</v>
      </c>
    </row>
    <row r="22" spans="1:31" x14ac:dyDescent="0.25">
      <c r="B22" s="75" t="s">
        <v>753</v>
      </c>
      <c r="C22" s="76">
        <v>242</v>
      </c>
      <c r="D22" s="91">
        <v>43434</v>
      </c>
      <c r="E22" s="97">
        <v>0.125</v>
      </c>
      <c r="F22" s="92">
        <v>0.25</v>
      </c>
    </row>
    <row r="23" spans="1:31" x14ac:dyDescent="0.25">
      <c r="B23" s="75" t="s">
        <v>750</v>
      </c>
      <c r="C23" s="76">
        <v>243</v>
      </c>
      <c r="D23" s="91">
        <v>43404</v>
      </c>
      <c r="E23" s="97">
        <v>0.33333333333333331</v>
      </c>
      <c r="F23" s="92">
        <v>0.33</v>
      </c>
    </row>
    <row r="24" spans="1:31" x14ac:dyDescent="0.25">
      <c r="B24" s="75" t="s">
        <v>756</v>
      </c>
      <c r="C24" s="76">
        <v>244</v>
      </c>
      <c r="D24" s="91">
        <v>43373</v>
      </c>
      <c r="E24" s="97">
        <v>0.30555555555555552</v>
      </c>
      <c r="F24" s="92">
        <v>0.19</v>
      </c>
    </row>
    <row r="25" spans="1:31" x14ac:dyDescent="0.25">
      <c r="B25" s="75" t="s">
        <v>757</v>
      </c>
      <c r="C25" s="76">
        <v>245</v>
      </c>
      <c r="D25" s="91">
        <v>43343</v>
      </c>
      <c r="E25" s="97">
        <v>0.26458333333333334</v>
      </c>
      <c r="F25" s="92">
        <v>0.5</v>
      </c>
    </row>
    <row r="26" spans="1:31" x14ac:dyDescent="0.25">
      <c r="B26" s="75" t="s">
        <v>758</v>
      </c>
      <c r="C26" s="76">
        <v>246</v>
      </c>
      <c r="D26" s="91">
        <v>43312</v>
      </c>
      <c r="E26" s="97">
        <v>0.5083333333333333</v>
      </c>
      <c r="F26" s="92">
        <v>0.5</v>
      </c>
    </row>
    <row r="27" spans="1:31" x14ac:dyDescent="0.25">
      <c r="B27" s="75" t="s">
        <v>755</v>
      </c>
      <c r="C27" s="76">
        <v>247</v>
      </c>
      <c r="D27" s="91">
        <v>43281</v>
      </c>
      <c r="E27" s="97">
        <v>0.26458333333333334</v>
      </c>
      <c r="F27" s="92">
        <v>0.5</v>
      </c>
    </row>
    <row r="28" spans="1:31" x14ac:dyDescent="0.25">
      <c r="B28" s="75"/>
      <c r="C28" s="76"/>
      <c r="D28" s="91"/>
      <c r="E28" s="97"/>
      <c r="F28" s="92"/>
    </row>
    <row r="29" spans="1:31" ht="39" customHeight="1" x14ac:dyDescent="0.25"/>
    <row r="30" spans="1:31" s="59" customFormat="1" ht="51" customHeight="1" x14ac:dyDescent="0.2">
      <c r="A30" s="38" t="s">
        <v>580</v>
      </c>
      <c r="B30" s="40"/>
      <c r="F30" s="60"/>
      <c r="G30" s="69">
        <f t="shared" ref="G30:AE30" si="0">IF(G32="",1,0)</f>
        <v>0</v>
      </c>
      <c r="H30" s="69">
        <f t="shared" si="0"/>
        <v>0</v>
      </c>
      <c r="I30" s="69">
        <f t="shared" si="0"/>
        <v>0</v>
      </c>
      <c r="J30" s="69">
        <f t="shared" si="0"/>
        <v>0</v>
      </c>
      <c r="K30" s="69">
        <f t="shared" si="0"/>
        <v>0</v>
      </c>
      <c r="L30" s="69">
        <f t="shared" si="0"/>
        <v>0</v>
      </c>
      <c r="M30" s="69">
        <f t="shared" si="0"/>
        <v>0</v>
      </c>
      <c r="N30" s="69">
        <f t="shared" si="0"/>
        <v>0</v>
      </c>
      <c r="O30" s="69">
        <f t="shared" si="0"/>
        <v>0</v>
      </c>
      <c r="P30" s="69">
        <f t="shared" si="0"/>
        <v>0</v>
      </c>
      <c r="Q30" s="69">
        <f t="shared" si="0"/>
        <v>0</v>
      </c>
      <c r="R30" s="69">
        <f t="shared" si="0"/>
        <v>0</v>
      </c>
      <c r="S30" s="69">
        <f t="shared" si="0"/>
        <v>0</v>
      </c>
      <c r="T30" s="69">
        <f t="shared" si="0"/>
        <v>0</v>
      </c>
      <c r="U30" s="69">
        <f t="shared" si="0"/>
        <v>0</v>
      </c>
      <c r="V30" s="69">
        <f t="shared" si="0"/>
        <v>0</v>
      </c>
      <c r="W30" s="69">
        <f t="shared" si="0"/>
        <v>0</v>
      </c>
      <c r="X30" s="69">
        <f t="shared" si="0"/>
        <v>0</v>
      </c>
      <c r="Y30" s="69">
        <f t="shared" si="0"/>
        <v>0</v>
      </c>
      <c r="Z30" s="69">
        <f t="shared" si="0"/>
        <v>0</v>
      </c>
      <c r="AA30" s="69">
        <f t="shared" si="0"/>
        <v>0</v>
      </c>
      <c r="AB30" s="69">
        <f t="shared" si="0"/>
        <v>0</v>
      </c>
      <c r="AC30" s="69">
        <f t="shared" si="0"/>
        <v>0</v>
      </c>
      <c r="AD30" s="69">
        <f t="shared" si="0"/>
        <v>0</v>
      </c>
      <c r="AE30" s="69">
        <f t="shared" si="0"/>
        <v>0</v>
      </c>
    </row>
    <row r="31" spans="1:31" ht="21" customHeight="1" x14ac:dyDescent="0.25">
      <c r="A31" s="38" t="s">
        <v>589</v>
      </c>
      <c r="B31" s="243"/>
      <c r="C31" s="61"/>
      <c r="D31" s="61"/>
      <c r="E31" s="61"/>
      <c r="F31" s="62"/>
      <c r="G31" s="47" t="s">
        <v>575</v>
      </c>
      <c r="H31" s="47" t="s">
        <v>575</v>
      </c>
      <c r="I31" s="47" t="s">
        <v>575</v>
      </c>
      <c r="J31" s="47" t="s">
        <v>575</v>
      </c>
      <c r="K31" s="47" t="s">
        <v>575</v>
      </c>
      <c r="L31" s="47" t="s">
        <v>575</v>
      </c>
      <c r="M31" s="47" t="s">
        <v>575</v>
      </c>
      <c r="N31" s="47" t="s">
        <v>575</v>
      </c>
      <c r="O31" s="47" t="s">
        <v>575</v>
      </c>
      <c r="P31" s="47" t="s">
        <v>575</v>
      </c>
      <c r="Q31" s="47" t="s">
        <v>575</v>
      </c>
      <c r="R31" s="47" t="s">
        <v>575</v>
      </c>
      <c r="S31" s="47" t="s">
        <v>575</v>
      </c>
      <c r="T31" s="47" t="s">
        <v>575</v>
      </c>
      <c r="U31" s="47" t="s">
        <v>575</v>
      </c>
      <c r="V31" s="47" t="s">
        <v>575</v>
      </c>
      <c r="W31" s="47" t="s">
        <v>575</v>
      </c>
      <c r="X31" s="47" t="s">
        <v>575</v>
      </c>
      <c r="Y31" s="47" t="s">
        <v>575</v>
      </c>
      <c r="Z31" s="47" t="s">
        <v>575</v>
      </c>
      <c r="AA31" s="47" t="s">
        <v>575</v>
      </c>
      <c r="AB31" s="47" t="s">
        <v>575</v>
      </c>
      <c r="AC31" s="47" t="s">
        <v>575</v>
      </c>
      <c r="AD31" s="47" t="s">
        <v>575</v>
      </c>
      <c r="AE31" s="47" t="s">
        <v>575</v>
      </c>
    </row>
    <row r="32" spans="1:31" ht="15" customHeight="1" x14ac:dyDescent="0.25">
      <c r="A32" s="38" t="s">
        <v>589</v>
      </c>
      <c r="B32" s="244"/>
      <c r="C32" s="63"/>
      <c r="D32" s="63"/>
      <c r="E32" s="63"/>
      <c r="F32" s="64"/>
      <c r="G32" s="145">
        <f t="array" ref="G32">IFERROR(INDEX($D$3:$D$29, MATCH(0,IF(ISBLANK($D$3:$D$29),1,COUNTIF($F$32:F32, $D$3:$D$29)), 0)),"")</f>
        <v>44012</v>
      </c>
      <c r="H32" s="145">
        <f t="array" ref="H32">IFERROR(INDEX($D$3:$D$29, MATCH(0,IF(ISBLANK($D$3:$D$29),1,COUNTIF($F$32:G32, $D$3:$D$29)), 0)),"")</f>
        <v>43982</v>
      </c>
      <c r="I32" s="145">
        <f t="array" ref="I32">IFERROR(INDEX($D$3:$D$29, MATCH(0,IF(ISBLANK($D$3:$D$29),1,COUNTIF($F$32:H32, $D$3:$D$29)), 0)),"")</f>
        <v>43951</v>
      </c>
      <c r="J32" s="145">
        <f t="array" ref="J32">IFERROR(INDEX($D$3:$D$29, MATCH(0,IF(ISBLANK($D$3:$D$29),1,COUNTIF($F$32:I32, $D$3:$D$29)), 0)),"")</f>
        <v>43921</v>
      </c>
      <c r="K32" s="145">
        <f t="array" ref="K32">IFERROR(INDEX($D$3:$D$29, MATCH(0,IF(ISBLANK($D$3:$D$29),1,COUNTIF($F$32:J32, $D$3:$D$29)), 0)),"")</f>
        <v>43889</v>
      </c>
      <c r="L32" s="145">
        <f t="array" ref="L32">IFERROR(INDEX($D$3:$D$29, MATCH(0,IF(ISBLANK($D$3:$D$29),1,COUNTIF($F$32:K32, $D$3:$D$29)), 0)),"")</f>
        <v>43861</v>
      </c>
      <c r="M32" s="145">
        <f t="array" ref="M32">IFERROR(INDEX($D$3:$D$29, MATCH(0,IF(ISBLANK($D$3:$D$29),1,COUNTIF($F$32:L32, $D$3:$D$29)), 0)),"")</f>
        <v>43830</v>
      </c>
      <c r="N32" s="145">
        <f t="array" ref="N32">IFERROR(INDEX($D$3:$D$29, MATCH(0,IF(ISBLANK($D$3:$D$29),1,COUNTIF($F$32:M32, $D$3:$D$29)), 0)),"")</f>
        <v>43799</v>
      </c>
      <c r="O32" s="145">
        <f t="array" ref="O32">IFERROR(INDEX($D$3:$D$29, MATCH(0,IF(ISBLANK($D$3:$D$29),1,COUNTIF($F$32:N32, $D$3:$D$29)), 0)),"")</f>
        <v>43769</v>
      </c>
      <c r="P32" s="145">
        <f t="array" ref="P32">IFERROR(INDEX($D$3:$D$29, MATCH(0,IF(ISBLANK($D$3:$D$29),1,COUNTIF($F$32:O32, $D$3:$D$29)), 0)),"")</f>
        <v>43738</v>
      </c>
      <c r="Q32" s="145">
        <f t="array" ref="Q32">IFERROR(INDEX($D$3:$D$29, MATCH(0,IF(ISBLANK($D$3:$D$29),1,COUNTIF($F$32:P32, $D$3:$D$29)), 0)),"")</f>
        <v>43708</v>
      </c>
      <c r="R32" s="145">
        <f t="array" ref="R32">IFERROR(INDEX($D$3:$D$29, MATCH(0,IF(ISBLANK($D$3:$D$29),1,COUNTIF($F$32:Q32, $D$3:$D$29)), 0)),"")</f>
        <v>43677</v>
      </c>
      <c r="S32" s="145">
        <f t="array" ref="S32">IFERROR(INDEX($D$3:$D$29, MATCH(0,IF(ISBLANK($D$3:$D$29),1,COUNTIF($F$32:R32, $D$3:$D$29)), 0)),"")</f>
        <v>43646</v>
      </c>
      <c r="T32" s="145">
        <f t="array" ref="T32">IFERROR(INDEX($D$3:$D$29, MATCH(0,IF(ISBLANK($D$3:$D$29),1,COUNTIF($F$32:S32, $D$3:$D$29)), 0)),"")</f>
        <v>43616</v>
      </c>
      <c r="U32" s="145">
        <f t="array" ref="U32">IFERROR(INDEX($D$3:$D$29, MATCH(0,IF(ISBLANK($D$3:$D$29),1,COUNTIF($F$32:T32, $D$3:$D$29)), 0)),"")</f>
        <v>43585</v>
      </c>
      <c r="V32" s="145">
        <f t="array" ref="V32">IFERROR(INDEX($D$3:$D$29, MATCH(0,IF(ISBLANK($D$3:$D$29),1,COUNTIF($F$32:U32, $D$3:$D$29)), 0)),"")</f>
        <v>43555</v>
      </c>
      <c r="W32" s="145">
        <f t="array" ref="W32">IFERROR(INDEX($D$3:$D$29, MATCH(0,IF(ISBLANK($D$3:$D$29),1,COUNTIF($F$32:V32, $D$3:$D$29)), 0)),"")</f>
        <v>43524</v>
      </c>
      <c r="X32" s="145">
        <f t="array" ref="X32">IFERROR(INDEX($D$3:$D$29, MATCH(0,IF(ISBLANK($D$3:$D$29),1,COUNTIF($F$32:W32, $D$3:$D$29)), 0)),"")</f>
        <v>43496</v>
      </c>
      <c r="Y32" s="145">
        <f t="array" ref="Y32">IFERROR(INDEX($D$3:$D$29, MATCH(0,IF(ISBLANK($D$3:$D$29),1,COUNTIF($F$32:X32, $D$3:$D$29)), 0)),"")</f>
        <v>43465</v>
      </c>
      <c r="Z32" s="145">
        <f t="array" ref="Z32">IFERROR(INDEX($D$3:$D$29, MATCH(0,IF(ISBLANK($D$3:$D$29),1,COUNTIF($F$32:Y32, $D$3:$D$29)), 0)),"")</f>
        <v>43434</v>
      </c>
      <c r="AA32" s="145">
        <f t="array" ref="AA32">IFERROR(INDEX($D$3:$D$29, MATCH(0,IF(ISBLANK($D$3:$D$29),1,COUNTIF($F$32:Z32, $D$3:$D$29)), 0)),"")</f>
        <v>43404</v>
      </c>
      <c r="AB32" s="145">
        <f t="array" ref="AB32">IFERROR(INDEX($D$3:$D$29, MATCH(0,IF(ISBLANK($D$3:$D$29),1,COUNTIF($F$32:AA32, $D$3:$D$29)), 0)),"")</f>
        <v>43373</v>
      </c>
      <c r="AC32" s="145">
        <f t="array" ref="AC32">IFERROR(INDEX($D$3:$D$29, MATCH(0,IF(ISBLANK($D$3:$D$29),1,COUNTIF($F$32:AB32, $D$3:$D$29)), 0)),"")</f>
        <v>43343</v>
      </c>
      <c r="AD32" s="145">
        <f t="array" ref="AD32">IFERROR(INDEX($D$3:$D$29, MATCH(0,IF(ISBLANK($D$3:$D$29),1,COUNTIF($F$32:AC32, $D$3:$D$29)), 0)),"")</f>
        <v>43312</v>
      </c>
      <c r="AE32" s="145">
        <f t="array" ref="AE32">IFERROR(INDEX($D$3:$D$29, MATCH(0,IF(ISBLANK($D$3:$D$29),1,COUNTIF($F$32:AD32, $D$3:$D$29)), 0)),"")</f>
        <v>43281</v>
      </c>
    </row>
    <row r="33" spans="1:31" ht="27.75" customHeight="1" x14ac:dyDescent="0.25">
      <c r="A33" s="38" t="s">
        <v>589</v>
      </c>
      <c r="B33" s="245"/>
      <c r="C33" s="65"/>
      <c r="D33" s="65"/>
      <c r="E33" s="65"/>
      <c r="F33" s="66"/>
      <c r="G33" s="71" t="s">
        <v>581</v>
      </c>
      <c r="H33" s="71" t="s">
        <v>581</v>
      </c>
      <c r="I33" s="71" t="s">
        <v>581</v>
      </c>
      <c r="J33" s="71" t="s">
        <v>581</v>
      </c>
      <c r="K33" s="71" t="s">
        <v>581</v>
      </c>
      <c r="L33" s="71" t="s">
        <v>581</v>
      </c>
      <c r="M33" s="71" t="s">
        <v>581</v>
      </c>
      <c r="N33" s="71" t="s">
        <v>581</v>
      </c>
      <c r="O33" s="71" t="s">
        <v>581</v>
      </c>
      <c r="P33" s="71" t="s">
        <v>581</v>
      </c>
      <c r="Q33" s="71" t="s">
        <v>581</v>
      </c>
      <c r="R33" s="71" t="s">
        <v>581</v>
      </c>
      <c r="S33" s="71" t="s">
        <v>581</v>
      </c>
      <c r="T33" s="71" t="s">
        <v>581</v>
      </c>
      <c r="U33" s="71" t="s">
        <v>581</v>
      </c>
      <c r="V33" s="71" t="s">
        <v>581</v>
      </c>
      <c r="W33" s="71" t="s">
        <v>581</v>
      </c>
      <c r="X33" s="71" t="s">
        <v>581</v>
      </c>
      <c r="Y33" s="71" t="s">
        <v>581</v>
      </c>
      <c r="Z33" s="71" t="s">
        <v>581</v>
      </c>
      <c r="AA33" s="71" t="s">
        <v>581</v>
      </c>
      <c r="AB33" s="71" t="s">
        <v>581</v>
      </c>
      <c r="AC33" s="71" t="s">
        <v>581</v>
      </c>
      <c r="AD33" s="71" t="s">
        <v>581</v>
      </c>
      <c r="AE33" s="71" t="s">
        <v>581</v>
      </c>
    </row>
    <row r="34" spans="1:31" ht="15" customHeight="1" x14ac:dyDescent="0.25">
      <c r="A34" s="38">
        <f>IF(B34="",1,0)</f>
        <v>0</v>
      </c>
      <c r="B34" s="48" t="str">
        <f t="array" ref="B34">IFERROR(INDEX($B$3:$B$29, MATCH(0,IF(ISBLANK($B$3:$B$29),1,COUNTIF($B$33:B33, $B$3:$B$29)), 0)),"")</f>
        <v>Goa</v>
      </c>
      <c r="C34" s="49"/>
      <c r="D34" s="49"/>
      <c r="E34" s="49"/>
      <c r="F34" s="58"/>
      <c r="G34" s="93">
        <f t="array" ref="G34">IFERROR(PERCENTILE(IF($B$3:$B$29=$B34,IF($D$3:$D$29=G$32,IF($F$3:$F$29&lt;&gt;"",$F$3:$F$29))),0.95),"")</f>
        <v>0.62</v>
      </c>
      <c r="H34" s="93" t="str">
        <f t="array" ref="H34">IFERROR(PERCENTILE(IF($B$3:$B$29=$B34,IF($D$3:$D$29=H$32,IF($F$3:$F$29&lt;&gt;"",$F$3:$F$29))),0.95),"")</f>
        <v/>
      </c>
      <c r="I34" s="93" t="str">
        <f t="array" ref="I34">IFERROR(PERCENTILE(IF($B$3:$B$29=$B34,IF($D$3:$D$29=I$32,IF($F$3:$F$29&lt;&gt;"",$F$3:$F$29))),0.95),"")</f>
        <v/>
      </c>
      <c r="J34" s="93" t="str">
        <f t="array" ref="J34">IFERROR(PERCENTILE(IF($B$3:$B$29=$B34,IF($D$3:$D$29=J$32,IF($F$3:$F$29&lt;&gt;"",$F$3:$F$29))),0.95),"")</f>
        <v/>
      </c>
      <c r="K34" s="93" t="str">
        <f t="array" ref="K34">IFERROR(PERCENTILE(IF($B$3:$B$29=$B34,IF($D$3:$D$29=K$32,IF($F$3:$F$29&lt;&gt;"",$F$3:$F$29))),0.95),"")</f>
        <v/>
      </c>
      <c r="L34" s="93" t="str">
        <f t="array" ref="L34">IFERROR(PERCENTILE(IF($B$3:$B$29=$B34,IF($D$3:$D$29=L$32,IF($F$3:$F$29&lt;&gt;"",$F$3:$F$29))),0.95),"")</f>
        <v/>
      </c>
      <c r="M34" s="93" t="str">
        <f t="array" ref="M34">IFERROR(PERCENTILE(IF($B$3:$B$29=$B34,IF($D$3:$D$29=M$32,IF($F$3:$F$29&lt;&gt;"",$F$3:$F$29))),0.95),"")</f>
        <v/>
      </c>
      <c r="N34" s="93">
        <f t="array" ref="N34">IFERROR(PERCENTILE(IF($B$3:$B$29=$B34,IF($D$3:$D$29=N$32,IF($F$3:$F$29&lt;&gt;"",$F$3:$F$29))),0.95),"")</f>
        <v>0.25</v>
      </c>
      <c r="O34" s="93" t="str">
        <f t="array" ref="O34">IFERROR(PERCENTILE(IF($B$3:$B$29=$B34,IF($D$3:$D$29=O$32,IF($F$3:$F$29&lt;&gt;"",$F$3:$F$29))),0.95),"")</f>
        <v/>
      </c>
      <c r="P34" s="93" t="str">
        <f t="array" ref="P34">IFERROR(PERCENTILE(IF($B$3:$B$29=$B34,IF($D$3:$D$29=P$32,IF($F$3:$F$29&lt;&gt;"",$F$3:$F$29))),0.95),"")</f>
        <v/>
      </c>
      <c r="Q34" s="93" t="str">
        <f t="array" ref="Q34">IFERROR(PERCENTILE(IF($B$3:$B$29=$B34,IF($D$3:$D$29=Q$32,IF($F$3:$F$29&lt;&gt;"",$F$3:$F$29))),0.95),"")</f>
        <v/>
      </c>
      <c r="R34" s="93" t="str">
        <f t="array" ref="R34">IFERROR(PERCENTILE(IF($B$3:$B$29=$B34,IF($D$3:$D$29=R$32,IF($F$3:$F$29&lt;&gt;"",$F$3:$F$29))),0.95),"")</f>
        <v/>
      </c>
      <c r="S34" s="93" t="str">
        <f t="array" ref="S34">IFERROR(PERCENTILE(IF($B$3:$B$29=$B34,IF($D$3:$D$29=S$32,IF($F$3:$F$29&lt;&gt;"",$F$3:$F$29))),0.95),"")</f>
        <v/>
      </c>
      <c r="T34" s="93">
        <f t="array" ref="T34">IFERROR(PERCENTILE(IF($B$3:$B$29=$B34,IF($D$3:$D$29=T$32,IF($F$3:$F$29&lt;&gt;"",$F$3:$F$29))),0.95),"")</f>
        <v>0.19</v>
      </c>
      <c r="U34" s="93" t="str">
        <f t="array" ref="U34">IFERROR(PERCENTILE(IF($B$3:$B$29=$B34,IF($D$3:$D$29=U$32,IF($F$3:$F$29&lt;&gt;"",$F$3:$F$29))),0.95),"")</f>
        <v/>
      </c>
      <c r="V34" s="93" t="str">
        <f t="array" ref="V34">IFERROR(PERCENTILE(IF($B$3:$B$29=$B34,IF($D$3:$D$29=V$32,IF($F$3:$F$29&lt;&gt;"",$F$3:$F$29))),0.95),"")</f>
        <v/>
      </c>
      <c r="W34" s="93" t="str">
        <f t="array" ref="W34">IFERROR(PERCENTILE(IF($B$3:$B$29=$B34,IF($D$3:$D$29=W$32,IF($F$3:$F$29&lt;&gt;"",$F$3:$F$29))),0.95),"")</f>
        <v/>
      </c>
      <c r="X34" s="93" t="str">
        <f t="array" ref="X34">IFERROR(PERCENTILE(IF($B$3:$B$29=$B34,IF($D$3:$D$29=X$32,IF($F$3:$F$29&lt;&gt;"",$F$3:$F$29))),0.95),"")</f>
        <v/>
      </c>
      <c r="Y34" s="93" t="str">
        <f t="array" ref="Y34">IFERROR(PERCENTILE(IF($B$3:$B$29=$B34,IF($D$3:$D$29=Y$32,IF($F$3:$F$29&lt;&gt;"",$F$3:$F$29))),0.95),"")</f>
        <v/>
      </c>
      <c r="Z34" s="93" t="str">
        <f t="array" ref="Z34">IFERROR(PERCENTILE(IF($B$3:$B$29=$B34,IF($D$3:$D$29=Z$32,IF($F$3:$F$29&lt;&gt;"",$F$3:$F$29))),0.95),"")</f>
        <v/>
      </c>
      <c r="AA34" s="93">
        <f t="array" ref="AA34">IFERROR(PERCENTILE(IF($B$3:$B$29=$B34,IF($D$3:$D$29=AA$32,IF($F$3:$F$29&lt;&gt;"",$F$3:$F$29))),0.95),"")</f>
        <v>0.33</v>
      </c>
      <c r="AB34" s="93" t="str">
        <f t="array" ref="AB34">IFERROR(PERCENTILE(IF($B$3:$B$29=$B34,IF($D$3:$D$29=AB$32,IF($F$3:$F$29&lt;&gt;"",$F$3:$F$29))),0.95),"")</f>
        <v/>
      </c>
      <c r="AC34" s="93" t="str">
        <f t="array" ref="AC34">IFERROR(PERCENTILE(IF($B$3:$B$29=$B34,IF($D$3:$D$29=AC$32,IF($F$3:$F$29&lt;&gt;"",$F$3:$F$29))),0.95),"")</f>
        <v/>
      </c>
      <c r="AD34" s="93" t="str">
        <f t="array" ref="AD34">IFERROR(PERCENTILE(IF($B$3:$B$29=$B34,IF($D$3:$D$29=AD$32,IF($F$3:$F$29&lt;&gt;"",$F$3:$F$29))),0.95),"")</f>
        <v/>
      </c>
      <c r="AE34" s="93" t="str">
        <f t="array" ref="AE34">IFERROR(PERCENTILE(IF($B$3:$B$29=$B34,IF($D$3:$D$29=AE$32,IF($F$3:$F$29&lt;&gt;"",$F$3:$F$29))),0.95),"")</f>
        <v/>
      </c>
    </row>
    <row r="35" spans="1:31" ht="15" customHeight="1" x14ac:dyDescent="0.25">
      <c r="A35" s="38">
        <f t="shared" ref="A35" si="1">IF(B35="",1,0)</f>
        <v>0</v>
      </c>
      <c r="B35" s="48" t="str">
        <f t="array" ref="B35">IFERROR(INDEX($B$3:$B$29, MATCH(0,IF(ISBLANK($B$3:$B$29),1,COUNTIF($B$33:B34, $B$3:$B$29)), 0)),"")</f>
        <v>Hyd</v>
      </c>
      <c r="C35" s="49"/>
      <c r="D35" s="49"/>
      <c r="E35" s="49"/>
      <c r="F35" s="58"/>
      <c r="G35" s="93" t="str">
        <f t="array" ref="G35">IFERROR(PERCENTILE(IF($B$3:$B$29=$B35,IF($D$3:$D$29=G$32,IF($F$3:$F$29&lt;&gt;"",$F$3:$F$29))),0.95),"")</f>
        <v/>
      </c>
      <c r="H35" s="93">
        <f t="array" ref="H35">IFERROR(PERCENTILE(IF($B$3:$B$29=$B35,IF($D$3:$D$29=H$32,IF($F$3:$F$29&lt;&gt;"",$F$3:$F$29))),0.95),"")</f>
        <v>0.19</v>
      </c>
      <c r="I35" s="93" t="str">
        <f t="array" ref="I35">IFERROR(PERCENTILE(IF($B$3:$B$29=$B35,IF($D$3:$D$29=I$32,IF($F$3:$F$29&lt;&gt;"",$F$3:$F$29))),0.95),"")</f>
        <v/>
      </c>
      <c r="J35" s="93" t="str">
        <f t="array" ref="J35">IFERROR(PERCENTILE(IF($B$3:$B$29=$B35,IF($D$3:$D$29=J$32,IF($F$3:$F$29&lt;&gt;"",$F$3:$F$29))),0.95),"")</f>
        <v/>
      </c>
      <c r="K35" s="93" t="str">
        <f t="array" ref="K35">IFERROR(PERCENTILE(IF($B$3:$B$29=$B35,IF($D$3:$D$29=K$32,IF($F$3:$F$29&lt;&gt;"",$F$3:$F$29))),0.95),"")</f>
        <v/>
      </c>
      <c r="L35" s="93">
        <f t="array" ref="L35">IFERROR(PERCENTILE(IF($B$3:$B$29=$B35,IF($D$3:$D$29=L$32,IF($F$3:$F$29&lt;&gt;"",$F$3:$F$29))),0.95),"")</f>
        <v>0.11</v>
      </c>
      <c r="M35" s="93" t="str">
        <f t="array" ref="M35">IFERROR(PERCENTILE(IF($B$3:$B$29=$B35,IF($D$3:$D$29=M$32,IF($F$3:$F$29&lt;&gt;"",$F$3:$F$29))),0.95),"")</f>
        <v/>
      </c>
      <c r="N35" s="93" t="str">
        <f t="array" ref="N35">IFERROR(PERCENTILE(IF($B$3:$B$29=$B35,IF($D$3:$D$29=N$32,IF($F$3:$F$29&lt;&gt;"",$F$3:$F$29))),0.95),"")</f>
        <v/>
      </c>
      <c r="O35" s="93" t="str">
        <f t="array" ref="O35">IFERROR(PERCENTILE(IF($B$3:$B$29=$B35,IF($D$3:$D$29=O$32,IF($F$3:$F$29&lt;&gt;"",$F$3:$F$29))),0.95),"")</f>
        <v/>
      </c>
      <c r="P35" s="93" t="str">
        <f t="array" ref="P35">IFERROR(PERCENTILE(IF($B$3:$B$29=$B35,IF($D$3:$D$29=P$32,IF($F$3:$F$29&lt;&gt;"",$F$3:$F$29))),0.95),"")</f>
        <v/>
      </c>
      <c r="Q35" s="93" t="str">
        <f t="array" ref="Q35">IFERROR(PERCENTILE(IF($B$3:$B$29=$B35,IF($D$3:$D$29=Q$32,IF($F$3:$F$29&lt;&gt;"",$F$3:$F$29))),0.95),"")</f>
        <v/>
      </c>
      <c r="R35" s="93" t="str">
        <f t="array" ref="R35">IFERROR(PERCENTILE(IF($B$3:$B$29=$B35,IF($D$3:$D$29=R$32,IF($F$3:$F$29&lt;&gt;"",$F$3:$F$29))),0.95),"")</f>
        <v/>
      </c>
      <c r="S35" s="93" t="str">
        <f t="array" ref="S35">IFERROR(PERCENTILE(IF($B$3:$B$29=$B35,IF($D$3:$D$29=S$32,IF($F$3:$F$29&lt;&gt;"",$F$3:$F$29))),0.95),"")</f>
        <v/>
      </c>
      <c r="T35" s="93" t="str">
        <f t="array" ref="T35">IFERROR(PERCENTILE(IF($B$3:$B$29=$B35,IF($D$3:$D$29=T$32,IF($F$3:$F$29&lt;&gt;"",$F$3:$F$29))),0.95),"")</f>
        <v/>
      </c>
      <c r="U35" s="93">
        <f t="array" ref="U35">IFERROR(PERCENTILE(IF($B$3:$B$29=$B35,IF($D$3:$D$29=U$32,IF($F$3:$F$29&lt;&gt;"",$F$3:$F$29))),0.95),"")</f>
        <v>0.44</v>
      </c>
      <c r="V35" s="93" t="str">
        <f t="array" ref="V35">IFERROR(PERCENTILE(IF($B$3:$B$29=$B35,IF($D$3:$D$29=V$32,IF($F$3:$F$29&lt;&gt;"",$F$3:$F$29))),0.95),"")</f>
        <v/>
      </c>
      <c r="W35" s="93" t="str">
        <f t="array" ref="W35">IFERROR(PERCENTILE(IF($B$3:$B$29=$B35,IF($D$3:$D$29=W$32,IF($F$3:$F$29&lt;&gt;"",$F$3:$F$29))),0.95),"")</f>
        <v/>
      </c>
      <c r="X35" s="93" t="str">
        <f t="array" ref="X35">IFERROR(PERCENTILE(IF($B$3:$B$29=$B35,IF($D$3:$D$29=X$32,IF($F$3:$F$29&lt;&gt;"",$F$3:$F$29))),0.95),"")</f>
        <v/>
      </c>
      <c r="Y35" s="93">
        <f t="array" ref="Y35">IFERROR(PERCENTILE(IF($B$3:$B$29=$B35,IF($D$3:$D$29=Y$32,IF($F$3:$F$29&lt;&gt;"",$F$3:$F$29))),0.95),"")</f>
        <v>0.25</v>
      </c>
      <c r="Z35" s="93" t="str">
        <f t="array" ref="Z35">IFERROR(PERCENTILE(IF($B$3:$B$29=$B35,IF($D$3:$D$29=Z$32,IF($F$3:$F$29&lt;&gt;"",$F$3:$F$29))),0.95),"")</f>
        <v/>
      </c>
      <c r="AA35" s="93" t="str">
        <f t="array" ref="AA35">IFERROR(PERCENTILE(IF($B$3:$B$29=$B35,IF($D$3:$D$29=AA$32,IF($F$3:$F$29&lt;&gt;"",$F$3:$F$29))),0.95),"")</f>
        <v/>
      </c>
      <c r="AB35" s="93" t="str">
        <f t="array" ref="AB35">IFERROR(PERCENTILE(IF($B$3:$B$29=$B35,IF($D$3:$D$29=AB$32,IF($F$3:$F$29&lt;&gt;"",$F$3:$F$29))),0.95),"")</f>
        <v/>
      </c>
      <c r="AC35" s="93" t="str">
        <f t="array" ref="AC35">IFERROR(PERCENTILE(IF($B$3:$B$29=$B35,IF($D$3:$D$29=AC$32,IF($F$3:$F$29&lt;&gt;"",$F$3:$F$29))),0.95),"")</f>
        <v/>
      </c>
      <c r="AD35" s="93" t="str">
        <f t="array" ref="AD35">IFERROR(PERCENTILE(IF($B$3:$B$29=$B35,IF($D$3:$D$29=AD$32,IF($F$3:$F$29&lt;&gt;"",$F$3:$F$29))),0.95),"")</f>
        <v/>
      </c>
      <c r="AE35" s="93" t="str">
        <f t="array" ref="AE35">IFERROR(PERCENTILE(IF($B$3:$B$29=$B35,IF($D$3:$D$29=AE$32,IF($F$3:$F$29&lt;&gt;"",$F$3:$F$29))),0.95),"")</f>
        <v/>
      </c>
    </row>
    <row r="36" spans="1:31" ht="15" customHeight="1" x14ac:dyDescent="0.25">
      <c r="A36" s="38">
        <f t="shared" ref="A36:A43" si="2">IF(B36="",1,0)</f>
        <v>0</v>
      </c>
      <c r="B36" s="48" t="str">
        <f t="array" ref="B36">IFERROR(INDEX($B$3:$B$29, MATCH(0,IF(ISBLANK($B$3:$B$29),1,COUNTIF($B$33:B35, $B$3:$B$29)), 0)),"")</f>
        <v>Delhi</v>
      </c>
      <c r="C36" s="49"/>
      <c r="D36" s="49"/>
      <c r="E36" s="49"/>
      <c r="F36" s="58"/>
      <c r="G36" s="93" t="str">
        <f t="array" ref="G36">IFERROR(PERCENTILE(IF($B$3:$B$29=$B36,IF($D$3:$D$29=G$32,IF($F$3:$F$29&lt;&gt;"",$F$3:$F$29))),0.95),"")</f>
        <v/>
      </c>
      <c r="H36" s="93" t="str">
        <f t="array" ref="H36">IFERROR(PERCENTILE(IF($B$3:$B$29=$B36,IF($D$3:$D$29=H$32,IF($F$3:$F$29&lt;&gt;"",$F$3:$F$29))),0.95),"")</f>
        <v/>
      </c>
      <c r="I36" s="93">
        <f t="array" ref="I36">IFERROR(PERCENTILE(IF($B$3:$B$29=$B36,IF($D$3:$D$29=I$32,IF($F$3:$F$29&lt;&gt;"",$F$3:$F$29))),0.95),"")</f>
        <v>0.44</v>
      </c>
      <c r="J36" s="93" t="str">
        <f t="array" ref="J36">IFERROR(PERCENTILE(IF($B$3:$B$29=$B36,IF($D$3:$D$29=J$32,IF($F$3:$F$29&lt;&gt;"",$F$3:$F$29))),0.95),"")</f>
        <v/>
      </c>
      <c r="K36" s="93" t="str">
        <f t="array" ref="K36">IFERROR(PERCENTILE(IF($B$3:$B$29=$B36,IF($D$3:$D$29=K$32,IF($F$3:$F$29&lt;&gt;"",$F$3:$F$29))),0.95),"")</f>
        <v/>
      </c>
      <c r="L36" s="93" t="str">
        <f t="array" ref="L36">IFERROR(PERCENTILE(IF($B$3:$B$29=$B36,IF($D$3:$D$29=L$32,IF($F$3:$F$29&lt;&gt;"",$F$3:$F$29))),0.95),"")</f>
        <v/>
      </c>
      <c r="M36" s="93">
        <f t="array" ref="M36">IFERROR(PERCENTILE(IF($B$3:$B$29=$B36,IF($D$3:$D$29=M$32,IF($F$3:$F$29&lt;&gt;"",$F$3:$F$29))),0.95),"")</f>
        <v>0.25</v>
      </c>
      <c r="N36" s="93" t="str">
        <f t="array" ref="N36">IFERROR(PERCENTILE(IF($B$3:$B$29=$B36,IF($D$3:$D$29=N$32,IF($F$3:$F$29&lt;&gt;"",$F$3:$F$29))),0.95),"")</f>
        <v/>
      </c>
      <c r="O36" s="93" t="str">
        <f t="array" ref="O36">IFERROR(PERCENTILE(IF($B$3:$B$29=$B36,IF($D$3:$D$29=O$32,IF($F$3:$F$29&lt;&gt;"",$F$3:$F$29))),0.95),"")</f>
        <v/>
      </c>
      <c r="P36" s="93" t="str">
        <f t="array" ref="P36">IFERROR(PERCENTILE(IF($B$3:$B$29=$B36,IF($D$3:$D$29=P$32,IF($F$3:$F$29&lt;&gt;"",$F$3:$F$29))),0.95),"")</f>
        <v/>
      </c>
      <c r="Q36" s="93" t="str">
        <f t="array" ref="Q36">IFERROR(PERCENTILE(IF($B$3:$B$29=$B36,IF($D$3:$D$29=Q$32,IF($F$3:$F$29&lt;&gt;"",$F$3:$F$29))),0.95),"")</f>
        <v/>
      </c>
      <c r="R36" s="93" t="str">
        <f t="array" ref="R36">IFERROR(PERCENTILE(IF($B$3:$B$29=$B36,IF($D$3:$D$29=R$32,IF($F$3:$F$29&lt;&gt;"",$F$3:$F$29))),0.95),"")</f>
        <v/>
      </c>
      <c r="S36" s="93" t="str">
        <f t="array" ref="S36">IFERROR(PERCENTILE(IF($B$3:$B$29=$B36,IF($D$3:$D$29=S$32,IF($F$3:$F$29&lt;&gt;"",$F$3:$F$29))),0.95),"")</f>
        <v/>
      </c>
      <c r="T36" s="93" t="str">
        <f t="array" ref="T36">IFERROR(PERCENTILE(IF($B$3:$B$29=$B36,IF($D$3:$D$29=T$32,IF($F$3:$F$29&lt;&gt;"",$F$3:$F$29))),0.95),"")</f>
        <v/>
      </c>
      <c r="U36" s="93" t="str">
        <f t="array" ref="U36">IFERROR(PERCENTILE(IF($B$3:$B$29=$B36,IF($D$3:$D$29=U$32,IF($F$3:$F$29&lt;&gt;"",$F$3:$F$29))),0.95),"")</f>
        <v/>
      </c>
      <c r="V36" s="93">
        <f t="array" ref="V36">IFERROR(PERCENTILE(IF($B$3:$B$29=$B36,IF($D$3:$D$29=V$32,IF($F$3:$F$29&lt;&gt;"",$F$3:$F$29))),0.95),"")</f>
        <v>0.73</v>
      </c>
      <c r="W36" s="93" t="str">
        <f t="array" ref="W36">IFERROR(PERCENTILE(IF($B$3:$B$29=$B36,IF($D$3:$D$29=W$32,IF($F$3:$F$29&lt;&gt;"",$F$3:$F$29))),0.95),"")</f>
        <v/>
      </c>
      <c r="X36" s="93" t="str">
        <f t="array" ref="X36">IFERROR(PERCENTILE(IF($B$3:$B$29=$B36,IF($D$3:$D$29=X$32,IF($F$3:$F$29&lt;&gt;"",$F$3:$F$29))),0.95),"")</f>
        <v/>
      </c>
      <c r="Y36" s="93" t="str">
        <f t="array" ref="Y36">IFERROR(PERCENTILE(IF($B$3:$B$29=$B36,IF($D$3:$D$29=Y$32,IF($F$3:$F$29&lt;&gt;"",$F$3:$F$29))),0.95),"")</f>
        <v/>
      </c>
      <c r="Z36" s="93">
        <f t="array" ref="Z36">IFERROR(PERCENTILE(IF($B$3:$B$29=$B36,IF($D$3:$D$29=Z$32,IF($F$3:$F$29&lt;&gt;"",$F$3:$F$29))),0.95),"")</f>
        <v>0.25</v>
      </c>
      <c r="AA36" s="93" t="str">
        <f t="array" ref="AA36">IFERROR(PERCENTILE(IF($B$3:$B$29=$B36,IF($D$3:$D$29=AA$32,IF($F$3:$F$29&lt;&gt;"",$F$3:$F$29))),0.95),"")</f>
        <v/>
      </c>
      <c r="AB36" s="93" t="str">
        <f t="array" ref="AB36">IFERROR(PERCENTILE(IF($B$3:$B$29=$B36,IF($D$3:$D$29=AB$32,IF($F$3:$F$29&lt;&gt;"",$F$3:$F$29))),0.95),"")</f>
        <v/>
      </c>
      <c r="AC36" s="93" t="str">
        <f t="array" ref="AC36">IFERROR(PERCENTILE(IF($B$3:$B$29=$B36,IF($D$3:$D$29=AC$32,IF($F$3:$F$29&lt;&gt;"",$F$3:$F$29))),0.95),"")</f>
        <v/>
      </c>
      <c r="AD36" s="93" t="str">
        <f t="array" ref="AD36">IFERROR(PERCENTILE(IF($B$3:$B$29=$B36,IF($D$3:$D$29=AD$32,IF($F$3:$F$29&lt;&gt;"",$F$3:$F$29))),0.95),"")</f>
        <v/>
      </c>
      <c r="AE36" s="93" t="str">
        <f t="array" ref="AE36">IFERROR(PERCENTILE(IF($B$3:$B$29=$B36,IF($D$3:$D$29=AE$32,IF($F$3:$F$29&lt;&gt;"",$F$3:$F$29))),0.95),"")</f>
        <v/>
      </c>
    </row>
    <row r="37" spans="1:31" ht="15" customHeight="1" x14ac:dyDescent="0.25">
      <c r="A37" s="38">
        <f t="shared" si="2"/>
        <v>0</v>
      </c>
      <c r="B37" s="48" t="str">
        <f t="array" ref="B37">IFERROR(INDEX($B$3:$B$29, MATCH(0,IF(ISBLANK($B$3:$B$29),1,COUNTIF($B$33:B36, $B$3:$B$29)), 0)),"")</f>
        <v>Banglore</v>
      </c>
      <c r="C37" s="49"/>
      <c r="D37" s="49"/>
      <c r="E37" s="49"/>
      <c r="F37" s="58"/>
      <c r="G37" s="93" t="str">
        <f t="array" ref="G37">IFERROR(PERCENTILE(IF($B$3:$B$29=$B37,IF($D$3:$D$29=G$32,IF($F$3:$F$29&lt;&gt;"",$F$3:$F$29))),0.95),"")</f>
        <v/>
      </c>
      <c r="H37" s="93" t="str">
        <f t="array" ref="H37">IFERROR(PERCENTILE(IF($B$3:$B$29=$B37,IF($D$3:$D$29=H$32,IF($F$3:$F$29&lt;&gt;"",$F$3:$F$29))),0.95),"")</f>
        <v/>
      </c>
      <c r="I37" s="93" t="str">
        <f t="array" ref="I37">IFERROR(PERCENTILE(IF($B$3:$B$29=$B37,IF($D$3:$D$29=I$32,IF($F$3:$F$29&lt;&gt;"",$F$3:$F$29))),0.95),"")</f>
        <v/>
      </c>
      <c r="J37" s="93">
        <f t="array" ref="J37">IFERROR(PERCENTILE(IF($B$3:$B$29=$B37,IF($D$3:$D$29=J$32,IF($F$3:$F$29&lt;&gt;"",$F$3:$F$29))),0.95),"")</f>
        <v>0.73</v>
      </c>
      <c r="K37" s="93" t="str">
        <f t="array" ref="K37">IFERROR(PERCENTILE(IF($B$3:$B$29=$B37,IF($D$3:$D$29=K$32,IF($F$3:$F$29&lt;&gt;"",$F$3:$F$29))),0.95),"")</f>
        <v/>
      </c>
      <c r="L37" s="93" t="str">
        <f t="array" ref="L37">IFERROR(PERCENTILE(IF($B$3:$B$29=$B37,IF($D$3:$D$29=L$32,IF($F$3:$F$29&lt;&gt;"",$F$3:$F$29))),0.95),"")</f>
        <v/>
      </c>
      <c r="M37" s="93" t="str">
        <f t="array" ref="M37">IFERROR(PERCENTILE(IF($B$3:$B$29=$B37,IF($D$3:$D$29=M$32,IF($F$3:$F$29&lt;&gt;"",$F$3:$F$29))),0.95),"")</f>
        <v/>
      </c>
      <c r="N37" s="93" t="str">
        <f t="array" ref="N37">IFERROR(PERCENTILE(IF($B$3:$B$29=$B37,IF($D$3:$D$29=N$32,IF($F$3:$F$29&lt;&gt;"",$F$3:$F$29))),0.95),"")</f>
        <v/>
      </c>
      <c r="O37" s="93" t="str">
        <f t="array" ref="O37">IFERROR(PERCENTILE(IF($B$3:$B$29=$B37,IF($D$3:$D$29=O$32,IF($F$3:$F$29&lt;&gt;"",$F$3:$F$29))),0.95),"")</f>
        <v/>
      </c>
      <c r="P37" s="93" t="str">
        <f t="array" ref="P37">IFERROR(PERCENTILE(IF($B$3:$B$29=$B37,IF($D$3:$D$29=P$32,IF($F$3:$F$29&lt;&gt;"",$F$3:$F$29))),0.95),"")</f>
        <v/>
      </c>
      <c r="Q37" s="93" t="str">
        <f t="array" ref="Q37">IFERROR(PERCENTILE(IF($B$3:$B$29=$B37,IF($D$3:$D$29=Q$32,IF($F$3:$F$29&lt;&gt;"",$F$3:$F$29))),0.95),"")</f>
        <v/>
      </c>
      <c r="R37" s="93" t="str">
        <f t="array" ref="R37">IFERROR(PERCENTILE(IF($B$3:$B$29=$B37,IF($D$3:$D$29=R$32,IF($F$3:$F$29&lt;&gt;"",$F$3:$F$29))),0.95),"")</f>
        <v/>
      </c>
      <c r="S37" s="93" t="str">
        <f t="array" ref="S37">IFERROR(PERCENTILE(IF($B$3:$B$29=$B37,IF($D$3:$D$29=S$32,IF($F$3:$F$29&lt;&gt;"",$F$3:$F$29))),0.95),"")</f>
        <v/>
      </c>
      <c r="T37" s="93" t="str">
        <f t="array" ref="T37">IFERROR(PERCENTILE(IF($B$3:$B$29=$B37,IF($D$3:$D$29=T$32,IF($F$3:$F$29&lt;&gt;"",$F$3:$F$29))),0.95),"")</f>
        <v/>
      </c>
      <c r="U37" s="93" t="str">
        <f t="array" ref="U37">IFERROR(PERCENTILE(IF($B$3:$B$29=$B37,IF($D$3:$D$29=U$32,IF($F$3:$F$29&lt;&gt;"",$F$3:$F$29))),0.95),"")</f>
        <v/>
      </c>
      <c r="V37" s="93" t="str">
        <f t="array" ref="V37">IFERROR(PERCENTILE(IF($B$3:$B$29=$B37,IF($D$3:$D$29=V$32,IF($F$3:$F$29&lt;&gt;"",$F$3:$F$29))),0.95),"")</f>
        <v/>
      </c>
      <c r="W37" s="93">
        <f t="array" ref="W37">IFERROR(PERCENTILE(IF($B$3:$B$29=$B37,IF($D$3:$D$29=W$32,IF($F$3:$F$29&lt;&gt;"",$F$3:$F$29))),0.95),"")</f>
        <v>0.99</v>
      </c>
      <c r="X37" s="93" t="str">
        <f t="array" ref="X37">IFERROR(PERCENTILE(IF($B$3:$B$29=$B37,IF($D$3:$D$29=X$32,IF($F$3:$F$29&lt;&gt;"",$F$3:$F$29))),0.95),"")</f>
        <v/>
      </c>
      <c r="Y37" s="93" t="str">
        <f t="array" ref="Y37">IFERROR(PERCENTILE(IF($B$3:$B$29=$B37,IF($D$3:$D$29=Y$32,IF($F$3:$F$29&lt;&gt;"",$F$3:$F$29))),0.95),"")</f>
        <v/>
      </c>
      <c r="Z37" s="93" t="str">
        <f t="array" ref="Z37">IFERROR(PERCENTILE(IF($B$3:$B$29=$B37,IF($D$3:$D$29=Z$32,IF($F$3:$F$29&lt;&gt;"",$F$3:$F$29))),0.95),"")</f>
        <v/>
      </c>
      <c r="AA37" s="93" t="str">
        <f t="array" ref="AA37">IFERROR(PERCENTILE(IF($B$3:$B$29=$B37,IF($D$3:$D$29=AA$32,IF($F$3:$F$29&lt;&gt;"",$F$3:$F$29))),0.95),"")</f>
        <v/>
      </c>
      <c r="AB37" s="93" t="str">
        <f t="array" ref="AB37">IFERROR(PERCENTILE(IF($B$3:$B$29=$B37,IF($D$3:$D$29=AB$32,IF($F$3:$F$29&lt;&gt;"",$F$3:$F$29))),0.95),"")</f>
        <v/>
      </c>
      <c r="AC37" s="93" t="str">
        <f t="array" ref="AC37">IFERROR(PERCENTILE(IF($B$3:$B$29=$B37,IF($D$3:$D$29=AC$32,IF($F$3:$F$29&lt;&gt;"",$F$3:$F$29))),0.95),"")</f>
        <v/>
      </c>
      <c r="AD37" s="93" t="str">
        <f t="array" ref="AD37">IFERROR(PERCENTILE(IF($B$3:$B$29=$B37,IF($D$3:$D$29=AD$32,IF($F$3:$F$29&lt;&gt;"",$F$3:$F$29))),0.95),"")</f>
        <v/>
      </c>
      <c r="AE37" s="93" t="str">
        <f t="array" ref="AE37">IFERROR(PERCENTILE(IF($B$3:$B$29=$B37,IF($D$3:$D$29=AE$32,IF($F$3:$F$29&lt;&gt;"",$F$3:$F$29))),0.95),"")</f>
        <v/>
      </c>
    </row>
    <row r="38" spans="1:31" ht="15" customHeight="1" x14ac:dyDescent="0.25">
      <c r="A38" s="38">
        <f t="shared" si="2"/>
        <v>0</v>
      </c>
      <c r="B38" s="48" t="str">
        <f t="array" ref="B38">IFERROR(INDEX($B$3:$B$29, MATCH(0,IF(ISBLANK($B$3:$B$29),1,COUNTIF($B$33:B37, $B$3:$B$29)), 0)),"")</f>
        <v>Chennai</v>
      </c>
      <c r="C38" s="49"/>
      <c r="D38" s="49"/>
      <c r="E38" s="49"/>
      <c r="F38" s="58"/>
      <c r="G38" s="93" t="str">
        <f t="array" ref="G38">IFERROR(PERCENTILE(IF($B$3:$B$29=$B38,IF($D$3:$D$29=G$32,IF($F$3:$F$29&lt;&gt;"",$F$3:$F$29))),0.95),"")</f>
        <v/>
      </c>
      <c r="H38" s="93" t="str">
        <f t="array" ref="H38">IFERROR(PERCENTILE(IF($B$3:$B$29=$B38,IF($D$3:$D$29=H$32,IF($F$3:$F$29&lt;&gt;"",$F$3:$F$29))),0.95),"")</f>
        <v/>
      </c>
      <c r="I38" s="93" t="str">
        <f t="array" ref="I38">IFERROR(PERCENTILE(IF($B$3:$B$29=$B38,IF($D$3:$D$29=I$32,IF($F$3:$F$29&lt;&gt;"",$F$3:$F$29))),0.95),"")</f>
        <v/>
      </c>
      <c r="J38" s="93" t="str">
        <f t="array" ref="J38">IFERROR(PERCENTILE(IF($B$3:$B$29=$B38,IF($D$3:$D$29=J$32,IF($F$3:$F$29&lt;&gt;"",$F$3:$F$29))),0.95),"")</f>
        <v/>
      </c>
      <c r="K38" s="93">
        <f t="array" ref="K38">IFERROR(PERCENTILE(IF($B$3:$B$29=$B38,IF($D$3:$D$29=K$32,IF($F$3:$F$29&lt;&gt;"",$F$3:$F$29))),0.95),"")</f>
        <v>0.99</v>
      </c>
      <c r="L38" s="93" t="str">
        <f t="array" ref="L38">IFERROR(PERCENTILE(IF($B$3:$B$29=$B38,IF($D$3:$D$29=L$32,IF($F$3:$F$29&lt;&gt;"",$F$3:$F$29))),0.95),"")</f>
        <v/>
      </c>
      <c r="M38" s="93" t="str">
        <f t="array" ref="M38">IFERROR(PERCENTILE(IF($B$3:$B$29=$B38,IF($D$3:$D$29=M$32,IF($F$3:$F$29&lt;&gt;"",$F$3:$F$29))),0.95),"")</f>
        <v/>
      </c>
      <c r="N38" s="93" t="str">
        <f t="array" ref="N38">IFERROR(PERCENTILE(IF($B$3:$B$29=$B38,IF($D$3:$D$29=N$32,IF($F$3:$F$29&lt;&gt;"",$F$3:$F$29))),0.95),"")</f>
        <v/>
      </c>
      <c r="O38" s="93" t="str">
        <f t="array" ref="O38">IFERROR(PERCENTILE(IF($B$3:$B$29=$B38,IF($D$3:$D$29=O$32,IF($F$3:$F$29&lt;&gt;"",$F$3:$F$29))),0.95),"")</f>
        <v/>
      </c>
      <c r="P38" s="93" t="str">
        <f t="array" ref="P38">IFERROR(PERCENTILE(IF($B$3:$B$29=$B38,IF($D$3:$D$29=P$32,IF($F$3:$F$29&lt;&gt;"",$F$3:$F$29))),0.95),"")</f>
        <v/>
      </c>
      <c r="Q38" s="93" t="str">
        <f t="array" ref="Q38">IFERROR(PERCENTILE(IF($B$3:$B$29=$B38,IF($D$3:$D$29=Q$32,IF($F$3:$F$29&lt;&gt;"",$F$3:$F$29))),0.95),"")</f>
        <v/>
      </c>
      <c r="R38" s="93" t="str">
        <f t="array" ref="R38">IFERROR(PERCENTILE(IF($B$3:$B$29=$B38,IF($D$3:$D$29=R$32,IF($F$3:$F$29&lt;&gt;"",$F$3:$F$29))),0.95),"")</f>
        <v/>
      </c>
      <c r="S38" s="93" t="str">
        <f t="array" ref="S38">IFERROR(PERCENTILE(IF($B$3:$B$29=$B38,IF($D$3:$D$29=S$32,IF($F$3:$F$29&lt;&gt;"",$F$3:$F$29))),0.95),"")</f>
        <v/>
      </c>
      <c r="T38" s="93" t="str">
        <f t="array" ref="T38">IFERROR(PERCENTILE(IF($B$3:$B$29=$B38,IF($D$3:$D$29=T$32,IF($F$3:$F$29&lt;&gt;"",$F$3:$F$29))),0.95),"")</f>
        <v/>
      </c>
      <c r="U38" s="93" t="str">
        <f t="array" ref="U38">IFERROR(PERCENTILE(IF($B$3:$B$29=$B38,IF($D$3:$D$29=U$32,IF($F$3:$F$29&lt;&gt;"",$F$3:$F$29))),0.95),"")</f>
        <v/>
      </c>
      <c r="V38" s="93" t="str">
        <f t="array" ref="V38">IFERROR(PERCENTILE(IF($B$3:$B$29=$B38,IF($D$3:$D$29=V$32,IF($F$3:$F$29&lt;&gt;"",$F$3:$F$29))),0.95),"")</f>
        <v/>
      </c>
      <c r="W38" s="93" t="str">
        <f t="array" ref="W38">IFERROR(PERCENTILE(IF($B$3:$B$29=$B38,IF($D$3:$D$29=W$32,IF($F$3:$F$29&lt;&gt;"",$F$3:$F$29))),0.95),"")</f>
        <v/>
      </c>
      <c r="X38" s="93">
        <f t="array" ref="X38">IFERROR(PERCENTILE(IF($B$3:$B$29=$B38,IF($D$3:$D$29=X$32,IF($F$3:$F$29&lt;&gt;"",$F$3:$F$29))),0.95),"")</f>
        <v>0.11</v>
      </c>
      <c r="Y38" s="93" t="str">
        <f t="array" ref="Y38">IFERROR(PERCENTILE(IF($B$3:$B$29=$B38,IF($D$3:$D$29=Y$32,IF($F$3:$F$29&lt;&gt;"",$F$3:$F$29))),0.95),"")</f>
        <v/>
      </c>
      <c r="Z38" s="93" t="str">
        <f t="array" ref="Z38">IFERROR(PERCENTILE(IF($B$3:$B$29=$B38,IF($D$3:$D$29=Z$32,IF($F$3:$F$29&lt;&gt;"",$F$3:$F$29))),0.95),"")</f>
        <v/>
      </c>
      <c r="AA38" s="93" t="str">
        <f t="array" ref="AA38">IFERROR(PERCENTILE(IF($B$3:$B$29=$B38,IF($D$3:$D$29=AA$32,IF($F$3:$F$29&lt;&gt;"",$F$3:$F$29))),0.95),"")</f>
        <v/>
      </c>
      <c r="AB38" s="93" t="str">
        <f t="array" ref="AB38">IFERROR(PERCENTILE(IF($B$3:$B$29=$B38,IF($D$3:$D$29=AB$32,IF($F$3:$F$29&lt;&gt;"",$F$3:$F$29))),0.95),"")</f>
        <v/>
      </c>
      <c r="AC38" s="93" t="str">
        <f t="array" ref="AC38">IFERROR(PERCENTILE(IF($B$3:$B$29=$B38,IF($D$3:$D$29=AC$32,IF($F$3:$F$29&lt;&gt;"",$F$3:$F$29))),0.95),"")</f>
        <v/>
      </c>
      <c r="AD38" s="93" t="str">
        <f t="array" ref="AD38">IFERROR(PERCENTILE(IF($B$3:$B$29=$B38,IF($D$3:$D$29=AD$32,IF($F$3:$F$29&lt;&gt;"",$F$3:$F$29))),0.95),"")</f>
        <v/>
      </c>
      <c r="AE38" s="93">
        <f t="array" ref="AE38">IFERROR(PERCENTILE(IF($B$3:$B$29=$B38,IF($D$3:$D$29=AE$32,IF($F$3:$F$29&lt;&gt;"",$F$3:$F$29))),0.95),"")</f>
        <v>0.5</v>
      </c>
    </row>
    <row r="39" spans="1:31" ht="15" customHeight="1" x14ac:dyDescent="0.25">
      <c r="A39" s="38">
        <f t="shared" si="2"/>
        <v>0</v>
      </c>
      <c r="B39" s="48" t="str">
        <f t="array" ref="B39">IFERROR(INDEX($B$3:$B$29, MATCH(0,IF(ISBLANK($B$3:$B$29),1,COUNTIF($B$33:B38, $B$3:$B$29)), 0)),"")</f>
        <v>Madhya Pradesh</v>
      </c>
      <c r="C39" s="49"/>
      <c r="D39" s="49"/>
      <c r="E39" s="49"/>
      <c r="F39" s="58"/>
      <c r="G39" s="93" t="str">
        <f t="array" ref="G39">IFERROR(PERCENTILE(IF($B$3:$B$29=$B39,IF($D$3:$D$29=G$32,IF($F$3:$F$29&lt;&gt;"",$F$3:$F$29))),0.95),"")</f>
        <v/>
      </c>
      <c r="H39" s="93" t="str">
        <f t="array" ref="H39">IFERROR(PERCENTILE(IF($B$3:$B$29=$B39,IF($D$3:$D$29=H$32,IF($F$3:$F$29&lt;&gt;"",$F$3:$F$29))),0.95),"")</f>
        <v/>
      </c>
      <c r="I39" s="93" t="str">
        <f t="array" ref="I39">IFERROR(PERCENTILE(IF($B$3:$B$29=$B39,IF($D$3:$D$29=I$32,IF($F$3:$F$29&lt;&gt;"",$F$3:$F$29))),0.95),"")</f>
        <v/>
      </c>
      <c r="J39" s="93" t="str">
        <f t="array" ref="J39">IFERROR(PERCENTILE(IF($B$3:$B$29=$B39,IF($D$3:$D$29=J$32,IF($F$3:$F$29&lt;&gt;"",$F$3:$F$29))),0.95),"")</f>
        <v/>
      </c>
      <c r="K39" s="93" t="str">
        <f t="array" ref="K39">IFERROR(PERCENTILE(IF($B$3:$B$29=$B39,IF($D$3:$D$29=K$32,IF($F$3:$F$29&lt;&gt;"",$F$3:$F$29))),0.95),"")</f>
        <v/>
      </c>
      <c r="L39" s="93" t="str">
        <f t="array" ref="L39">IFERROR(PERCENTILE(IF($B$3:$B$29=$B39,IF($D$3:$D$29=L$32,IF($F$3:$F$29&lt;&gt;"",$F$3:$F$29))),0.95),"")</f>
        <v/>
      </c>
      <c r="M39" s="93" t="str">
        <f t="array" ref="M39">IFERROR(PERCENTILE(IF($B$3:$B$29=$B39,IF($D$3:$D$29=M$32,IF($F$3:$F$29&lt;&gt;"",$F$3:$F$29))),0.95),"")</f>
        <v/>
      </c>
      <c r="N39" s="93" t="str">
        <f t="array" ref="N39">IFERROR(PERCENTILE(IF($B$3:$B$29=$B39,IF($D$3:$D$29=N$32,IF($F$3:$F$29&lt;&gt;"",$F$3:$F$29))),0.95),"")</f>
        <v/>
      </c>
      <c r="O39" s="93">
        <f t="array" ref="O39">IFERROR(PERCENTILE(IF($B$3:$B$29=$B39,IF($D$3:$D$29=O$32,IF($F$3:$F$29&lt;&gt;"",$F$3:$F$29))),0.95),"")</f>
        <v>0.33</v>
      </c>
      <c r="P39" s="93" t="str">
        <f t="array" ref="P39">IFERROR(PERCENTILE(IF($B$3:$B$29=$B39,IF($D$3:$D$29=P$32,IF($F$3:$F$29&lt;&gt;"",$F$3:$F$29))),0.95),"")</f>
        <v/>
      </c>
      <c r="Q39" s="93" t="str">
        <f t="array" ref="Q39">IFERROR(PERCENTILE(IF($B$3:$B$29=$B39,IF($D$3:$D$29=Q$32,IF($F$3:$F$29&lt;&gt;"",$F$3:$F$29))),0.95),"")</f>
        <v/>
      </c>
      <c r="R39" s="93" t="str">
        <f t="array" ref="R39">IFERROR(PERCENTILE(IF($B$3:$B$29=$B39,IF($D$3:$D$29=R$32,IF($F$3:$F$29&lt;&gt;"",$F$3:$F$29))),0.95),"")</f>
        <v/>
      </c>
      <c r="S39" s="93" t="str">
        <f t="array" ref="S39">IFERROR(PERCENTILE(IF($B$3:$B$29=$B39,IF($D$3:$D$29=S$32,IF($F$3:$F$29&lt;&gt;"",$F$3:$F$29))),0.95),"")</f>
        <v/>
      </c>
      <c r="T39" s="93" t="str">
        <f t="array" ref="T39">IFERROR(PERCENTILE(IF($B$3:$B$29=$B39,IF($D$3:$D$29=T$32,IF($F$3:$F$29&lt;&gt;"",$F$3:$F$29))),0.95),"")</f>
        <v/>
      </c>
      <c r="U39" s="93" t="str">
        <f t="array" ref="U39">IFERROR(PERCENTILE(IF($B$3:$B$29=$B39,IF($D$3:$D$29=U$32,IF($F$3:$F$29&lt;&gt;"",$F$3:$F$29))),0.95),"")</f>
        <v/>
      </c>
      <c r="V39" s="93" t="str">
        <f t="array" ref="V39">IFERROR(PERCENTILE(IF($B$3:$B$29=$B39,IF($D$3:$D$29=V$32,IF($F$3:$F$29&lt;&gt;"",$F$3:$F$29))),0.95),"")</f>
        <v/>
      </c>
      <c r="W39" s="93" t="str">
        <f t="array" ref="W39">IFERROR(PERCENTILE(IF($B$3:$B$29=$B39,IF($D$3:$D$29=W$32,IF($F$3:$F$29&lt;&gt;"",$F$3:$F$29))),0.95),"")</f>
        <v/>
      </c>
      <c r="X39" s="93" t="str">
        <f t="array" ref="X39">IFERROR(PERCENTILE(IF($B$3:$B$29=$B39,IF($D$3:$D$29=X$32,IF($F$3:$F$29&lt;&gt;"",$F$3:$F$29))),0.95),"")</f>
        <v/>
      </c>
      <c r="Y39" s="93" t="str">
        <f t="array" ref="Y39">IFERROR(PERCENTILE(IF($B$3:$B$29=$B39,IF($D$3:$D$29=Y$32,IF($F$3:$F$29&lt;&gt;"",$F$3:$F$29))),0.95),"")</f>
        <v/>
      </c>
      <c r="Z39" s="93" t="str">
        <f t="array" ref="Z39">IFERROR(PERCENTILE(IF($B$3:$B$29=$B39,IF($D$3:$D$29=Z$32,IF($F$3:$F$29&lt;&gt;"",$F$3:$F$29))),0.95),"")</f>
        <v/>
      </c>
      <c r="AA39" s="93" t="str">
        <f t="array" ref="AA39">IFERROR(PERCENTILE(IF($B$3:$B$29=$B39,IF($D$3:$D$29=AA$32,IF($F$3:$F$29&lt;&gt;"",$F$3:$F$29))),0.95),"")</f>
        <v/>
      </c>
      <c r="AB39" s="93">
        <f t="array" ref="AB39">IFERROR(PERCENTILE(IF($B$3:$B$29=$B39,IF($D$3:$D$29=AB$32,IF($F$3:$F$29&lt;&gt;"",$F$3:$F$29))),0.95),"")</f>
        <v>0.19</v>
      </c>
      <c r="AC39" s="93" t="str">
        <f t="array" ref="AC39">IFERROR(PERCENTILE(IF($B$3:$B$29=$B39,IF($D$3:$D$29=AC$32,IF($F$3:$F$29&lt;&gt;"",$F$3:$F$29))),0.95),"")</f>
        <v/>
      </c>
      <c r="AD39" s="93" t="str">
        <f t="array" ref="AD39">IFERROR(PERCENTILE(IF($B$3:$B$29=$B39,IF($D$3:$D$29=AD$32,IF($F$3:$F$29&lt;&gt;"",$F$3:$F$29))),0.95),"")</f>
        <v/>
      </c>
      <c r="AE39" s="93" t="str">
        <f t="array" ref="AE39">IFERROR(PERCENTILE(IF($B$3:$B$29=$B39,IF($D$3:$D$29=AE$32,IF($F$3:$F$29&lt;&gt;"",$F$3:$F$29))),0.95),"")</f>
        <v/>
      </c>
    </row>
    <row r="40" spans="1:31" ht="15" customHeight="1" x14ac:dyDescent="0.25">
      <c r="A40" s="38">
        <f t="shared" si="2"/>
        <v>0</v>
      </c>
      <c r="B40" s="48" t="str">
        <f t="array" ref="B40">IFERROR(INDEX($B$3:$B$29, MATCH(0,IF(ISBLANK($B$3:$B$29),1,COUNTIF($B$33:B39, $B$3:$B$29)), 0)),"")</f>
        <v>Gujrat</v>
      </c>
      <c r="C40" s="49"/>
      <c r="D40" s="49"/>
      <c r="E40" s="49"/>
      <c r="F40" s="58"/>
      <c r="G40" s="93" t="str">
        <f t="array" ref="G40">IFERROR(PERCENTILE(IF($B$3:$B$29=$B40,IF($D$3:$D$29=G$32,IF($F$3:$F$29&lt;&gt;"",$F$3:$F$29))),0.95),"")</f>
        <v/>
      </c>
      <c r="H40" s="93" t="str">
        <f t="array" ref="H40">IFERROR(PERCENTILE(IF($B$3:$B$29=$B40,IF($D$3:$D$29=H$32,IF($F$3:$F$29&lt;&gt;"",$F$3:$F$29))),0.95),"")</f>
        <v/>
      </c>
      <c r="I40" s="93" t="str">
        <f t="array" ref="I40">IFERROR(PERCENTILE(IF($B$3:$B$29=$B40,IF($D$3:$D$29=I$32,IF($F$3:$F$29&lt;&gt;"",$F$3:$F$29))),0.95),"")</f>
        <v/>
      </c>
      <c r="J40" s="93" t="str">
        <f t="array" ref="J40">IFERROR(PERCENTILE(IF($B$3:$B$29=$B40,IF($D$3:$D$29=J$32,IF($F$3:$F$29&lt;&gt;"",$F$3:$F$29))),0.95),"")</f>
        <v/>
      </c>
      <c r="K40" s="93" t="str">
        <f t="array" ref="K40">IFERROR(PERCENTILE(IF($B$3:$B$29=$B40,IF($D$3:$D$29=K$32,IF($F$3:$F$29&lt;&gt;"",$F$3:$F$29))),0.95),"")</f>
        <v/>
      </c>
      <c r="L40" s="93" t="str">
        <f t="array" ref="L40">IFERROR(PERCENTILE(IF($B$3:$B$29=$B40,IF($D$3:$D$29=L$32,IF($F$3:$F$29&lt;&gt;"",$F$3:$F$29))),0.95),"")</f>
        <v/>
      </c>
      <c r="M40" s="93" t="str">
        <f t="array" ref="M40">IFERROR(PERCENTILE(IF($B$3:$B$29=$B40,IF($D$3:$D$29=M$32,IF($F$3:$F$29&lt;&gt;"",$F$3:$F$29))),0.95),"")</f>
        <v/>
      </c>
      <c r="N40" s="93" t="str">
        <f t="array" ref="N40">IFERROR(PERCENTILE(IF($B$3:$B$29=$B40,IF($D$3:$D$29=N$32,IF($F$3:$F$29&lt;&gt;"",$F$3:$F$29))),0.95),"")</f>
        <v/>
      </c>
      <c r="O40" s="93" t="str">
        <f t="array" ref="O40">IFERROR(PERCENTILE(IF($B$3:$B$29=$B40,IF($D$3:$D$29=O$32,IF($F$3:$F$29&lt;&gt;"",$F$3:$F$29))),0.95),"")</f>
        <v/>
      </c>
      <c r="P40" s="93">
        <f t="array" ref="P40">IFERROR(PERCENTILE(IF($B$3:$B$29=$B40,IF($D$3:$D$29=P$32,IF($F$3:$F$29&lt;&gt;"",$F$3:$F$29))),0.95),"")</f>
        <v>0.19</v>
      </c>
      <c r="Q40" s="93" t="str">
        <f t="array" ref="Q40">IFERROR(PERCENTILE(IF($B$3:$B$29=$B40,IF($D$3:$D$29=Q$32,IF($F$3:$F$29&lt;&gt;"",$F$3:$F$29))),0.95),"")</f>
        <v/>
      </c>
      <c r="R40" s="93" t="str">
        <f t="array" ref="R40">IFERROR(PERCENTILE(IF($B$3:$B$29=$B40,IF($D$3:$D$29=R$32,IF($F$3:$F$29&lt;&gt;"",$F$3:$F$29))),0.95),"")</f>
        <v/>
      </c>
      <c r="S40" s="93" t="str">
        <f t="array" ref="S40">IFERROR(PERCENTILE(IF($B$3:$B$29=$B40,IF($D$3:$D$29=S$32,IF($F$3:$F$29&lt;&gt;"",$F$3:$F$29))),0.95),"")</f>
        <v/>
      </c>
      <c r="T40" s="93" t="str">
        <f t="array" ref="T40">IFERROR(PERCENTILE(IF($B$3:$B$29=$B40,IF($D$3:$D$29=T$32,IF($F$3:$F$29&lt;&gt;"",$F$3:$F$29))),0.95),"")</f>
        <v/>
      </c>
      <c r="U40" s="93" t="str">
        <f t="array" ref="U40">IFERROR(PERCENTILE(IF($B$3:$B$29=$B40,IF($D$3:$D$29=U$32,IF($F$3:$F$29&lt;&gt;"",$F$3:$F$29))),0.95),"")</f>
        <v/>
      </c>
      <c r="V40" s="93" t="str">
        <f t="array" ref="V40">IFERROR(PERCENTILE(IF($B$3:$B$29=$B40,IF($D$3:$D$29=V$32,IF($F$3:$F$29&lt;&gt;"",$F$3:$F$29))),0.95),"")</f>
        <v/>
      </c>
      <c r="W40" s="93" t="str">
        <f t="array" ref="W40">IFERROR(PERCENTILE(IF($B$3:$B$29=$B40,IF($D$3:$D$29=W$32,IF($F$3:$F$29&lt;&gt;"",$F$3:$F$29))),0.95),"")</f>
        <v/>
      </c>
      <c r="X40" s="93" t="str">
        <f t="array" ref="X40">IFERROR(PERCENTILE(IF($B$3:$B$29=$B40,IF($D$3:$D$29=X$32,IF($F$3:$F$29&lt;&gt;"",$F$3:$F$29))),0.95),"")</f>
        <v/>
      </c>
      <c r="Y40" s="93" t="str">
        <f t="array" ref="Y40">IFERROR(PERCENTILE(IF($B$3:$B$29=$B40,IF($D$3:$D$29=Y$32,IF($F$3:$F$29&lt;&gt;"",$F$3:$F$29))),0.95),"")</f>
        <v/>
      </c>
      <c r="Z40" s="93" t="str">
        <f t="array" ref="Z40">IFERROR(PERCENTILE(IF($B$3:$B$29=$B40,IF($D$3:$D$29=Z$32,IF($F$3:$F$29&lt;&gt;"",$F$3:$F$29))),0.95),"")</f>
        <v/>
      </c>
      <c r="AA40" s="93" t="str">
        <f t="array" ref="AA40">IFERROR(PERCENTILE(IF($B$3:$B$29=$B40,IF($D$3:$D$29=AA$32,IF($F$3:$F$29&lt;&gt;"",$F$3:$F$29))),0.95),"")</f>
        <v/>
      </c>
      <c r="AB40" s="93" t="str">
        <f t="array" ref="AB40">IFERROR(PERCENTILE(IF($B$3:$B$29=$B40,IF($D$3:$D$29=AB$32,IF($F$3:$F$29&lt;&gt;"",$F$3:$F$29))),0.95),"")</f>
        <v/>
      </c>
      <c r="AC40" s="93">
        <f t="array" ref="AC40">IFERROR(PERCENTILE(IF($B$3:$B$29=$B40,IF($D$3:$D$29=AC$32,IF($F$3:$F$29&lt;&gt;"",$F$3:$F$29))),0.95),"")</f>
        <v>0.5</v>
      </c>
      <c r="AD40" s="93" t="str">
        <f t="array" ref="AD40">IFERROR(PERCENTILE(IF($B$3:$B$29=$B40,IF($D$3:$D$29=AD$32,IF($F$3:$F$29&lt;&gt;"",$F$3:$F$29))),0.95),"")</f>
        <v/>
      </c>
      <c r="AE40" s="93" t="str">
        <f t="array" ref="AE40">IFERROR(PERCENTILE(IF($B$3:$B$29=$B40,IF($D$3:$D$29=AE$32,IF($F$3:$F$29&lt;&gt;"",$F$3:$F$29))),0.95),"")</f>
        <v/>
      </c>
    </row>
    <row r="41" spans="1:31" ht="15" customHeight="1" x14ac:dyDescent="0.25">
      <c r="A41" s="38">
        <f t="shared" si="2"/>
        <v>0</v>
      </c>
      <c r="B41" s="48" t="str">
        <f t="array" ref="B41">IFERROR(INDEX($B$3:$B$29, MATCH(0,IF(ISBLANK($B$3:$B$29),1,COUNTIF($B$33:B40, $B$3:$B$29)), 0)),"")</f>
        <v>Ludhiyana</v>
      </c>
      <c r="C41" s="49"/>
      <c r="D41" s="49"/>
      <c r="E41" s="49"/>
      <c r="F41" s="58"/>
      <c r="G41" s="93" t="str">
        <f t="array" ref="G41">IFERROR(PERCENTILE(IF($B$3:$B$29=$B41,IF($D$3:$D$29=G$32,IF($F$3:$F$29&lt;&gt;"",$F$3:$F$29))),0.95),"")</f>
        <v/>
      </c>
      <c r="H41" s="93" t="str">
        <f t="array" ref="H41">IFERROR(PERCENTILE(IF($B$3:$B$29=$B41,IF($D$3:$D$29=H$32,IF($F$3:$F$29&lt;&gt;"",$F$3:$F$29))),0.95),"")</f>
        <v/>
      </c>
      <c r="I41" s="93" t="str">
        <f t="array" ref="I41">IFERROR(PERCENTILE(IF($B$3:$B$29=$B41,IF($D$3:$D$29=I$32,IF($F$3:$F$29&lt;&gt;"",$F$3:$F$29))),0.95),"")</f>
        <v/>
      </c>
      <c r="J41" s="93" t="str">
        <f t="array" ref="J41">IFERROR(PERCENTILE(IF($B$3:$B$29=$B41,IF($D$3:$D$29=J$32,IF($F$3:$F$29&lt;&gt;"",$F$3:$F$29))),0.95),"")</f>
        <v/>
      </c>
      <c r="K41" s="93" t="str">
        <f t="array" ref="K41">IFERROR(PERCENTILE(IF($B$3:$B$29=$B41,IF($D$3:$D$29=K$32,IF($F$3:$F$29&lt;&gt;"",$F$3:$F$29))),0.95),"")</f>
        <v/>
      </c>
      <c r="L41" s="93" t="str">
        <f t="array" ref="L41">IFERROR(PERCENTILE(IF($B$3:$B$29=$B41,IF($D$3:$D$29=L$32,IF($F$3:$F$29&lt;&gt;"",$F$3:$F$29))),0.95),"")</f>
        <v/>
      </c>
      <c r="M41" s="93" t="str">
        <f t="array" ref="M41">IFERROR(PERCENTILE(IF($B$3:$B$29=$B41,IF($D$3:$D$29=M$32,IF($F$3:$F$29&lt;&gt;"",$F$3:$F$29))),0.95),"")</f>
        <v/>
      </c>
      <c r="N41" s="93" t="str">
        <f t="array" ref="N41">IFERROR(PERCENTILE(IF($B$3:$B$29=$B41,IF($D$3:$D$29=N$32,IF($F$3:$F$29&lt;&gt;"",$F$3:$F$29))),0.95),"")</f>
        <v/>
      </c>
      <c r="O41" s="93" t="str">
        <f t="array" ref="O41">IFERROR(PERCENTILE(IF($B$3:$B$29=$B41,IF($D$3:$D$29=O$32,IF($F$3:$F$29&lt;&gt;"",$F$3:$F$29))),0.95),"")</f>
        <v/>
      </c>
      <c r="P41" s="93" t="str">
        <f t="array" ref="P41">IFERROR(PERCENTILE(IF($B$3:$B$29=$B41,IF($D$3:$D$29=P$32,IF($F$3:$F$29&lt;&gt;"",$F$3:$F$29))),0.95),"")</f>
        <v/>
      </c>
      <c r="Q41" s="93">
        <f t="array" ref="Q41">IFERROR(PERCENTILE(IF($B$3:$B$29=$B41,IF($D$3:$D$29=Q$32,IF($F$3:$F$29&lt;&gt;"",$F$3:$F$29))),0.95),"")</f>
        <v>0.5</v>
      </c>
      <c r="R41" s="93" t="str">
        <f t="array" ref="R41">IFERROR(PERCENTILE(IF($B$3:$B$29=$B41,IF($D$3:$D$29=R$32,IF($F$3:$F$29&lt;&gt;"",$F$3:$F$29))),0.95),"")</f>
        <v/>
      </c>
      <c r="S41" s="93" t="str">
        <f t="array" ref="S41">IFERROR(PERCENTILE(IF($B$3:$B$29=$B41,IF($D$3:$D$29=S$32,IF($F$3:$F$29&lt;&gt;"",$F$3:$F$29))),0.95),"")</f>
        <v/>
      </c>
      <c r="T41" s="93" t="str">
        <f t="array" ref="T41">IFERROR(PERCENTILE(IF($B$3:$B$29=$B41,IF($D$3:$D$29=T$32,IF($F$3:$F$29&lt;&gt;"",$F$3:$F$29))),0.95),"")</f>
        <v/>
      </c>
      <c r="U41" s="93" t="str">
        <f t="array" ref="U41">IFERROR(PERCENTILE(IF($B$3:$B$29=$B41,IF($D$3:$D$29=U$32,IF($F$3:$F$29&lt;&gt;"",$F$3:$F$29))),0.95),"")</f>
        <v/>
      </c>
      <c r="V41" s="93" t="str">
        <f t="array" ref="V41">IFERROR(PERCENTILE(IF($B$3:$B$29=$B41,IF($D$3:$D$29=V$32,IF($F$3:$F$29&lt;&gt;"",$F$3:$F$29))),0.95),"")</f>
        <v/>
      </c>
      <c r="W41" s="93" t="str">
        <f t="array" ref="W41">IFERROR(PERCENTILE(IF($B$3:$B$29=$B41,IF($D$3:$D$29=W$32,IF($F$3:$F$29&lt;&gt;"",$F$3:$F$29))),0.95),"")</f>
        <v/>
      </c>
      <c r="X41" s="93" t="str">
        <f t="array" ref="X41">IFERROR(PERCENTILE(IF($B$3:$B$29=$B41,IF($D$3:$D$29=X$32,IF($F$3:$F$29&lt;&gt;"",$F$3:$F$29))),0.95),"")</f>
        <v/>
      </c>
      <c r="Y41" s="93" t="str">
        <f t="array" ref="Y41">IFERROR(PERCENTILE(IF($B$3:$B$29=$B41,IF($D$3:$D$29=Y$32,IF($F$3:$F$29&lt;&gt;"",$F$3:$F$29))),0.95),"")</f>
        <v/>
      </c>
      <c r="Z41" s="93" t="str">
        <f t="array" ref="Z41">IFERROR(PERCENTILE(IF($B$3:$B$29=$B41,IF($D$3:$D$29=Z$32,IF($F$3:$F$29&lt;&gt;"",$F$3:$F$29))),0.95),"")</f>
        <v/>
      </c>
      <c r="AA41" s="93" t="str">
        <f t="array" ref="AA41">IFERROR(PERCENTILE(IF($B$3:$B$29=$B41,IF($D$3:$D$29=AA$32,IF($F$3:$F$29&lt;&gt;"",$F$3:$F$29))),0.95),"")</f>
        <v/>
      </c>
      <c r="AB41" s="93" t="str">
        <f t="array" ref="AB41">IFERROR(PERCENTILE(IF($B$3:$B$29=$B41,IF($D$3:$D$29=AB$32,IF($F$3:$F$29&lt;&gt;"",$F$3:$F$29))),0.95),"")</f>
        <v/>
      </c>
      <c r="AC41" s="93" t="str">
        <f t="array" ref="AC41">IFERROR(PERCENTILE(IF($B$3:$B$29=$B41,IF($D$3:$D$29=AC$32,IF($F$3:$F$29&lt;&gt;"",$F$3:$F$29))),0.95),"")</f>
        <v/>
      </c>
      <c r="AD41" s="93">
        <f t="array" ref="AD41">IFERROR(PERCENTILE(IF($B$3:$B$29=$B41,IF($D$3:$D$29=AD$32,IF($F$3:$F$29&lt;&gt;"",$F$3:$F$29))),0.95),"")</f>
        <v>0.5</v>
      </c>
      <c r="AE41" s="93" t="str">
        <f t="array" ref="AE41">IFERROR(PERCENTILE(IF($B$3:$B$29=$B41,IF($D$3:$D$29=AE$32,IF($F$3:$F$29&lt;&gt;"",$F$3:$F$29))),0.95),"")</f>
        <v/>
      </c>
    </row>
    <row r="42" spans="1:31" ht="15" customHeight="1" x14ac:dyDescent="0.25">
      <c r="A42" s="38">
        <f t="shared" si="2"/>
        <v>0</v>
      </c>
      <c r="B42" s="48" t="str">
        <f t="array" ref="B42">IFERROR(INDEX($B$3:$B$29, MATCH(0,IF(ISBLANK($B$3:$B$29),1,COUNTIF($B$33:B41, $B$3:$B$29)), 0)),"")</f>
        <v>Uttar Pradesh</v>
      </c>
      <c r="C42" s="49"/>
      <c r="D42" s="49"/>
      <c r="E42" s="49"/>
      <c r="F42" s="58"/>
      <c r="G42" s="93" t="str">
        <f t="array" ref="G42">IFERROR(PERCENTILE(IF($B$3:$B$29=$B42,IF($D$3:$D$29=G$32,IF($F$3:$F$29&lt;&gt;"",$F$3:$F$29))),0.95),"")</f>
        <v/>
      </c>
      <c r="H42" s="93" t="str">
        <f t="array" ref="H42">IFERROR(PERCENTILE(IF($B$3:$B$29=$B42,IF($D$3:$D$29=H$32,IF($F$3:$F$29&lt;&gt;"",$F$3:$F$29))),0.95),"")</f>
        <v/>
      </c>
      <c r="I42" s="93" t="str">
        <f t="array" ref="I42">IFERROR(PERCENTILE(IF($B$3:$B$29=$B42,IF($D$3:$D$29=I$32,IF($F$3:$F$29&lt;&gt;"",$F$3:$F$29))),0.95),"")</f>
        <v/>
      </c>
      <c r="J42" s="93" t="str">
        <f t="array" ref="J42">IFERROR(PERCENTILE(IF($B$3:$B$29=$B42,IF($D$3:$D$29=J$32,IF($F$3:$F$29&lt;&gt;"",$F$3:$F$29))),0.95),"")</f>
        <v/>
      </c>
      <c r="K42" s="93" t="str">
        <f t="array" ref="K42">IFERROR(PERCENTILE(IF($B$3:$B$29=$B42,IF($D$3:$D$29=K$32,IF($F$3:$F$29&lt;&gt;"",$F$3:$F$29))),0.95),"")</f>
        <v/>
      </c>
      <c r="L42" s="93" t="str">
        <f t="array" ref="L42">IFERROR(PERCENTILE(IF($B$3:$B$29=$B42,IF($D$3:$D$29=L$32,IF($F$3:$F$29&lt;&gt;"",$F$3:$F$29))),0.95),"")</f>
        <v/>
      </c>
      <c r="M42" s="93" t="str">
        <f t="array" ref="M42">IFERROR(PERCENTILE(IF($B$3:$B$29=$B42,IF($D$3:$D$29=M$32,IF($F$3:$F$29&lt;&gt;"",$F$3:$F$29))),0.95),"")</f>
        <v/>
      </c>
      <c r="N42" s="93" t="str">
        <f t="array" ref="N42">IFERROR(PERCENTILE(IF($B$3:$B$29=$B42,IF($D$3:$D$29=N$32,IF($F$3:$F$29&lt;&gt;"",$F$3:$F$29))),0.95),"")</f>
        <v/>
      </c>
      <c r="O42" s="93" t="str">
        <f t="array" ref="O42">IFERROR(PERCENTILE(IF($B$3:$B$29=$B42,IF($D$3:$D$29=O$32,IF($F$3:$F$29&lt;&gt;"",$F$3:$F$29))),0.95),"")</f>
        <v/>
      </c>
      <c r="P42" s="93" t="str">
        <f t="array" ref="P42">IFERROR(PERCENTILE(IF($B$3:$B$29=$B42,IF($D$3:$D$29=P$32,IF($F$3:$F$29&lt;&gt;"",$F$3:$F$29))),0.95),"")</f>
        <v/>
      </c>
      <c r="Q42" s="93" t="str">
        <f t="array" ref="Q42">IFERROR(PERCENTILE(IF($B$3:$B$29=$B42,IF($D$3:$D$29=Q$32,IF($F$3:$F$29&lt;&gt;"",$F$3:$F$29))),0.95),"")</f>
        <v/>
      </c>
      <c r="R42" s="93">
        <f t="array" ref="R42">IFERROR(PERCENTILE(IF($B$3:$B$29=$B42,IF($D$3:$D$29=R$32,IF($F$3:$F$29&lt;&gt;"",$F$3:$F$29))),0.95),"")</f>
        <v>0.5</v>
      </c>
      <c r="S42" s="93" t="str">
        <f t="array" ref="S42">IFERROR(PERCENTILE(IF($B$3:$B$29=$B42,IF($D$3:$D$29=S$32,IF($F$3:$F$29&lt;&gt;"",$F$3:$F$29))),0.95),"")</f>
        <v/>
      </c>
      <c r="T42" s="93" t="str">
        <f t="array" ref="T42">IFERROR(PERCENTILE(IF($B$3:$B$29=$B42,IF($D$3:$D$29=T$32,IF($F$3:$F$29&lt;&gt;"",$F$3:$F$29))),0.95),"")</f>
        <v/>
      </c>
      <c r="U42" s="93" t="str">
        <f t="array" ref="U42">IFERROR(PERCENTILE(IF($B$3:$B$29=$B42,IF($D$3:$D$29=U$32,IF($F$3:$F$29&lt;&gt;"",$F$3:$F$29))),0.95),"")</f>
        <v/>
      </c>
      <c r="V42" s="93" t="str">
        <f t="array" ref="V42">IFERROR(PERCENTILE(IF($B$3:$B$29=$B42,IF($D$3:$D$29=V$32,IF($F$3:$F$29&lt;&gt;"",$F$3:$F$29))),0.95),"")</f>
        <v/>
      </c>
      <c r="W42" s="93" t="str">
        <f t="array" ref="W42">IFERROR(PERCENTILE(IF($B$3:$B$29=$B42,IF($D$3:$D$29=W$32,IF($F$3:$F$29&lt;&gt;"",$F$3:$F$29))),0.95),"")</f>
        <v/>
      </c>
      <c r="X42" s="93" t="str">
        <f t="array" ref="X42">IFERROR(PERCENTILE(IF($B$3:$B$29=$B42,IF($D$3:$D$29=X$32,IF($F$3:$F$29&lt;&gt;"",$F$3:$F$29))),0.95),"")</f>
        <v/>
      </c>
      <c r="Y42" s="93" t="str">
        <f t="array" ref="Y42">IFERROR(PERCENTILE(IF($B$3:$B$29=$B42,IF($D$3:$D$29=Y$32,IF($F$3:$F$29&lt;&gt;"",$F$3:$F$29))),0.95),"")</f>
        <v/>
      </c>
      <c r="Z42" s="93" t="str">
        <f t="array" ref="Z42">IFERROR(PERCENTILE(IF($B$3:$B$29=$B42,IF($D$3:$D$29=Z$32,IF($F$3:$F$29&lt;&gt;"",$F$3:$F$29))),0.95),"")</f>
        <v/>
      </c>
      <c r="AA42" s="93" t="str">
        <f t="array" ref="AA42">IFERROR(PERCENTILE(IF($B$3:$B$29=$B42,IF($D$3:$D$29=AA$32,IF($F$3:$F$29&lt;&gt;"",$F$3:$F$29))),0.95),"")</f>
        <v/>
      </c>
      <c r="AB42" s="93" t="str">
        <f t="array" ref="AB42">IFERROR(PERCENTILE(IF($B$3:$B$29=$B42,IF($D$3:$D$29=AB$32,IF($F$3:$F$29&lt;&gt;"",$F$3:$F$29))),0.95),"")</f>
        <v/>
      </c>
      <c r="AC42" s="93" t="str">
        <f t="array" ref="AC42">IFERROR(PERCENTILE(IF($B$3:$B$29=$B42,IF($D$3:$D$29=AC$32,IF($F$3:$F$29&lt;&gt;"",$F$3:$F$29))),0.95),"")</f>
        <v/>
      </c>
      <c r="AD42" s="93" t="str">
        <f t="array" ref="AD42">IFERROR(PERCENTILE(IF($B$3:$B$29=$B42,IF($D$3:$D$29=AD$32,IF($F$3:$F$29&lt;&gt;"",$F$3:$F$29))),0.95),"")</f>
        <v/>
      </c>
      <c r="AE42" s="93" t="str">
        <f t="array" ref="AE42">IFERROR(PERCENTILE(IF($B$3:$B$29=$B42,IF($D$3:$D$29=AE$32,IF($F$3:$F$29&lt;&gt;"",$F$3:$F$29))),0.95),"")</f>
        <v/>
      </c>
    </row>
    <row r="43" spans="1:31" ht="15" customHeight="1" x14ac:dyDescent="0.25">
      <c r="A43" s="38">
        <f t="shared" si="2"/>
        <v>0</v>
      </c>
      <c r="B43" s="48" t="str">
        <f t="array" ref="B43">IFERROR(INDEX($B$3:$B$29, MATCH(0,IF(ISBLANK($B$3:$B$29),1,COUNTIF($B$33:B42, $B$3:$B$29)), 0)),"")</f>
        <v>Sikkim</v>
      </c>
      <c r="C43" s="49"/>
      <c r="D43" s="49"/>
      <c r="E43" s="49"/>
      <c r="F43" s="58"/>
      <c r="G43" s="93" t="str">
        <f t="array" ref="G43">IFERROR(PERCENTILE(IF($B$3:$B$29=$B43,IF($D$3:$D$29=G$32,IF($F$3:$F$29&lt;&gt;"",$F$3:$F$29))),0.95),"")</f>
        <v/>
      </c>
      <c r="H43" s="93" t="str">
        <f t="array" ref="H43">IFERROR(PERCENTILE(IF($B$3:$B$29=$B43,IF($D$3:$D$29=H$32,IF($F$3:$F$29&lt;&gt;"",$F$3:$F$29))),0.95),"")</f>
        <v/>
      </c>
      <c r="I43" s="93" t="str">
        <f t="array" ref="I43">IFERROR(PERCENTILE(IF($B$3:$B$29=$B43,IF($D$3:$D$29=I$32,IF($F$3:$F$29&lt;&gt;"",$F$3:$F$29))),0.95),"")</f>
        <v/>
      </c>
      <c r="J43" s="93" t="str">
        <f t="array" ref="J43">IFERROR(PERCENTILE(IF($B$3:$B$29=$B43,IF($D$3:$D$29=J$32,IF($F$3:$F$29&lt;&gt;"",$F$3:$F$29))),0.95),"")</f>
        <v/>
      </c>
      <c r="K43" s="93" t="str">
        <f t="array" ref="K43">IFERROR(PERCENTILE(IF($B$3:$B$29=$B43,IF($D$3:$D$29=K$32,IF($F$3:$F$29&lt;&gt;"",$F$3:$F$29))),0.95),"")</f>
        <v/>
      </c>
      <c r="L43" s="93" t="str">
        <f t="array" ref="L43">IFERROR(PERCENTILE(IF($B$3:$B$29=$B43,IF($D$3:$D$29=L$32,IF($F$3:$F$29&lt;&gt;"",$F$3:$F$29))),0.95),"")</f>
        <v/>
      </c>
      <c r="M43" s="93" t="str">
        <f t="array" ref="M43">IFERROR(PERCENTILE(IF($B$3:$B$29=$B43,IF($D$3:$D$29=M$32,IF($F$3:$F$29&lt;&gt;"",$F$3:$F$29))),0.95),"")</f>
        <v/>
      </c>
      <c r="N43" s="93" t="str">
        <f t="array" ref="N43">IFERROR(PERCENTILE(IF($B$3:$B$29=$B43,IF($D$3:$D$29=N$32,IF($F$3:$F$29&lt;&gt;"",$F$3:$F$29))),0.95),"")</f>
        <v/>
      </c>
      <c r="O43" s="93" t="str">
        <f t="array" ref="O43">IFERROR(PERCENTILE(IF($B$3:$B$29=$B43,IF($D$3:$D$29=O$32,IF($F$3:$F$29&lt;&gt;"",$F$3:$F$29))),0.95),"")</f>
        <v/>
      </c>
      <c r="P43" s="93" t="str">
        <f t="array" ref="P43">IFERROR(PERCENTILE(IF($B$3:$B$29=$B43,IF($D$3:$D$29=P$32,IF($F$3:$F$29&lt;&gt;"",$F$3:$F$29))),0.95),"")</f>
        <v/>
      </c>
      <c r="Q43" s="93" t="str">
        <f t="array" ref="Q43">IFERROR(PERCENTILE(IF($B$3:$B$29=$B43,IF($D$3:$D$29=Q$32,IF($F$3:$F$29&lt;&gt;"",$F$3:$F$29))),0.95),"")</f>
        <v/>
      </c>
      <c r="R43" s="93" t="str">
        <f t="array" ref="R43">IFERROR(PERCENTILE(IF($B$3:$B$29=$B43,IF($D$3:$D$29=R$32,IF($F$3:$F$29&lt;&gt;"",$F$3:$F$29))),0.95),"")</f>
        <v/>
      </c>
      <c r="S43" s="93">
        <f t="array" ref="S43">IFERROR(PERCENTILE(IF($B$3:$B$29=$B43,IF($D$3:$D$29=S$32,IF($F$3:$F$29&lt;&gt;"",$F$3:$F$29))),0.95),"")</f>
        <v>0.5</v>
      </c>
      <c r="T43" s="93" t="str">
        <f t="array" ref="T43">IFERROR(PERCENTILE(IF($B$3:$B$29=$B43,IF($D$3:$D$29=T$32,IF($F$3:$F$29&lt;&gt;"",$F$3:$F$29))),0.95),"")</f>
        <v/>
      </c>
      <c r="U43" s="93" t="str">
        <f t="array" ref="U43">IFERROR(PERCENTILE(IF($B$3:$B$29=$B43,IF($D$3:$D$29=U$32,IF($F$3:$F$29&lt;&gt;"",$F$3:$F$29))),0.95),"")</f>
        <v/>
      </c>
      <c r="V43" s="93" t="str">
        <f t="array" ref="V43">IFERROR(PERCENTILE(IF($B$3:$B$29=$B43,IF($D$3:$D$29=V$32,IF($F$3:$F$29&lt;&gt;"",$F$3:$F$29))),0.95),"")</f>
        <v/>
      </c>
      <c r="W43" s="93" t="str">
        <f t="array" ref="W43">IFERROR(PERCENTILE(IF($B$3:$B$29=$B43,IF($D$3:$D$29=W$32,IF($F$3:$F$29&lt;&gt;"",$F$3:$F$29))),0.95),"")</f>
        <v/>
      </c>
      <c r="X43" s="93" t="str">
        <f t="array" ref="X43">IFERROR(PERCENTILE(IF($B$3:$B$29=$B43,IF($D$3:$D$29=X$32,IF($F$3:$F$29&lt;&gt;"",$F$3:$F$29))),0.95),"")</f>
        <v/>
      </c>
      <c r="Y43" s="93" t="str">
        <f t="array" ref="Y43">IFERROR(PERCENTILE(IF($B$3:$B$29=$B43,IF($D$3:$D$29=Y$32,IF($F$3:$F$29&lt;&gt;"",$F$3:$F$29))),0.95),"")</f>
        <v/>
      </c>
      <c r="Z43" s="93" t="str">
        <f t="array" ref="Z43">IFERROR(PERCENTILE(IF($B$3:$B$29=$B43,IF($D$3:$D$29=Z$32,IF($F$3:$F$29&lt;&gt;"",$F$3:$F$29))),0.95),"")</f>
        <v/>
      </c>
      <c r="AA43" s="93" t="str">
        <f t="array" ref="AA43">IFERROR(PERCENTILE(IF($B$3:$B$29=$B43,IF($D$3:$D$29=AA$32,IF($F$3:$F$29&lt;&gt;"",$F$3:$F$29))),0.95),"")</f>
        <v/>
      </c>
      <c r="AB43" s="93" t="str">
        <f t="array" ref="AB43">IFERROR(PERCENTILE(IF($B$3:$B$29=$B43,IF($D$3:$D$29=AB$32,IF($F$3:$F$29&lt;&gt;"",$F$3:$F$29))),0.95),"")</f>
        <v/>
      </c>
      <c r="AC43" s="93" t="str">
        <f t="array" ref="AC43">IFERROR(PERCENTILE(IF($B$3:$B$29=$B43,IF($D$3:$D$29=AC$32,IF($F$3:$F$29&lt;&gt;"",$F$3:$F$29))),0.95),"")</f>
        <v/>
      </c>
      <c r="AD43" s="93" t="str">
        <f t="array" ref="AD43">IFERROR(PERCENTILE(IF($B$3:$B$29=$B43,IF($D$3:$D$29=AD$32,IF($F$3:$F$29&lt;&gt;"",$F$3:$F$29))),0.95),"")</f>
        <v/>
      </c>
      <c r="AE43" s="93" t="str">
        <f t="array" ref="AE43">IFERROR(PERCENTILE(IF($B$3:$B$29=$B43,IF($D$3:$D$29=AE$32,IF($F$3:$F$29&lt;&gt;"",$F$3:$F$29))),0.95),"")</f>
        <v/>
      </c>
    </row>
    <row r="44" spans="1:31" ht="9" customHeight="1" x14ac:dyDescent="0.25">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row>
    <row r="45" spans="1:31" ht="9" customHeight="1" x14ac:dyDescent="0.25">
      <c r="A45" s="38" t="s">
        <v>545</v>
      </c>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row>
    <row r="46" spans="1:31" ht="15" hidden="1" customHeight="1" x14ac:dyDescent="0.25">
      <c r="G46" s="72">
        <f t="shared" ref="G46:AE46" si="3">G32</f>
        <v>44012</v>
      </c>
      <c r="H46" s="72">
        <f t="shared" si="3"/>
        <v>43982</v>
      </c>
      <c r="I46" s="72">
        <f t="shared" si="3"/>
        <v>43951</v>
      </c>
      <c r="J46" s="72">
        <f t="shared" si="3"/>
        <v>43921</v>
      </c>
      <c r="K46" s="72">
        <f t="shared" si="3"/>
        <v>43889</v>
      </c>
      <c r="L46" s="72">
        <f t="shared" si="3"/>
        <v>43861</v>
      </c>
      <c r="M46" s="72">
        <f t="shared" si="3"/>
        <v>43830</v>
      </c>
      <c r="N46" s="72">
        <f t="shared" si="3"/>
        <v>43799</v>
      </c>
      <c r="O46" s="72">
        <f t="shared" si="3"/>
        <v>43769</v>
      </c>
      <c r="P46" s="72">
        <f t="shared" si="3"/>
        <v>43738</v>
      </c>
      <c r="Q46" s="72">
        <f t="shared" si="3"/>
        <v>43708</v>
      </c>
      <c r="R46" s="72">
        <f t="shared" si="3"/>
        <v>43677</v>
      </c>
      <c r="S46" s="72">
        <f t="shared" si="3"/>
        <v>43646</v>
      </c>
      <c r="T46" s="72">
        <f t="shared" si="3"/>
        <v>43616</v>
      </c>
      <c r="U46" s="72">
        <f t="shared" si="3"/>
        <v>43585</v>
      </c>
      <c r="V46" s="72">
        <f t="shared" si="3"/>
        <v>43555</v>
      </c>
      <c r="W46" s="72">
        <f t="shared" si="3"/>
        <v>43524</v>
      </c>
      <c r="X46" s="72">
        <f t="shared" si="3"/>
        <v>43496</v>
      </c>
      <c r="Y46" s="72">
        <f t="shared" si="3"/>
        <v>43465</v>
      </c>
      <c r="Z46" s="72">
        <f t="shared" si="3"/>
        <v>43434</v>
      </c>
      <c r="AA46" s="72">
        <f t="shared" si="3"/>
        <v>43404</v>
      </c>
      <c r="AB46" s="72">
        <f t="shared" si="3"/>
        <v>43373</v>
      </c>
      <c r="AC46" s="72">
        <f t="shared" si="3"/>
        <v>43343</v>
      </c>
      <c r="AD46" s="72">
        <f t="shared" si="3"/>
        <v>43312</v>
      </c>
      <c r="AE46" s="72">
        <f t="shared" si="3"/>
        <v>43281</v>
      </c>
    </row>
    <row r="47" spans="1:31" ht="20.25" customHeight="1" x14ac:dyDescent="0.25">
      <c r="B47" s="55" t="s">
        <v>578</v>
      </c>
      <c r="C47" s="56"/>
      <c r="D47" s="56"/>
      <c r="E47" s="56"/>
      <c r="F47" s="57"/>
      <c r="G47" s="95">
        <f t="shared" ref="G47:AE47" si="4">IFERROR(AVERAGE(G34:G45),0)</f>
        <v>0.62</v>
      </c>
      <c r="H47" s="95">
        <f t="shared" si="4"/>
        <v>0.19</v>
      </c>
      <c r="I47" s="95">
        <f t="shared" si="4"/>
        <v>0.44</v>
      </c>
      <c r="J47" s="95">
        <f t="shared" si="4"/>
        <v>0.73</v>
      </c>
      <c r="K47" s="95">
        <f t="shared" si="4"/>
        <v>0.99</v>
      </c>
      <c r="L47" s="95">
        <f t="shared" si="4"/>
        <v>0.11</v>
      </c>
      <c r="M47" s="95">
        <f t="shared" si="4"/>
        <v>0.25</v>
      </c>
      <c r="N47" s="95">
        <f t="shared" si="4"/>
        <v>0.25</v>
      </c>
      <c r="O47" s="95">
        <f t="shared" si="4"/>
        <v>0.33</v>
      </c>
      <c r="P47" s="95">
        <f t="shared" si="4"/>
        <v>0.19</v>
      </c>
      <c r="Q47" s="95">
        <f t="shared" si="4"/>
        <v>0.5</v>
      </c>
      <c r="R47" s="95">
        <f t="shared" si="4"/>
        <v>0.5</v>
      </c>
      <c r="S47" s="95">
        <f t="shared" si="4"/>
        <v>0.5</v>
      </c>
      <c r="T47" s="95">
        <f t="shared" si="4"/>
        <v>0.19</v>
      </c>
      <c r="U47" s="95">
        <f t="shared" si="4"/>
        <v>0.44</v>
      </c>
      <c r="V47" s="95">
        <f t="shared" si="4"/>
        <v>0.73</v>
      </c>
      <c r="W47" s="95">
        <f t="shared" si="4"/>
        <v>0.99</v>
      </c>
      <c r="X47" s="95">
        <f t="shared" si="4"/>
        <v>0.11</v>
      </c>
      <c r="Y47" s="95">
        <f t="shared" si="4"/>
        <v>0.25</v>
      </c>
      <c r="Z47" s="95">
        <f t="shared" si="4"/>
        <v>0.25</v>
      </c>
      <c r="AA47" s="95">
        <f t="shared" si="4"/>
        <v>0.33</v>
      </c>
      <c r="AB47" s="95">
        <f t="shared" si="4"/>
        <v>0.19</v>
      </c>
      <c r="AC47" s="95">
        <f t="shared" si="4"/>
        <v>0.5</v>
      </c>
      <c r="AD47" s="95">
        <f t="shared" si="4"/>
        <v>0.5</v>
      </c>
      <c r="AE47" s="95">
        <f t="shared" si="4"/>
        <v>0.5</v>
      </c>
    </row>
    <row r="48" spans="1:31" ht="24.75" customHeight="1" x14ac:dyDescent="0.25"/>
    <row r="49" spans="1:5" ht="28.5" hidden="1" customHeight="1" x14ac:dyDescent="0.25">
      <c r="A49" s="38">
        <v>10</v>
      </c>
      <c r="B49" s="50" t="s">
        <v>579</v>
      </c>
      <c r="C49" s="50"/>
      <c r="D49" s="50"/>
      <c r="E49" s="67"/>
    </row>
    <row r="50" spans="1:5" ht="15" hidden="1" customHeight="1" x14ac:dyDescent="0.25">
      <c r="A50" s="37">
        <f>IFERROR(IF(D50="",1,0),1)</f>
        <v>0</v>
      </c>
      <c r="B50" s="52">
        <f>INDEX(Dates,1,E50)</f>
        <v>44012</v>
      </c>
      <c r="C50" s="52">
        <f t="shared" ref="C50" si="5">B50</f>
        <v>44012</v>
      </c>
      <c r="D50" s="53">
        <f>HLOOKUP(B50,ReadingTable,2,FALSE)</f>
        <v>0.62</v>
      </c>
      <c r="E50" s="68">
        <f>IF(E49="",7,E49+1)</f>
        <v>7</v>
      </c>
    </row>
    <row r="51" spans="1:5" hidden="1" x14ac:dyDescent="0.25"/>
    <row r="52" spans="1:5" hidden="1" x14ac:dyDescent="0.25">
      <c r="B52" s="51" t="s">
        <v>577</v>
      </c>
      <c r="C52" s="51"/>
    </row>
    <row r="53" spans="1:5" hidden="1" x14ac:dyDescent="0.25">
      <c r="B53" s="54">
        <f t="array" ref="B53">SUM(IF($D$3:$D$29&lt;&gt;"",1/COUNTIF($D$3:$D$29, $D$3:$D$29), 0))</f>
        <v>25</v>
      </c>
      <c r="C53" s="54">
        <f t="array" ref="C53">SUM(IF($B$3:$B$29&lt;&gt;"",1/COUNTIF($B$3:$B$29, $B$3:$B$29), 0))</f>
        <v>10</v>
      </c>
    </row>
    <row r="54" spans="1:5" hidden="1" x14ac:dyDescent="0.25"/>
    <row r="55" spans="1:5" ht="25.5" hidden="1" x14ac:dyDescent="0.25">
      <c r="B55" s="50" t="s">
        <v>583</v>
      </c>
    </row>
    <row r="56" spans="1:5" ht="15" hidden="1" x14ac:dyDescent="0.25">
      <c r="A56" s="4"/>
      <c r="B56" s="35"/>
      <c r="C56" s="35"/>
      <c r="D56" s="70"/>
      <c r="E56" s="1"/>
    </row>
  </sheetData>
  <sheetProtection algorithmName="SHA-512" hashValue="WVlh5JCjRR0+S8NZgrjU26qgjvBkVsDs/dKAAKoeOWJTrYUHuVzVUkoLEV1tDqhur89QC+gxa9mg4Wh7zVpemA==" saltValue="YulEMtQTq2GC17XFeJr6JQ==" spinCount="100000" sheet="1" objects="1" scenarios="1"/>
  <autoFilter ref="B2:F4" xr:uid="{00000000-0009-0000-0000-000006000000}"/>
  <mergeCells count="1">
    <mergeCell ref="B31:B33"/>
  </mergeCells>
  <dataValidations count="4">
    <dataValidation type="decimal" allowBlank="1" showInputMessage="1" showErrorMessage="1" error="Please enter a valid reading." sqref="D56" xr:uid="{00000000-0002-0000-0600-000000000000}">
      <formula1>0</formula1>
      <formula2>99999999</formula2>
    </dataValidation>
    <dataValidation type="date" allowBlank="1" showInputMessage="1" showErrorMessage="1" error="Please enter a valid date in mm/dd/yyyy format." sqref="B56:C56" xr:uid="{00000000-0002-0000-0600-000001000000}">
      <formula1>1</formula1>
      <formula2>73051</formula2>
    </dataValidation>
    <dataValidation type="date" allowBlank="1" showInputMessage="1" showErrorMessage="1" error="Please enter a valid date in mm/dd/yyyy format." sqref="D3:D28" xr:uid="{00000000-0002-0000-0600-000002000000}">
      <formula1>1</formula1>
      <formula2>2958464</formula2>
    </dataValidation>
    <dataValidation type="time" allowBlank="1" showInputMessage="1" showErrorMessage="1" error="Please enter a valid time in hh:mm format." sqref="E3:E28"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29</xdr:row>
                    <xdr:rowOff>190500</xdr:rowOff>
                  </from>
                  <to>
                    <xdr:col>2</xdr:col>
                    <xdr:colOff>885825</xdr:colOff>
                    <xdr:row>29</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28</xdr:row>
                    <xdr:rowOff>114300</xdr:rowOff>
                  </from>
                  <to>
                    <xdr:col>2</xdr:col>
                    <xdr:colOff>114300</xdr:colOff>
                    <xdr:row>28</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28</xdr:row>
                    <xdr:rowOff>133350</xdr:rowOff>
                  </from>
                  <to>
                    <xdr:col>3</xdr:col>
                    <xdr:colOff>600075</xdr:colOff>
                    <xdr:row>28</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28</xdr:row>
                    <xdr:rowOff>152400</xdr:rowOff>
                  </from>
                  <to>
                    <xdr:col>4</xdr:col>
                    <xdr:colOff>962025</xdr:colOff>
                    <xdr:row>28</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34"/>
  <sheetViews>
    <sheetView zoomScaleNormal="100" workbookViewId="0"/>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34</v>
      </c>
      <c r="B6" s="3" t="s">
        <v>543</v>
      </c>
      <c r="C6" s="3" t="s">
        <v>544</v>
      </c>
      <c r="D6" s="3" t="str">
        <f>CONCATENATE("Highest TVOC Reading 
","(",D4,")")</f>
        <v>Highest TVOC Reading 
(ug/m3)</v>
      </c>
      <c r="E6" s="1"/>
    </row>
    <row r="7" spans="1:5" ht="15" customHeight="1" x14ac:dyDescent="0.25">
      <c r="A7" s="37">
        <f>IFERROR(IF(D7="",1,0),1)</f>
        <v>0</v>
      </c>
      <c r="B7" s="52">
        <f t="shared" ref="B7:B31" si="0">INDEX(DatesVOC,1,E7)</f>
        <v>44012</v>
      </c>
      <c r="C7" s="52">
        <f t="shared" ref="C7" si="1">B7</f>
        <v>44012</v>
      </c>
      <c r="D7" s="53">
        <f t="array" ref="D7">HLOOKUP(B7,ReadingTableVOC,2,FALSE)</f>
        <v>2654</v>
      </c>
      <c r="E7" s="68">
        <f>IF(E6="",8,E6+1)</f>
        <v>8</v>
      </c>
    </row>
    <row r="8" spans="1:5" ht="15" customHeight="1" x14ac:dyDescent="0.25">
      <c r="A8" s="37">
        <f t="shared" ref="A8:A31" si="2">IFERROR(IF(D8="",1,0),1)</f>
        <v>0</v>
      </c>
      <c r="B8" s="52">
        <f t="shared" si="0"/>
        <v>43982</v>
      </c>
      <c r="C8" s="52">
        <f t="shared" ref="C8:C31" si="3">B8</f>
        <v>43982</v>
      </c>
      <c r="D8" s="53">
        <f t="array" ref="D8">HLOOKUP(B8,ReadingTableVOC,2,FALSE)</f>
        <v>1173</v>
      </c>
      <c r="E8" s="68">
        <f t="shared" ref="E8:E31" si="4">IF(E7="",8,E7+1)</f>
        <v>9</v>
      </c>
    </row>
    <row r="9" spans="1:5" ht="15" customHeight="1" x14ac:dyDescent="0.25">
      <c r="A9" s="37">
        <f t="shared" si="2"/>
        <v>0</v>
      </c>
      <c r="B9" s="52">
        <f t="shared" si="0"/>
        <v>43951</v>
      </c>
      <c r="C9" s="52">
        <f t="shared" si="3"/>
        <v>43951</v>
      </c>
      <c r="D9" s="53">
        <f t="array" ref="D9">HLOOKUP(B9,ReadingTableVOC,2,FALSE)</f>
        <v>1098</v>
      </c>
      <c r="E9" s="68">
        <f t="shared" si="4"/>
        <v>10</v>
      </c>
    </row>
    <row r="10" spans="1:5" ht="15" customHeight="1" x14ac:dyDescent="0.25">
      <c r="A10" s="37">
        <f t="shared" si="2"/>
        <v>0</v>
      </c>
      <c r="B10" s="52">
        <f t="shared" si="0"/>
        <v>43921</v>
      </c>
      <c r="C10" s="52">
        <f t="shared" si="3"/>
        <v>43921</v>
      </c>
      <c r="D10" s="53">
        <f t="array" ref="D10">HLOOKUP(B10,ReadingTableVOC,2,FALSE)</f>
        <v>986</v>
      </c>
      <c r="E10" s="68">
        <f t="shared" si="4"/>
        <v>11</v>
      </c>
    </row>
    <row r="11" spans="1:5" ht="15" customHeight="1" x14ac:dyDescent="0.25">
      <c r="A11" s="37">
        <f t="shared" si="2"/>
        <v>0</v>
      </c>
      <c r="B11" s="52">
        <f t="shared" si="0"/>
        <v>43889</v>
      </c>
      <c r="C11" s="52">
        <f t="shared" si="3"/>
        <v>43889</v>
      </c>
      <c r="D11" s="53">
        <f t="array" ref="D11">HLOOKUP(B11,ReadingTableVOC,2,FALSE)</f>
        <v>1212</v>
      </c>
      <c r="E11" s="68">
        <f t="shared" si="4"/>
        <v>12</v>
      </c>
    </row>
    <row r="12" spans="1:5" ht="15" customHeight="1" x14ac:dyDescent="0.25">
      <c r="A12" s="37">
        <f t="shared" si="2"/>
        <v>0</v>
      </c>
      <c r="B12" s="52">
        <f t="shared" si="0"/>
        <v>43861</v>
      </c>
      <c r="C12" s="52">
        <f t="shared" si="3"/>
        <v>43861</v>
      </c>
      <c r="D12" s="53">
        <f t="array" ref="D12">HLOOKUP(B12,ReadingTableVOC,2,FALSE)</f>
        <v>1993</v>
      </c>
      <c r="E12" s="68">
        <f t="shared" si="4"/>
        <v>13</v>
      </c>
    </row>
    <row r="13" spans="1:5" ht="15" customHeight="1" x14ac:dyDescent="0.25">
      <c r="A13" s="37">
        <f t="shared" si="2"/>
        <v>0</v>
      </c>
      <c r="B13" s="52">
        <f t="shared" si="0"/>
        <v>43830</v>
      </c>
      <c r="C13" s="52">
        <f t="shared" si="3"/>
        <v>43830</v>
      </c>
      <c r="D13" s="53">
        <f t="array" ref="D13">HLOOKUP(B13,ReadingTableVOC,2,FALSE)</f>
        <v>2323</v>
      </c>
      <c r="E13" s="68">
        <f t="shared" si="4"/>
        <v>14</v>
      </c>
    </row>
    <row r="14" spans="1:5" ht="15" customHeight="1" x14ac:dyDescent="0.25">
      <c r="A14" s="37">
        <f t="shared" si="2"/>
        <v>0</v>
      </c>
      <c r="B14" s="52">
        <f t="shared" si="0"/>
        <v>43799</v>
      </c>
      <c r="C14" s="52">
        <f t="shared" si="3"/>
        <v>43799</v>
      </c>
      <c r="D14" s="53">
        <f t="array" ref="D14">HLOOKUP(B14,ReadingTableVOC,2,FALSE)</f>
        <v>2566</v>
      </c>
      <c r="E14" s="68">
        <f t="shared" si="4"/>
        <v>15</v>
      </c>
    </row>
    <row r="15" spans="1:5" ht="15" customHeight="1" x14ac:dyDescent="0.25">
      <c r="A15" s="37">
        <f t="shared" si="2"/>
        <v>0</v>
      </c>
      <c r="B15" s="52">
        <f t="shared" si="0"/>
        <v>43769</v>
      </c>
      <c r="C15" s="52">
        <f t="shared" si="3"/>
        <v>43769</v>
      </c>
      <c r="D15" s="53">
        <f t="array" ref="D15">HLOOKUP(B15,ReadingTableVOC,2,FALSE)</f>
        <v>2577</v>
      </c>
      <c r="E15" s="68">
        <f t="shared" si="4"/>
        <v>16</v>
      </c>
    </row>
    <row r="16" spans="1:5" ht="15" customHeight="1" x14ac:dyDescent="0.25">
      <c r="A16" s="37">
        <f t="shared" si="2"/>
        <v>0</v>
      </c>
      <c r="B16" s="52">
        <f t="shared" si="0"/>
        <v>43738</v>
      </c>
      <c r="C16" s="52">
        <f t="shared" si="3"/>
        <v>43738</v>
      </c>
      <c r="D16" s="53">
        <f t="array" ref="D16">HLOOKUP(B16,ReadingTableVOC,2,FALSE)</f>
        <v>2756</v>
      </c>
      <c r="E16" s="68">
        <f t="shared" si="4"/>
        <v>17</v>
      </c>
    </row>
    <row r="17" spans="1:5" ht="15" customHeight="1" x14ac:dyDescent="0.25">
      <c r="A17" s="37">
        <f t="shared" si="2"/>
        <v>0</v>
      </c>
      <c r="B17" s="52">
        <f t="shared" si="0"/>
        <v>43708</v>
      </c>
      <c r="C17" s="52">
        <f t="shared" si="3"/>
        <v>43708</v>
      </c>
      <c r="D17" s="53">
        <f t="array" ref="D17">HLOOKUP(B17,ReadingTableVOC,2,FALSE)</f>
        <v>2677</v>
      </c>
      <c r="E17" s="68">
        <f t="shared" si="4"/>
        <v>18</v>
      </c>
    </row>
    <row r="18" spans="1:5" ht="15" customHeight="1" x14ac:dyDescent="0.25">
      <c r="A18" s="37">
        <f t="shared" si="2"/>
        <v>0</v>
      </c>
      <c r="B18" s="52">
        <f t="shared" si="0"/>
        <v>43677</v>
      </c>
      <c r="C18" s="52">
        <f t="shared" si="3"/>
        <v>43677</v>
      </c>
      <c r="D18" s="53">
        <f t="array" ref="D18">HLOOKUP(B18,ReadingTableVOC,2,FALSE)</f>
        <v>1232</v>
      </c>
      <c r="E18" s="68">
        <f t="shared" si="4"/>
        <v>19</v>
      </c>
    </row>
    <row r="19" spans="1:5" ht="15" customHeight="1" x14ac:dyDescent="0.25">
      <c r="A19" s="37">
        <f t="shared" si="2"/>
        <v>0</v>
      </c>
      <c r="B19" s="52">
        <f t="shared" si="0"/>
        <v>43646</v>
      </c>
      <c r="C19" s="52">
        <f t="shared" si="3"/>
        <v>43646</v>
      </c>
      <c r="D19" s="53">
        <f t="array" ref="D19">HLOOKUP(B19,ReadingTableVOC,2,FALSE)</f>
        <v>3221</v>
      </c>
      <c r="E19" s="68">
        <f t="shared" si="4"/>
        <v>20</v>
      </c>
    </row>
    <row r="20" spans="1:5" ht="15" customHeight="1" x14ac:dyDescent="0.25">
      <c r="A20" s="37">
        <f t="shared" si="2"/>
        <v>0</v>
      </c>
      <c r="B20" s="52">
        <f t="shared" si="0"/>
        <v>43616</v>
      </c>
      <c r="C20" s="52">
        <f t="shared" si="3"/>
        <v>43616</v>
      </c>
      <c r="D20" s="53">
        <f t="array" ref="D20">HLOOKUP(B20,ReadingTableVOC,2,FALSE)</f>
        <v>1173</v>
      </c>
      <c r="E20" s="68">
        <f t="shared" si="4"/>
        <v>21</v>
      </c>
    </row>
    <row r="21" spans="1:5" ht="15" customHeight="1" x14ac:dyDescent="0.25">
      <c r="A21" s="37">
        <f t="shared" si="2"/>
        <v>0</v>
      </c>
      <c r="B21" s="52">
        <f t="shared" si="0"/>
        <v>43585</v>
      </c>
      <c r="C21" s="52">
        <f t="shared" si="3"/>
        <v>43585</v>
      </c>
      <c r="D21" s="53">
        <f t="array" ref="D21">HLOOKUP(B21,ReadingTableVOC,2,FALSE)</f>
        <v>1098</v>
      </c>
      <c r="E21" s="68">
        <f t="shared" si="4"/>
        <v>22</v>
      </c>
    </row>
    <row r="22" spans="1:5" ht="15" customHeight="1" x14ac:dyDescent="0.25">
      <c r="A22" s="37">
        <f t="shared" si="2"/>
        <v>0</v>
      </c>
      <c r="B22" s="52">
        <f t="shared" si="0"/>
        <v>43555</v>
      </c>
      <c r="C22" s="52">
        <f t="shared" si="3"/>
        <v>43555</v>
      </c>
      <c r="D22" s="53">
        <f t="array" ref="D22">HLOOKUP(B22,ReadingTableVOC,2,FALSE)</f>
        <v>986</v>
      </c>
      <c r="E22" s="68">
        <f t="shared" si="4"/>
        <v>23</v>
      </c>
    </row>
    <row r="23" spans="1:5" ht="15" customHeight="1" x14ac:dyDescent="0.25">
      <c r="A23" s="37">
        <f t="shared" si="2"/>
        <v>0</v>
      </c>
      <c r="B23" s="52">
        <f t="shared" si="0"/>
        <v>43524</v>
      </c>
      <c r="C23" s="52">
        <f t="shared" si="3"/>
        <v>43524</v>
      </c>
      <c r="D23" s="53">
        <f t="array" ref="D23">HLOOKUP(B23,ReadingTableVOC,2,FALSE)</f>
        <v>1212</v>
      </c>
      <c r="E23" s="68">
        <f t="shared" si="4"/>
        <v>24</v>
      </c>
    </row>
    <row r="24" spans="1:5" ht="15" customHeight="1" x14ac:dyDescent="0.25">
      <c r="A24" s="37">
        <f t="shared" si="2"/>
        <v>0</v>
      </c>
      <c r="B24" s="52">
        <f t="shared" si="0"/>
        <v>43496</v>
      </c>
      <c r="C24" s="52">
        <f t="shared" si="3"/>
        <v>43496</v>
      </c>
      <c r="D24" s="53">
        <f t="array" ref="D24">HLOOKUP(B24,ReadingTableVOC,2,FALSE)</f>
        <v>1993</v>
      </c>
      <c r="E24" s="68">
        <f t="shared" si="4"/>
        <v>25</v>
      </c>
    </row>
    <row r="25" spans="1:5" ht="15" customHeight="1" x14ac:dyDescent="0.25">
      <c r="A25" s="37">
        <f t="shared" si="2"/>
        <v>0</v>
      </c>
      <c r="B25" s="52">
        <f t="shared" si="0"/>
        <v>43465</v>
      </c>
      <c r="C25" s="52">
        <f t="shared" si="3"/>
        <v>43465</v>
      </c>
      <c r="D25" s="53">
        <f t="array" ref="D25">HLOOKUP(B25,ReadingTableVOC,2,FALSE)</f>
        <v>2323</v>
      </c>
      <c r="E25" s="68">
        <f t="shared" si="4"/>
        <v>26</v>
      </c>
    </row>
    <row r="26" spans="1:5" ht="15" customHeight="1" x14ac:dyDescent="0.25">
      <c r="A26" s="37">
        <f t="shared" si="2"/>
        <v>0</v>
      </c>
      <c r="B26" s="52">
        <f t="shared" si="0"/>
        <v>43434</v>
      </c>
      <c r="C26" s="52">
        <f t="shared" si="3"/>
        <v>43434</v>
      </c>
      <c r="D26" s="53">
        <f t="array" ref="D26">HLOOKUP(B26,ReadingTableVOC,2,FALSE)</f>
        <v>2566</v>
      </c>
      <c r="E26" s="68">
        <f t="shared" si="4"/>
        <v>27</v>
      </c>
    </row>
    <row r="27" spans="1:5" ht="15" customHeight="1" x14ac:dyDescent="0.25">
      <c r="A27" s="37">
        <f t="shared" si="2"/>
        <v>0</v>
      </c>
      <c r="B27" s="52">
        <f t="shared" si="0"/>
        <v>43404</v>
      </c>
      <c r="C27" s="52">
        <f t="shared" si="3"/>
        <v>43404</v>
      </c>
      <c r="D27" s="53">
        <f t="array" ref="D27">HLOOKUP(B27,ReadingTableVOC,2,FALSE)</f>
        <v>2577</v>
      </c>
      <c r="E27" s="68">
        <f t="shared" si="4"/>
        <v>28</v>
      </c>
    </row>
    <row r="28" spans="1:5" ht="15" customHeight="1" x14ac:dyDescent="0.25">
      <c r="A28" s="37">
        <f t="shared" si="2"/>
        <v>0</v>
      </c>
      <c r="B28" s="52">
        <f t="shared" si="0"/>
        <v>43373</v>
      </c>
      <c r="C28" s="52">
        <f t="shared" si="3"/>
        <v>43373</v>
      </c>
      <c r="D28" s="53">
        <f t="array" ref="D28">HLOOKUP(B28,ReadingTableVOC,2,FALSE)</f>
        <v>2756</v>
      </c>
      <c r="E28" s="68">
        <f t="shared" si="4"/>
        <v>29</v>
      </c>
    </row>
    <row r="29" spans="1:5" ht="15" customHeight="1" x14ac:dyDescent="0.25">
      <c r="A29" s="37">
        <f t="shared" si="2"/>
        <v>0</v>
      </c>
      <c r="B29" s="52">
        <f t="shared" si="0"/>
        <v>43343</v>
      </c>
      <c r="C29" s="52">
        <f t="shared" si="3"/>
        <v>43343</v>
      </c>
      <c r="D29" s="53">
        <f t="array" ref="D29">HLOOKUP(B29,ReadingTableVOC,2,FALSE)</f>
        <v>2677</v>
      </c>
      <c r="E29" s="68">
        <f t="shared" si="4"/>
        <v>30</v>
      </c>
    </row>
    <row r="30" spans="1:5" ht="15" customHeight="1" x14ac:dyDescent="0.25">
      <c r="A30" s="37">
        <f t="shared" si="2"/>
        <v>0</v>
      </c>
      <c r="B30" s="52">
        <f t="shared" si="0"/>
        <v>43312</v>
      </c>
      <c r="C30" s="52">
        <f t="shared" si="3"/>
        <v>43312</v>
      </c>
      <c r="D30" s="53">
        <f t="array" ref="D30">HLOOKUP(B30,ReadingTableVOC,2,FALSE)</f>
        <v>1232</v>
      </c>
      <c r="E30" s="68">
        <f t="shared" si="4"/>
        <v>31</v>
      </c>
    </row>
    <row r="31" spans="1:5" ht="15" customHeight="1" x14ac:dyDescent="0.25">
      <c r="A31" s="37">
        <f t="shared" si="2"/>
        <v>0</v>
      </c>
      <c r="B31" s="52">
        <f t="shared" si="0"/>
        <v>43281</v>
      </c>
      <c r="C31" s="52">
        <f t="shared" si="3"/>
        <v>43281</v>
      </c>
      <c r="D31" s="53">
        <f t="array" ref="D31">HLOOKUP(B31,ReadingTableVOC,2,FALSE)</f>
        <v>3221</v>
      </c>
      <c r="E31" s="68">
        <f t="shared" si="4"/>
        <v>32</v>
      </c>
    </row>
    <row r="32" spans="1:5" ht="15" customHeight="1" x14ac:dyDescent="0.25">
      <c r="A32" s="4" t="s">
        <v>545</v>
      </c>
      <c r="B32" s="34"/>
      <c r="C32" s="34"/>
      <c r="D32" s="34"/>
      <c r="E32" s="1"/>
    </row>
    <row r="33" spans="1:5" ht="15" hidden="1" customHeight="1" x14ac:dyDescent="0.25">
      <c r="A33" s="4"/>
      <c r="B33" s="34"/>
      <c r="C33" s="34"/>
      <c r="D33" s="34"/>
      <c r="E33" s="1"/>
    </row>
    <row r="34" spans="1:5" ht="33.6" customHeight="1" x14ac:dyDescent="0.25">
      <c r="A34" s="4" t="s">
        <v>545</v>
      </c>
      <c r="B34" s="34"/>
      <c r="C34" s="34"/>
      <c r="D34" s="34"/>
      <c r="E34" s="1"/>
    </row>
  </sheetData>
  <sheetProtection algorithmName="SHA-512" hashValue="NCuhh6pUZ4CqXYd++yg2icAVl6AnGGtGUDJrvR99THS7Vm9U5sNo9wnyEmw+5d7/ch6H4hXmNVlTyH2VG4GKKg==" saltValue="2edP4g9PctHCEmjoJ9J8cg==" spinCount="100000" sheet="1" objects="1" scenarios="1"/>
  <mergeCells count="2">
    <mergeCell ref="B3:C3"/>
    <mergeCell ref="B2:C2"/>
  </mergeCells>
  <dataValidations count="3">
    <dataValidation allowBlank="1" showInputMessage="1" showErrorMessage="1" error="Please enter a valid date in mm/dd/yyyy format." sqref="B32:D34" xr:uid="{00000000-0002-0000-0700-000000000000}"/>
    <dataValidation type="decimal" allowBlank="1" showInputMessage="1" showErrorMessage="1" error="Please enter a valid reading." sqref="D7:D31" xr:uid="{00000000-0002-0000-0700-000001000000}">
      <formula1>0</formula1>
      <formula2>99999999</formula2>
    </dataValidation>
    <dataValidation type="date" allowBlank="1" showInputMessage="1" showErrorMessage="1" error="Please enter a valid date in mm/dd/yyyy format." sqref="B7:C31"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33</xdr:row>
                    <xdr:rowOff>28575</xdr:rowOff>
                  </from>
                  <to>
                    <xdr:col>2</xdr:col>
                    <xdr:colOff>466725</xdr:colOff>
                    <xdr:row>33</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33</xdr:row>
                    <xdr:rowOff>352425</xdr:rowOff>
                  </from>
                  <to>
                    <xdr:col>3</xdr:col>
                    <xdr:colOff>990600</xdr:colOff>
                    <xdr:row>35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F53"/>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607</v>
      </c>
    </row>
    <row r="2" spans="1:8" ht="33.75" customHeight="1" x14ac:dyDescent="0.25">
      <c r="A2" s="38" t="s">
        <v>589</v>
      </c>
      <c r="B2" s="41" t="s">
        <v>574</v>
      </c>
      <c r="C2" s="42" t="s">
        <v>680</v>
      </c>
      <c r="D2" s="43" t="s">
        <v>575</v>
      </c>
      <c r="E2" s="44" t="s">
        <v>584</v>
      </c>
      <c r="F2" s="73" t="s">
        <v>585</v>
      </c>
      <c r="G2" s="45" t="s">
        <v>588</v>
      </c>
    </row>
    <row r="3" spans="1:8" x14ac:dyDescent="0.25">
      <c r="B3" s="75" t="s">
        <v>750</v>
      </c>
      <c r="C3" s="76">
        <v>223</v>
      </c>
      <c r="D3" s="91">
        <v>44012</v>
      </c>
      <c r="E3" s="97">
        <v>0.375</v>
      </c>
      <c r="F3" s="98">
        <v>0.5</v>
      </c>
      <c r="G3" s="92">
        <v>2654</v>
      </c>
    </row>
    <row r="4" spans="1:8" x14ac:dyDescent="0.25">
      <c r="B4" s="75" t="s">
        <v>752</v>
      </c>
      <c r="C4" s="76">
        <v>224</v>
      </c>
      <c r="D4" s="91">
        <v>43982</v>
      </c>
      <c r="E4" s="97">
        <v>0.41666666666666669</v>
      </c>
      <c r="F4" s="98">
        <v>0.5</v>
      </c>
      <c r="G4" s="92">
        <v>1173</v>
      </c>
      <c r="H4" s="46"/>
    </row>
    <row r="5" spans="1:8" x14ac:dyDescent="0.25">
      <c r="B5" s="75" t="s">
        <v>753</v>
      </c>
      <c r="C5" s="76">
        <v>225</v>
      </c>
      <c r="D5" s="91">
        <v>43951</v>
      </c>
      <c r="E5" s="97">
        <v>0.45833333333333331</v>
      </c>
      <c r="F5" s="98">
        <v>0.5</v>
      </c>
      <c r="G5" s="92">
        <v>1098</v>
      </c>
      <c r="H5" s="46"/>
    </row>
    <row r="6" spans="1:8" x14ac:dyDescent="0.25">
      <c r="B6" s="75" t="s">
        <v>754</v>
      </c>
      <c r="C6" s="76">
        <v>226</v>
      </c>
      <c r="D6" s="91">
        <v>43921</v>
      </c>
      <c r="E6" s="97">
        <v>0.10416666666666667</v>
      </c>
      <c r="F6" s="98">
        <v>0.18958333333333333</v>
      </c>
      <c r="G6" s="92">
        <v>986</v>
      </c>
      <c r="H6" s="46"/>
    </row>
    <row r="7" spans="1:8" x14ac:dyDescent="0.25">
      <c r="B7" s="75" t="s">
        <v>755</v>
      </c>
      <c r="C7" s="76">
        <v>227</v>
      </c>
      <c r="D7" s="91">
        <v>43889</v>
      </c>
      <c r="E7" s="97">
        <v>0.14583333333333334</v>
      </c>
      <c r="F7" s="98">
        <v>0.3298611111111111</v>
      </c>
      <c r="G7" s="92">
        <v>1212</v>
      </c>
      <c r="H7" s="46"/>
    </row>
    <row r="8" spans="1:8" x14ac:dyDescent="0.25">
      <c r="B8" s="75" t="s">
        <v>752</v>
      </c>
      <c r="C8" s="76">
        <v>228</v>
      </c>
      <c r="D8" s="91">
        <v>43861</v>
      </c>
      <c r="E8" s="97">
        <v>8.3333333333333329E-2</v>
      </c>
      <c r="F8" s="98">
        <v>0.25</v>
      </c>
      <c r="G8" s="92">
        <v>1993</v>
      </c>
      <c r="H8" s="46"/>
    </row>
    <row r="9" spans="1:8" x14ac:dyDescent="0.25">
      <c r="B9" s="75" t="s">
        <v>753</v>
      </c>
      <c r="C9" s="76">
        <v>229</v>
      </c>
      <c r="D9" s="91">
        <v>43830</v>
      </c>
      <c r="E9" s="97">
        <v>0.125</v>
      </c>
      <c r="F9" s="98">
        <v>0.25</v>
      </c>
      <c r="G9" s="92">
        <v>2323</v>
      </c>
      <c r="H9" s="46"/>
    </row>
    <row r="10" spans="1:8" x14ac:dyDescent="0.25">
      <c r="B10" s="75" t="s">
        <v>750</v>
      </c>
      <c r="C10" s="76">
        <v>230</v>
      </c>
      <c r="D10" s="91">
        <v>43799</v>
      </c>
      <c r="E10" s="97">
        <v>0.29166666666666669</v>
      </c>
      <c r="F10" s="98">
        <v>0.5</v>
      </c>
      <c r="G10" s="92">
        <v>2566</v>
      </c>
      <c r="H10" s="46"/>
    </row>
    <row r="11" spans="1:8" x14ac:dyDescent="0.25">
      <c r="B11" s="75" t="s">
        <v>756</v>
      </c>
      <c r="C11" s="76">
        <v>231</v>
      </c>
      <c r="D11" s="91">
        <v>43769</v>
      </c>
      <c r="E11" s="97">
        <v>0.45833333333333331</v>
      </c>
      <c r="F11" s="98">
        <v>0.5</v>
      </c>
      <c r="G11" s="92">
        <v>2577</v>
      </c>
      <c r="H11" s="46"/>
    </row>
    <row r="12" spans="1:8" x14ac:dyDescent="0.25">
      <c r="B12" s="75" t="s">
        <v>757</v>
      </c>
      <c r="C12" s="76">
        <v>232</v>
      </c>
      <c r="D12" s="91">
        <v>43738</v>
      </c>
      <c r="E12" s="97">
        <v>0.10416666666666667</v>
      </c>
      <c r="F12" s="98">
        <v>0.18958333333333333</v>
      </c>
      <c r="G12" s="92">
        <v>2756</v>
      </c>
      <c r="H12" s="46"/>
    </row>
    <row r="13" spans="1:8" x14ac:dyDescent="0.25">
      <c r="B13" s="75" t="s">
        <v>758</v>
      </c>
      <c r="C13" s="76">
        <v>233</v>
      </c>
      <c r="D13" s="91">
        <v>43708</v>
      </c>
      <c r="E13" s="97">
        <v>0.14583333333333334</v>
      </c>
      <c r="F13" s="98">
        <v>0.3298611111111111</v>
      </c>
      <c r="G13" s="92">
        <v>2677</v>
      </c>
      <c r="H13" s="46"/>
    </row>
    <row r="14" spans="1:8" x14ac:dyDescent="0.25">
      <c r="B14" s="75" t="s">
        <v>759</v>
      </c>
      <c r="C14" s="76">
        <v>234</v>
      </c>
      <c r="D14" s="91">
        <v>43677</v>
      </c>
      <c r="E14" s="97">
        <v>8.3333333333333329E-2</v>
      </c>
      <c r="F14" s="98">
        <v>0.25</v>
      </c>
      <c r="G14" s="92">
        <v>1232</v>
      </c>
      <c r="H14" s="46"/>
    </row>
    <row r="15" spans="1:8" x14ac:dyDescent="0.25">
      <c r="B15" s="75" t="s">
        <v>760</v>
      </c>
      <c r="C15" s="76">
        <v>235</v>
      </c>
      <c r="D15" s="91">
        <v>43646</v>
      </c>
      <c r="E15" s="97">
        <v>0.125</v>
      </c>
      <c r="F15" s="98">
        <v>0.25</v>
      </c>
      <c r="G15" s="92">
        <v>3221</v>
      </c>
      <c r="H15" s="46"/>
    </row>
    <row r="16" spans="1:8" x14ac:dyDescent="0.25">
      <c r="B16" s="75" t="s">
        <v>750</v>
      </c>
      <c r="C16" s="76">
        <v>236</v>
      </c>
      <c r="D16" s="91">
        <v>43616</v>
      </c>
      <c r="E16" s="97">
        <v>0.375</v>
      </c>
      <c r="F16" s="98">
        <v>0.5</v>
      </c>
      <c r="G16" s="92">
        <v>1173</v>
      </c>
      <c r="H16" s="46"/>
    </row>
    <row r="17" spans="1:32" x14ac:dyDescent="0.25">
      <c r="B17" s="75" t="s">
        <v>752</v>
      </c>
      <c r="C17" s="76">
        <v>237</v>
      </c>
      <c r="D17" s="91">
        <v>43585</v>
      </c>
      <c r="E17" s="97">
        <v>0.41666666666666669</v>
      </c>
      <c r="F17" s="98">
        <v>0.5</v>
      </c>
      <c r="G17" s="92">
        <v>1098</v>
      </c>
      <c r="H17" s="46"/>
    </row>
    <row r="18" spans="1:32" x14ac:dyDescent="0.25">
      <c r="B18" s="75" t="s">
        <v>753</v>
      </c>
      <c r="C18" s="76">
        <v>238</v>
      </c>
      <c r="D18" s="91">
        <v>43555</v>
      </c>
      <c r="E18" s="97">
        <v>0.45833333333333331</v>
      </c>
      <c r="F18" s="98">
        <v>0.5</v>
      </c>
      <c r="G18" s="92">
        <v>986</v>
      </c>
      <c r="H18" s="46"/>
    </row>
    <row r="19" spans="1:32" x14ac:dyDescent="0.25">
      <c r="B19" s="75" t="s">
        <v>754</v>
      </c>
      <c r="C19" s="76">
        <v>239</v>
      </c>
      <c r="D19" s="91">
        <v>43524</v>
      </c>
      <c r="E19" s="97">
        <v>0.10416666666666667</v>
      </c>
      <c r="F19" s="98">
        <v>0.18958333333333333</v>
      </c>
      <c r="G19" s="92">
        <v>1212</v>
      </c>
      <c r="H19" s="46"/>
    </row>
    <row r="20" spans="1:32" x14ac:dyDescent="0.25">
      <c r="B20" s="75" t="s">
        <v>755</v>
      </c>
      <c r="C20" s="76">
        <v>240</v>
      </c>
      <c r="D20" s="91">
        <v>43496</v>
      </c>
      <c r="E20" s="97">
        <v>0.14583333333333334</v>
      </c>
      <c r="F20" s="98">
        <v>0.3298611111111111</v>
      </c>
      <c r="G20" s="92">
        <v>1993</v>
      </c>
      <c r="H20" s="46"/>
    </row>
    <row r="21" spans="1:32" x14ac:dyDescent="0.25">
      <c r="B21" s="75" t="s">
        <v>752</v>
      </c>
      <c r="C21" s="76">
        <v>241</v>
      </c>
      <c r="D21" s="91">
        <v>43465</v>
      </c>
      <c r="E21" s="97">
        <v>8.3333333333333329E-2</v>
      </c>
      <c r="F21" s="98">
        <v>0.25</v>
      </c>
      <c r="G21" s="92">
        <v>2323</v>
      </c>
      <c r="H21" s="46"/>
    </row>
    <row r="22" spans="1:32" x14ac:dyDescent="0.25">
      <c r="B22" s="75" t="s">
        <v>753</v>
      </c>
      <c r="C22" s="76">
        <v>242</v>
      </c>
      <c r="D22" s="91">
        <v>43434</v>
      </c>
      <c r="E22" s="97">
        <v>0.125</v>
      </c>
      <c r="F22" s="98">
        <v>0.25</v>
      </c>
      <c r="G22" s="92">
        <v>2566</v>
      </c>
      <c r="H22" s="46"/>
    </row>
    <row r="23" spans="1:32" x14ac:dyDescent="0.25">
      <c r="B23" s="75" t="s">
        <v>750</v>
      </c>
      <c r="C23" s="76">
        <v>243</v>
      </c>
      <c r="D23" s="91">
        <v>43404</v>
      </c>
      <c r="E23" s="97">
        <v>0.29166666666666669</v>
      </c>
      <c r="F23" s="98">
        <v>0.5</v>
      </c>
      <c r="G23" s="92">
        <v>2577</v>
      </c>
      <c r="H23" s="46"/>
    </row>
    <row r="24" spans="1:32" x14ac:dyDescent="0.25">
      <c r="B24" s="75" t="s">
        <v>756</v>
      </c>
      <c r="C24" s="76">
        <v>244</v>
      </c>
      <c r="D24" s="91">
        <v>43373</v>
      </c>
      <c r="E24" s="97">
        <v>0.45833333333333331</v>
      </c>
      <c r="F24" s="98">
        <v>0.5</v>
      </c>
      <c r="G24" s="92">
        <v>2756</v>
      </c>
      <c r="H24" s="46"/>
    </row>
    <row r="25" spans="1:32" x14ac:dyDescent="0.25">
      <c r="B25" s="75" t="s">
        <v>757</v>
      </c>
      <c r="C25" s="76">
        <v>245</v>
      </c>
      <c r="D25" s="91">
        <v>43343</v>
      </c>
      <c r="E25" s="97">
        <v>0.10416666666666667</v>
      </c>
      <c r="F25" s="98">
        <v>0.18958333333333333</v>
      </c>
      <c r="G25" s="92">
        <v>2677</v>
      </c>
      <c r="H25" s="46"/>
    </row>
    <row r="26" spans="1:32" x14ac:dyDescent="0.25">
      <c r="B26" s="75" t="s">
        <v>758</v>
      </c>
      <c r="C26" s="76">
        <v>246</v>
      </c>
      <c r="D26" s="91">
        <v>43312</v>
      </c>
      <c r="E26" s="97">
        <v>0.14583333333333334</v>
      </c>
      <c r="F26" s="98">
        <v>0.3298611111111111</v>
      </c>
      <c r="G26" s="92">
        <v>1232</v>
      </c>
      <c r="H26" s="46"/>
    </row>
    <row r="27" spans="1:32" x14ac:dyDescent="0.25">
      <c r="B27" s="75" t="s">
        <v>755</v>
      </c>
      <c r="C27" s="76">
        <v>247</v>
      </c>
      <c r="D27" s="91">
        <v>43281</v>
      </c>
      <c r="E27" s="97">
        <v>8.3333333333333329E-2</v>
      </c>
      <c r="F27" s="98">
        <v>0.25</v>
      </c>
      <c r="G27" s="92">
        <v>3221</v>
      </c>
      <c r="H27" s="46"/>
    </row>
    <row r="28" spans="1:32" ht="39" customHeight="1" x14ac:dyDescent="0.25"/>
    <row r="29" spans="1:32" s="59" customFormat="1" ht="51" customHeight="1" x14ac:dyDescent="0.2">
      <c r="A29" s="38" t="s">
        <v>580</v>
      </c>
      <c r="B29" s="40"/>
      <c r="G29" s="60"/>
      <c r="H29" s="69">
        <f t="shared" ref="H29:AF29" si="0">IF(H31="",1,0)</f>
        <v>0</v>
      </c>
      <c r="I29" s="69">
        <f t="shared" si="0"/>
        <v>0</v>
      </c>
      <c r="J29" s="69">
        <f t="shared" si="0"/>
        <v>0</v>
      </c>
      <c r="K29" s="69">
        <f t="shared" si="0"/>
        <v>0</v>
      </c>
      <c r="L29" s="69">
        <f t="shared" si="0"/>
        <v>0</v>
      </c>
      <c r="M29" s="69">
        <f t="shared" si="0"/>
        <v>0</v>
      </c>
      <c r="N29" s="69">
        <f t="shared" si="0"/>
        <v>0</v>
      </c>
      <c r="O29" s="69">
        <f t="shared" si="0"/>
        <v>0</v>
      </c>
      <c r="P29" s="69">
        <f t="shared" si="0"/>
        <v>0</v>
      </c>
      <c r="Q29" s="69">
        <f t="shared" si="0"/>
        <v>0</v>
      </c>
      <c r="R29" s="69">
        <f t="shared" si="0"/>
        <v>0</v>
      </c>
      <c r="S29" s="69">
        <f t="shared" si="0"/>
        <v>0</v>
      </c>
      <c r="T29" s="69">
        <f t="shared" si="0"/>
        <v>0</v>
      </c>
      <c r="U29" s="69">
        <f t="shared" si="0"/>
        <v>0</v>
      </c>
      <c r="V29" s="69">
        <f t="shared" si="0"/>
        <v>0</v>
      </c>
      <c r="W29" s="69">
        <f t="shared" si="0"/>
        <v>0</v>
      </c>
      <c r="X29" s="69">
        <f t="shared" si="0"/>
        <v>0</v>
      </c>
      <c r="Y29" s="69">
        <f t="shared" si="0"/>
        <v>0</v>
      </c>
      <c r="Z29" s="69">
        <f t="shared" si="0"/>
        <v>0</v>
      </c>
      <c r="AA29" s="69">
        <f t="shared" si="0"/>
        <v>0</v>
      </c>
      <c r="AB29" s="69">
        <f t="shared" si="0"/>
        <v>0</v>
      </c>
      <c r="AC29" s="69">
        <f t="shared" si="0"/>
        <v>0</v>
      </c>
      <c r="AD29" s="69">
        <f t="shared" si="0"/>
        <v>0</v>
      </c>
      <c r="AE29" s="69">
        <f t="shared" si="0"/>
        <v>0</v>
      </c>
      <c r="AF29" s="69">
        <f t="shared" si="0"/>
        <v>0</v>
      </c>
    </row>
    <row r="30" spans="1:32" ht="21" customHeight="1" x14ac:dyDescent="0.25">
      <c r="A30" s="38" t="s">
        <v>589</v>
      </c>
      <c r="B30" s="243"/>
      <c r="C30" s="61"/>
      <c r="D30" s="61"/>
      <c r="E30" s="61"/>
      <c r="F30" s="61"/>
      <c r="G30" s="62"/>
      <c r="H30" s="47" t="s">
        <v>575</v>
      </c>
      <c r="I30" s="47" t="s">
        <v>575</v>
      </c>
      <c r="J30" s="47" t="s">
        <v>575</v>
      </c>
      <c r="K30" s="47" t="s">
        <v>575</v>
      </c>
      <c r="L30" s="47" t="s">
        <v>575</v>
      </c>
      <c r="M30" s="47" t="s">
        <v>575</v>
      </c>
      <c r="N30" s="47" t="s">
        <v>575</v>
      </c>
      <c r="O30" s="47" t="s">
        <v>575</v>
      </c>
      <c r="P30" s="47" t="s">
        <v>575</v>
      </c>
      <c r="Q30" s="47" t="s">
        <v>575</v>
      </c>
      <c r="R30" s="47" t="s">
        <v>575</v>
      </c>
      <c r="S30" s="47" t="s">
        <v>575</v>
      </c>
      <c r="T30" s="47" t="s">
        <v>575</v>
      </c>
      <c r="U30" s="47" t="s">
        <v>575</v>
      </c>
      <c r="V30" s="47" t="s">
        <v>575</v>
      </c>
      <c r="W30" s="47" t="s">
        <v>575</v>
      </c>
      <c r="X30" s="47" t="s">
        <v>575</v>
      </c>
      <c r="Y30" s="47" t="s">
        <v>575</v>
      </c>
      <c r="Z30" s="47" t="s">
        <v>575</v>
      </c>
      <c r="AA30" s="47" t="s">
        <v>575</v>
      </c>
      <c r="AB30" s="47" t="s">
        <v>575</v>
      </c>
      <c r="AC30" s="47" t="s">
        <v>575</v>
      </c>
      <c r="AD30" s="47" t="s">
        <v>575</v>
      </c>
      <c r="AE30" s="47" t="s">
        <v>575</v>
      </c>
      <c r="AF30" s="47" t="s">
        <v>575</v>
      </c>
    </row>
    <row r="31" spans="1:32" ht="15" customHeight="1" x14ac:dyDescent="0.25">
      <c r="A31" s="38" t="s">
        <v>589</v>
      </c>
      <c r="B31" s="244"/>
      <c r="C31" s="63"/>
      <c r="D31" s="63"/>
      <c r="E31" s="63"/>
      <c r="F31" s="63"/>
      <c r="G31" s="64"/>
      <c r="H31" s="145">
        <f t="array" ref="H31">IFERROR(INDEX($D$3:$D$28, MATCH(0,IF(ISBLANK($D$3:$D$28),1,COUNTIF($G$31:G31, $D$3:$D$28)), 0)),"")</f>
        <v>44012</v>
      </c>
      <c r="I31" s="145">
        <f t="array" ref="I31">IFERROR(INDEX($D$3:$D$28, MATCH(0,IF(ISBLANK($D$3:$D$28),1,COUNTIF($G$31:H31, $D$3:$D$28)), 0)),"")</f>
        <v>43982</v>
      </c>
      <c r="J31" s="145">
        <f t="array" ref="J31">IFERROR(INDEX($D$3:$D$28, MATCH(0,IF(ISBLANK($D$3:$D$28),1,COUNTIF($G$31:I31, $D$3:$D$28)), 0)),"")</f>
        <v>43951</v>
      </c>
      <c r="K31" s="145">
        <f t="array" ref="K31">IFERROR(INDEX($D$3:$D$28, MATCH(0,IF(ISBLANK($D$3:$D$28),1,COUNTIF($G$31:J31, $D$3:$D$28)), 0)),"")</f>
        <v>43921</v>
      </c>
      <c r="L31" s="145">
        <f t="array" ref="L31">IFERROR(INDEX($D$3:$D$28, MATCH(0,IF(ISBLANK($D$3:$D$28),1,COUNTIF($G$31:K31, $D$3:$D$28)), 0)),"")</f>
        <v>43889</v>
      </c>
      <c r="M31" s="145">
        <f t="array" ref="M31">IFERROR(INDEX($D$3:$D$28, MATCH(0,IF(ISBLANK($D$3:$D$28),1,COUNTIF($G$31:L31, $D$3:$D$28)), 0)),"")</f>
        <v>43861</v>
      </c>
      <c r="N31" s="145">
        <f t="array" ref="N31">IFERROR(INDEX($D$3:$D$28, MATCH(0,IF(ISBLANK($D$3:$D$28),1,COUNTIF($G$31:M31, $D$3:$D$28)), 0)),"")</f>
        <v>43830</v>
      </c>
      <c r="O31" s="145">
        <f t="array" ref="O31">IFERROR(INDEX($D$3:$D$28, MATCH(0,IF(ISBLANK($D$3:$D$28),1,COUNTIF($G$31:N31, $D$3:$D$28)), 0)),"")</f>
        <v>43799</v>
      </c>
      <c r="P31" s="145">
        <f t="array" ref="P31">IFERROR(INDEX($D$3:$D$28, MATCH(0,IF(ISBLANK($D$3:$D$28),1,COUNTIF($G$31:O31, $D$3:$D$28)), 0)),"")</f>
        <v>43769</v>
      </c>
      <c r="Q31" s="145">
        <f t="array" ref="Q31">IFERROR(INDEX($D$3:$D$28, MATCH(0,IF(ISBLANK($D$3:$D$28),1,COUNTIF($G$31:P31, $D$3:$D$28)), 0)),"")</f>
        <v>43738</v>
      </c>
      <c r="R31" s="145">
        <f t="array" ref="R31">IFERROR(INDEX($D$3:$D$28, MATCH(0,IF(ISBLANK($D$3:$D$28),1,COUNTIF($G$31:Q31, $D$3:$D$28)), 0)),"")</f>
        <v>43708</v>
      </c>
      <c r="S31" s="145">
        <f t="array" ref="S31">IFERROR(INDEX($D$3:$D$28, MATCH(0,IF(ISBLANK($D$3:$D$28),1,COUNTIF($G$31:R31, $D$3:$D$28)), 0)),"")</f>
        <v>43677</v>
      </c>
      <c r="T31" s="145">
        <f t="array" ref="T31">IFERROR(INDEX($D$3:$D$28, MATCH(0,IF(ISBLANK($D$3:$D$28),1,COUNTIF($G$31:S31, $D$3:$D$28)), 0)),"")</f>
        <v>43646</v>
      </c>
      <c r="U31" s="145">
        <f t="array" ref="U31">IFERROR(INDEX($D$3:$D$28, MATCH(0,IF(ISBLANK($D$3:$D$28),1,COUNTIF($G$31:T31, $D$3:$D$28)), 0)),"")</f>
        <v>43616</v>
      </c>
      <c r="V31" s="145">
        <f t="array" ref="V31">IFERROR(INDEX($D$3:$D$28, MATCH(0,IF(ISBLANK($D$3:$D$28),1,COUNTIF($G$31:U31, $D$3:$D$28)), 0)),"")</f>
        <v>43585</v>
      </c>
      <c r="W31" s="145">
        <f t="array" ref="W31">IFERROR(INDEX($D$3:$D$28, MATCH(0,IF(ISBLANK($D$3:$D$28),1,COUNTIF($G$31:V31, $D$3:$D$28)), 0)),"")</f>
        <v>43555</v>
      </c>
      <c r="X31" s="145">
        <f t="array" ref="X31">IFERROR(INDEX($D$3:$D$28, MATCH(0,IF(ISBLANK($D$3:$D$28),1,COUNTIF($G$31:W31, $D$3:$D$28)), 0)),"")</f>
        <v>43524</v>
      </c>
      <c r="Y31" s="145">
        <f t="array" ref="Y31">IFERROR(INDEX($D$3:$D$28, MATCH(0,IF(ISBLANK($D$3:$D$28),1,COUNTIF($G$31:X31, $D$3:$D$28)), 0)),"")</f>
        <v>43496</v>
      </c>
      <c r="Z31" s="145">
        <f t="array" ref="Z31">IFERROR(INDEX($D$3:$D$28, MATCH(0,IF(ISBLANK($D$3:$D$28),1,COUNTIF($G$31:Y31, $D$3:$D$28)), 0)),"")</f>
        <v>43465</v>
      </c>
      <c r="AA31" s="145">
        <f t="array" ref="AA31">IFERROR(INDEX($D$3:$D$28, MATCH(0,IF(ISBLANK($D$3:$D$28),1,COUNTIF($G$31:Z31, $D$3:$D$28)), 0)),"")</f>
        <v>43434</v>
      </c>
      <c r="AB31" s="145">
        <f t="array" ref="AB31">IFERROR(INDEX($D$3:$D$28, MATCH(0,IF(ISBLANK($D$3:$D$28),1,COUNTIF($G$31:AA31, $D$3:$D$28)), 0)),"")</f>
        <v>43404</v>
      </c>
      <c r="AC31" s="145">
        <f t="array" ref="AC31">IFERROR(INDEX($D$3:$D$28, MATCH(0,IF(ISBLANK($D$3:$D$28),1,COUNTIF($G$31:AB31, $D$3:$D$28)), 0)),"")</f>
        <v>43373</v>
      </c>
      <c r="AD31" s="145">
        <f t="array" ref="AD31">IFERROR(INDEX($D$3:$D$28, MATCH(0,IF(ISBLANK($D$3:$D$28),1,COUNTIF($G$31:AC31, $D$3:$D$28)), 0)),"")</f>
        <v>43343</v>
      </c>
      <c r="AE31" s="145">
        <f t="array" ref="AE31">IFERROR(INDEX($D$3:$D$28, MATCH(0,IF(ISBLANK($D$3:$D$28),1,COUNTIF($G$31:AD31, $D$3:$D$28)), 0)),"")</f>
        <v>43312</v>
      </c>
      <c r="AF31" s="145">
        <f t="array" ref="AF31">IFERROR(INDEX($D$3:$D$28, MATCH(0,IF(ISBLANK($D$3:$D$28),1,COUNTIF($G$31:AE31, $D$3:$D$28)), 0)),"")</f>
        <v>43281</v>
      </c>
    </row>
    <row r="32" spans="1:32" ht="27.75" customHeight="1" x14ac:dyDescent="0.25">
      <c r="A32" s="38" t="s">
        <v>589</v>
      </c>
      <c r="B32" s="245"/>
      <c r="C32" s="65"/>
      <c r="D32" s="65"/>
      <c r="E32" s="65"/>
      <c r="F32" s="65"/>
      <c r="G32" s="66"/>
      <c r="H32" s="74" t="s">
        <v>586</v>
      </c>
      <c r="I32" s="74" t="s">
        <v>586</v>
      </c>
      <c r="J32" s="74" t="s">
        <v>586</v>
      </c>
      <c r="K32" s="74" t="s">
        <v>586</v>
      </c>
      <c r="L32" s="74" t="s">
        <v>586</v>
      </c>
      <c r="M32" s="74" t="s">
        <v>586</v>
      </c>
      <c r="N32" s="74" t="s">
        <v>586</v>
      </c>
      <c r="O32" s="74" t="s">
        <v>586</v>
      </c>
      <c r="P32" s="74" t="s">
        <v>586</v>
      </c>
      <c r="Q32" s="74" t="s">
        <v>586</v>
      </c>
      <c r="R32" s="74" t="s">
        <v>586</v>
      </c>
      <c r="S32" s="74" t="s">
        <v>586</v>
      </c>
      <c r="T32" s="74" t="s">
        <v>586</v>
      </c>
      <c r="U32" s="74" t="s">
        <v>586</v>
      </c>
      <c r="V32" s="74" t="s">
        <v>586</v>
      </c>
      <c r="W32" s="74" t="s">
        <v>586</v>
      </c>
      <c r="X32" s="74" t="s">
        <v>586</v>
      </c>
      <c r="Y32" s="74" t="s">
        <v>586</v>
      </c>
      <c r="Z32" s="74" t="s">
        <v>586</v>
      </c>
      <c r="AA32" s="74" t="s">
        <v>586</v>
      </c>
      <c r="AB32" s="74" t="s">
        <v>586</v>
      </c>
      <c r="AC32" s="74" t="s">
        <v>586</v>
      </c>
      <c r="AD32" s="74" t="s">
        <v>586</v>
      </c>
      <c r="AE32" s="74" t="s">
        <v>586</v>
      </c>
      <c r="AF32" s="74" t="s">
        <v>586</v>
      </c>
    </row>
    <row r="33" spans="1:32" ht="15" customHeight="1" x14ac:dyDescent="0.25">
      <c r="A33" s="38">
        <f>IF(B33="",1,0)</f>
        <v>0</v>
      </c>
      <c r="B33" s="48" t="str">
        <f t="array" ref="B33">IFERROR(INDEX($B$3:$B$28, MATCH(0,IF(ISBLANK($B$3:$B$28),1,COUNTIF($B$32:B32, $B$3:$B$28)), 0)),"")</f>
        <v>Goa</v>
      </c>
      <c r="C33" s="49"/>
      <c r="D33" s="49"/>
      <c r="E33" s="49"/>
      <c r="F33" s="49"/>
      <c r="G33" s="58"/>
      <c r="H33" s="93">
        <f t="array" ref="H33">IFERROR(AVERAGE(IF($B$3:$B$28=$B33,IF($D$3:$D$28=H$31,IF($G$3:$G$28&lt;&gt;"",$G$3:$G$28)))),"")</f>
        <v>2654</v>
      </c>
      <c r="I33" s="93" t="str">
        <f t="array" ref="I33">IFERROR(AVERAGE(IF($B$3:$B$28=$B33,IF($D$3:$D$28=I$31,IF($G$3:$G$28&lt;&gt;"",$G$3:$G$28)))),"")</f>
        <v/>
      </c>
      <c r="J33" s="93" t="str">
        <f t="array" ref="J33">IFERROR(AVERAGE(IF($B$3:$B$28=$B33,IF($D$3:$D$28=J$31,IF($G$3:$G$28&lt;&gt;"",$G$3:$G$28)))),"")</f>
        <v/>
      </c>
      <c r="K33" s="93" t="str">
        <f t="array" ref="K33">IFERROR(AVERAGE(IF($B$3:$B$28=$B33,IF($D$3:$D$28=K$31,IF($G$3:$G$28&lt;&gt;"",$G$3:$G$28)))),"")</f>
        <v/>
      </c>
      <c r="L33" s="93" t="str">
        <f t="array" ref="L33">IFERROR(AVERAGE(IF($B$3:$B$28=$B33,IF($D$3:$D$28=L$31,IF($G$3:$G$28&lt;&gt;"",$G$3:$G$28)))),"")</f>
        <v/>
      </c>
      <c r="M33" s="93" t="str">
        <f t="array" ref="M33">IFERROR(AVERAGE(IF($B$3:$B$28=$B33,IF($D$3:$D$28=M$31,IF($G$3:$G$28&lt;&gt;"",$G$3:$G$28)))),"")</f>
        <v/>
      </c>
      <c r="N33" s="93" t="str">
        <f t="array" ref="N33">IFERROR(AVERAGE(IF($B$3:$B$28=$B33,IF($D$3:$D$28=N$31,IF($G$3:$G$28&lt;&gt;"",$G$3:$G$28)))),"")</f>
        <v/>
      </c>
      <c r="O33" s="93">
        <f t="array" ref="O33">IFERROR(AVERAGE(IF($B$3:$B$28=$B33,IF($D$3:$D$28=O$31,IF($G$3:$G$28&lt;&gt;"",$G$3:$G$28)))),"")</f>
        <v>2566</v>
      </c>
      <c r="P33" s="93" t="str">
        <f t="array" ref="P33">IFERROR(AVERAGE(IF($B$3:$B$28=$B33,IF($D$3:$D$28=P$31,IF($G$3:$G$28&lt;&gt;"",$G$3:$G$28)))),"")</f>
        <v/>
      </c>
      <c r="Q33" s="93" t="str">
        <f t="array" ref="Q33">IFERROR(AVERAGE(IF($B$3:$B$28=$B33,IF($D$3:$D$28=Q$31,IF($G$3:$G$28&lt;&gt;"",$G$3:$G$28)))),"")</f>
        <v/>
      </c>
      <c r="R33" s="93" t="str">
        <f t="array" ref="R33">IFERROR(AVERAGE(IF($B$3:$B$28=$B33,IF($D$3:$D$28=R$31,IF($G$3:$G$28&lt;&gt;"",$G$3:$G$28)))),"")</f>
        <v/>
      </c>
      <c r="S33" s="93" t="str">
        <f t="array" ref="S33">IFERROR(AVERAGE(IF($B$3:$B$28=$B33,IF($D$3:$D$28=S$31,IF($G$3:$G$28&lt;&gt;"",$G$3:$G$28)))),"")</f>
        <v/>
      </c>
      <c r="T33" s="93" t="str">
        <f t="array" ref="T33">IFERROR(AVERAGE(IF($B$3:$B$28=$B33,IF($D$3:$D$28=T$31,IF($G$3:$G$28&lt;&gt;"",$G$3:$G$28)))),"")</f>
        <v/>
      </c>
      <c r="U33" s="93">
        <f t="array" ref="U33">IFERROR(AVERAGE(IF($B$3:$B$28=$B33,IF($D$3:$D$28=U$31,IF($G$3:$G$28&lt;&gt;"",$G$3:$G$28)))),"")</f>
        <v>1173</v>
      </c>
      <c r="V33" s="93" t="str">
        <f t="array" ref="V33">IFERROR(AVERAGE(IF($B$3:$B$28=$B33,IF($D$3:$D$28=V$31,IF($G$3:$G$28&lt;&gt;"",$G$3:$G$28)))),"")</f>
        <v/>
      </c>
      <c r="W33" s="93" t="str">
        <f t="array" ref="W33">IFERROR(AVERAGE(IF($B$3:$B$28=$B33,IF($D$3:$D$28=W$31,IF($G$3:$G$28&lt;&gt;"",$G$3:$G$28)))),"")</f>
        <v/>
      </c>
      <c r="X33" s="93" t="str">
        <f t="array" ref="X33">IFERROR(AVERAGE(IF($B$3:$B$28=$B33,IF($D$3:$D$28=X$31,IF($G$3:$G$28&lt;&gt;"",$G$3:$G$28)))),"")</f>
        <v/>
      </c>
      <c r="Y33" s="93" t="str">
        <f t="array" ref="Y33">IFERROR(AVERAGE(IF($B$3:$B$28=$B33,IF($D$3:$D$28=Y$31,IF($G$3:$G$28&lt;&gt;"",$G$3:$G$28)))),"")</f>
        <v/>
      </c>
      <c r="Z33" s="93" t="str">
        <f t="array" ref="Z33">IFERROR(AVERAGE(IF($B$3:$B$28=$B33,IF($D$3:$D$28=Z$31,IF($G$3:$G$28&lt;&gt;"",$G$3:$G$28)))),"")</f>
        <v/>
      </c>
      <c r="AA33" s="93" t="str">
        <f t="array" ref="AA33">IFERROR(AVERAGE(IF($B$3:$B$28=$B33,IF($D$3:$D$28=AA$31,IF($G$3:$G$28&lt;&gt;"",$G$3:$G$28)))),"")</f>
        <v/>
      </c>
      <c r="AB33" s="93">
        <f t="array" ref="AB33">IFERROR(AVERAGE(IF($B$3:$B$28=$B33,IF($D$3:$D$28=AB$31,IF($G$3:$G$28&lt;&gt;"",$G$3:$G$28)))),"")</f>
        <v>2577</v>
      </c>
      <c r="AC33" s="93" t="str">
        <f t="array" ref="AC33">IFERROR(AVERAGE(IF($B$3:$B$28=$B33,IF($D$3:$D$28=AC$31,IF($G$3:$G$28&lt;&gt;"",$G$3:$G$28)))),"")</f>
        <v/>
      </c>
      <c r="AD33" s="93" t="str">
        <f t="array" ref="AD33">IFERROR(AVERAGE(IF($B$3:$B$28=$B33,IF($D$3:$D$28=AD$31,IF($G$3:$G$28&lt;&gt;"",$G$3:$G$28)))),"")</f>
        <v/>
      </c>
      <c r="AE33" s="93" t="str">
        <f t="array" ref="AE33">IFERROR(AVERAGE(IF($B$3:$B$28=$B33,IF($D$3:$D$28=AE$31,IF($G$3:$G$28&lt;&gt;"",$G$3:$G$28)))),"")</f>
        <v/>
      </c>
      <c r="AF33" s="93" t="str">
        <f t="array" ref="AF33">IFERROR(AVERAGE(IF($B$3:$B$28=$B33,IF($D$3:$D$28=AF$31,IF($G$3:$G$28&lt;&gt;"",$G$3:$G$28)))),"")</f>
        <v/>
      </c>
    </row>
    <row r="34" spans="1:32" ht="15" customHeight="1" x14ac:dyDescent="0.25">
      <c r="A34" s="38">
        <f t="shared" ref="A34:A42" si="1">IF(B34="",1,0)</f>
        <v>0</v>
      </c>
      <c r="B34" s="48" t="str">
        <f t="array" ref="B34">IFERROR(INDEX($B$3:$B$28, MATCH(0,IF(ISBLANK($B$3:$B$28),1,COUNTIF($B$32:B33, $B$3:$B$28)), 0)),"")</f>
        <v>Hyd</v>
      </c>
      <c r="C34" s="49"/>
      <c r="D34" s="49"/>
      <c r="E34" s="49"/>
      <c r="F34" s="49"/>
      <c r="G34" s="58"/>
      <c r="H34" s="93" t="str">
        <f t="array" ref="H34">IFERROR(AVERAGE(IF($B$3:$B$28=$B34,IF($D$3:$D$28=H$31,IF($G$3:$G$28&lt;&gt;"",$G$3:$G$28)))),"")</f>
        <v/>
      </c>
      <c r="I34" s="93">
        <f t="array" ref="I34">IFERROR(AVERAGE(IF($B$3:$B$28=$B34,IF($D$3:$D$28=I$31,IF($G$3:$G$28&lt;&gt;"",$G$3:$G$28)))),"")</f>
        <v>1173</v>
      </c>
      <c r="J34" s="93" t="str">
        <f t="array" ref="J34">IFERROR(AVERAGE(IF($B$3:$B$28=$B34,IF($D$3:$D$28=J$31,IF($G$3:$G$28&lt;&gt;"",$G$3:$G$28)))),"")</f>
        <v/>
      </c>
      <c r="K34" s="93" t="str">
        <f t="array" ref="K34">IFERROR(AVERAGE(IF($B$3:$B$28=$B34,IF($D$3:$D$28=K$31,IF($G$3:$G$28&lt;&gt;"",$G$3:$G$28)))),"")</f>
        <v/>
      </c>
      <c r="L34" s="93" t="str">
        <f t="array" ref="L34">IFERROR(AVERAGE(IF($B$3:$B$28=$B34,IF($D$3:$D$28=L$31,IF($G$3:$G$28&lt;&gt;"",$G$3:$G$28)))),"")</f>
        <v/>
      </c>
      <c r="M34" s="93">
        <f t="array" ref="M34">IFERROR(AVERAGE(IF($B$3:$B$28=$B34,IF($D$3:$D$28=M$31,IF($G$3:$G$28&lt;&gt;"",$G$3:$G$28)))),"")</f>
        <v>1993</v>
      </c>
      <c r="N34" s="93" t="str">
        <f t="array" ref="N34">IFERROR(AVERAGE(IF($B$3:$B$28=$B34,IF($D$3:$D$28=N$31,IF($G$3:$G$28&lt;&gt;"",$G$3:$G$28)))),"")</f>
        <v/>
      </c>
      <c r="O34" s="93" t="str">
        <f t="array" ref="O34">IFERROR(AVERAGE(IF($B$3:$B$28=$B34,IF($D$3:$D$28=O$31,IF($G$3:$G$28&lt;&gt;"",$G$3:$G$28)))),"")</f>
        <v/>
      </c>
      <c r="P34" s="93" t="str">
        <f t="array" ref="P34">IFERROR(AVERAGE(IF($B$3:$B$28=$B34,IF($D$3:$D$28=P$31,IF($G$3:$G$28&lt;&gt;"",$G$3:$G$28)))),"")</f>
        <v/>
      </c>
      <c r="Q34" s="93" t="str">
        <f t="array" ref="Q34">IFERROR(AVERAGE(IF($B$3:$B$28=$B34,IF($D$3:$D$28=Q$31,IF($G$3:$G$28&lt;&gt;"",$G$3:$G$28)))),"")</f>
        <v/>
      </c>
      <c r="R34" s="93" t="str">
        <f t="array" ref="R34">IFERROR(AVERAGE(IF($B$3:$B$28=$B34,IF($D$3:$D$28=R$31,IF($G$3:$G$28&lt;&gt;"",$G$3:$G$28)))),"")</f>
        <v/>
      </c>
      <c r="S34" s="93" t="str">
        <f t="array" ref="S34">IFERROR(AVERAGE(IF($B$3:$B$28=$B34,IF($D$3:$D$28=S$31,IF($G$3:$G$28&lt;&gt;"",$G$3:$G$28)))),"")</f>
        <v/>
      </c>
      <c r="T34" s="93" t="str">
        <f t="array" ref="T34">IFERROR(AVERAGE(IF($B$3:$B$28=$B34,IF($D$3:$D$28=T$31,IF($G$3:$G$28&lt;&gt;"",$G$3:$G$28)))),"")</f>
        <v/>
      </c>
      <c r="U34" s="93" t="str">
        <f t="array" ref="U34">IFERROR(AVERAGE(IF($B$3:$B$28=$B34,IF($D$3:$D$28=U$31,IF($G$3:$G$28&lt;&gt;"",$G$3:$G$28)))),"")</f>
        <v/>
      </c>
      <c r="V34" s="93">
        <f t="array" ref="V34">IFERROR(AVERAGE(IF($B$3:$B$28=$B34,IF($D$3:$D$28=V$31,IF($G$3:$G$28&lt;&gt;"",$G$3:$G$28)))),"")</f>
        <v>1098</v>
      </c>
      <c r="W34" s="93" t="str">
        <f t="array" ref="W34">IFERROR(AVERAGE(IF($B$3:$B$28=$B34,IF($D$3:$D$28=W$31,IF($G$3:$G$28&lt;&gt;"",$G$3:$G$28)))),"")</f>
        <v/>
      </c>
      <c r="X34" s="93" t="str">
        <f t="array" ref="X34">IFERROR(AVERAGE(IF($B$3:$B$28=$B34,IF($D$3:$D$28=X$31,IF($G$3:$G$28&lt;&gt;"",$G$3:$G$28)))),"")</f>
        <v/>
      </c>
      <c r="Y34" s="93" t="str">
        <f t="array" ref="Y34">IFERROR(AVERAGE(IF($B$3:$B$28=$B34,IF($D$3:$D$28=Y$31,IF($G$3:$G$28&lt;&gt;"",$G$3:$G$28)))),"")</f>
        <v/>
      </c>
      <c r="Z34" s="93">
        <f t="array" ref="Z34">IFERROR(AVERAGE(IF($B$3:$B$28=$B34,IF($D$3:$D$28=Z$31,IF($G$3:$G$28&lt;&gt;"",$G$3:$G$28)))),"")</f>
        <v>2323</v>
      </c>
      <c r="AA34" s="93" t="str">
        <f t="array" ref="AA34">IFERROR(AVERAGE(IF($B$3:$B$28=$B34,IF($D$3:$D$28=AA$31,IF($G$3:$G$28&lt;&gt;"",$G$3:$G$28)))),"")</f>
        <v/>
      </c>
      <c r="AB34" s="93" t="str">
        <f t="array" ref="AB34">IFERROR(AVERAGE(IF($B$3:$B$28=$B34,IF($D$3:$D$28=AB$31,IF($G$3:$G$28&lt;&gt;"",$G$3:$G$28)))),"")</f>
        <v/>
      </c>
      <c r="AC34" s="93" t="str">
        <f t="array" ref="AC34">IFERROR(AVERAGE(IF($B$3:$B$28=$B34,IF($D$3:$D$28=AC$31,IF($G$3:$G$28&lt;&gt;"",$G$3:$G$28)))),"")</f>
        <v/>
      </c>
      <c r="AD34" s="93" t="str">
        <f t="array" ref="AD34">IFERROR(AVERAGE(IF($B$3:$B$28=$B34,IF($D$3:$D$28=AD$31,IF($G$3:$G$28&lt;&gt;"",$G$3:$G$28)))),"")</f>
        <v/>
      </c>
      <c r="AE34" s="93" t="str">
        <f t="array" ref="AE34">IFERROR(AVERAGE(IF($B$3:$B$28=$B34,IF($D$3:$D$28=AE$31,IF($G$3:$G$28&lt;&gt;"",$G$3:$G$28)))),"")</f>
        <v/>
      </c>
      <c r="AF34" s="93" t="str">
        <f t="array" ref="AF34">IFERROR(AVERAGE(IF($B$3:$B$28=$B34,IF($D$3:$D$28=AF$31,IF($G$3:$G$28&lt;&gt;"",$G$3:$G$28)))),"")</f>
        <v/>
      </c>
    </row>
    <row r="35" spans="1:32" ht="15" customHeight="1" x14ac:dyDescent="0.25">
      <c r="A35" s="38">
        <f t="shared" si="1"/>
        <v>0</v>
      </c>
      <c r="B35" s="48" t="str">
        <f t="array" ref="B35">IFERROR(INDEX($B$3:$B$28, MATCH(0,IF(ISBLANK($B$3:$B$28),1,COUNTIF($B$32:B34, $B$3:$B$28)), 0)),"")</f>
        <v>Delhi</v>
      </c>
      <c r="C35" s="49"/>
      <c r="D35" s="49"/>
      <c r="E35" s="49"/>
      <c r="F35" s="49"/>
      <c r="G35" s="58"/>
      <c r="H35" s="93" t="str">
        <f t="array" ref="H35">IFERROR(AVERAGE(IF($B$3:$B$28=$B35,IF($D$3:$D$28=H$31,IF($G$3:$G$28&lt;&gt;"",$G$3:$G$28)))),"")</f>
        <v/>
      </c>
      <c r="I35" s="93" t="str">
        <f t="array" ref="I35">IFERROR(AVERAGE(IF($B$3:$B$28=$B35,IF($D$3:$D$28=I$31,IF($G$3:$G$28&lt;&gt;"",$G$3:$G$28)))),"")</f>
        <v/>
      </c>
      <c r="J35" s="93">
        <f t="array" ref="J35">IFERROR(AVERAGE(IF($B$3:$B$28=$B35,IF($D$3:$D$28=J$31,IF($G$3:$G$28&lt;&gt;"",$G$3:$G$28)))),"")</f>
        <v>1098</v>
      </c>
      <c r="K35" s="93" t="str">
        <f t="array" ref="K35">IFERROR(AVERAGE(IF($B$3:$B$28=$B35,IF($D$3:$D$28=K$31,IF($G$3:$G$28&lt;&gt;"",$G$3:$G$28)))),"")</f>
        <v/>
      </c>
      <c r="L35" s="93" t="str">
        <f t="array" ref="L35">IFERROR(AVERAGE(IF($B$3:$B$28=$B35,IF($D$3:$D$28=L$31,IF($G$3:$G$28&lt;&gt;"",$G$3:$G$28)))),"")</f>
        <v/>
      </c>
      <c r="M35" s="93" t="str">
        <f t="array" ref="M35">IFERROR(AVERAGE(IF($B$3:$B$28=$B35,IF($D$3:$D$28=M$31,IF($G$3:$G$28&lt;&gt;"",$G$3:$G$28)))),"")</f>
        <v/>
      </c>
      <c r="N35" s="93">
        <f t="array" ref="N35">IFERROR(AVERAGE(IF($B$3:$B$28=$B35,IF($D$3:$D$28=N$31,IF($G$3:$G$28&lt;&gt;"",$G$3:$G$28)))),"")</f>
        <v>2323</v>
      </c>
      <c r="O35" s="93" t="str">
        <f t="array" ref="O35">IFERROR(AVERAGE(IF($B$3:$B$28=$B35,IF($D$3:$D$28=O$31,IF($G$3:$G$28&lt;&gt;"",$G$3:$G$28)))),"")</f>
        <v/>
      </c>
      <c r="P35" s="93" t="str">
        <f t="array" ref="P35">IFERROR(AVERAGE(IF($B$3:$B$28=$B35,IF($D$3:$D$28=P$31,IF($G$3:$G$28&lt;&gt;"",$G$3:$G$28)))),"")</f>
        <v/>
      </c>
      <c r="Q35" s="93" t="str">
        <f t="array" ref="Q35">IFERROR(AVERAGE(IF($B$3:$B$28=$B35,IF($D$3:$D$28=Q$31,IF($G$3:$G$28&lt;&gt;"",$G$3:$G$28)))),"")</f>
        <v/>
      </c>
      <c r="R35" s="93" t="str">
        <f t="array" ref="R35">IFERROR(AVERAGE(IF($B$3:$B$28=$B35,IF($D$3:$D$28=R$31,IF($G$3:$G$28&lt;&gt;"",$G$3:$G$28)))),"")</f>
        <v/>
      </c>
      <c r="S35" s="93" t="str">
        <f t="array" ref="S35">IFERROR(AVERAGE(IF($B$3:$B$28=$B35,IF($D$3:$D$28=S$31,IF($G$3:$G$28&lt;&gt;"",$G$3:$G$28)))),"")</f>
        <v/>
      </c>
      <c r="T35" s="93" t="str">
        <f t="array" ref="T35">IFERROR(AVERAGE(IF($B$3:$B$28=$B35,IF($D$3:$D$28=T$31,IF($G$3:$G$28&lt;&gt;"",$G$3:$G$28)))),"")</f>
        <v/>
      </c>
      <c r="U35" s="93" t="str">
        <f t="array" ref="U35">IFERROR(AVERAGE(IF($B$3:$B$28=$B35,IF($D$3:$D$28=U$31,IF($G$3:$G$28&lt;&gt;"",$G$3:$G$28)))),"")</f>
        <v/>
      </c>
      <c r="V35" s="93" t="str">
        <f t="array" ref="V35">IFERROR(AVERAGE(IF($B$3:$B$28=$B35,IF($D$3:$D$28=V$31,IF($G$3:$G$28&lt;&gt;"",$G$3:$G$28)))),"")</f>
        <v/>
      </c>
      <c r="W35" s="93">
        <f t="array" ref="W35">IFERROR(AVERAGE(IF($B$3:$B$28=$B35,IF($D$3:$D$28=W$31,IF($G$3:$G$28&lt;&gt;"",$G$3:$G$28)))),"")</f>
        <v>986</v>
      </c>
      <c r="X35" s="93" t="str">
        <f t="array" ref="X35">IFERROR(AVERAGE(IF($B$3:$B$28=$B35,IF($D$3:$D$28=X$31,IF($G$3:$G$28&lt;&gt;"",$G$3:$G$28)))),"")</f>
        <v/>
      </c>
      <c r="Y35" s="93" t="str">
        <f t="array" ref="Y35">IFERROR(AVERAGE(IF($B$3:$B$28=$B35,IF($D$3:$D$28=Y$31,IF($G$3:$G$28&lt;&gt;"",$G$3:$G$28)))),"")</f>
        <v/>
      </c>
      <c r="Z35" s="93" t="str">
        <f t="array" ref="Z35">IFERROR(AVERAGE(IF($B$3:$B$28=$B35,IF($D$3:$D$28=Z$31,IF($G$3:$G$28&lt;&gt;"",$G$3:$G$28)))),"")</f>
        <v/>
      </c>
      <c r="AA35" s="93">
        <f t="array" ref="AA35">IFERROR(AVERAGE(IF($B$3:$B$28=$B35,IF($D$3:$D$28=AA$31,IF($G$3:$G$28&lt;&gt;"",$G$3:$G$28)))),"")</f>
        <v>2566</v>
      </c>
      <c r="AB35" s="93" t="str">
        <f t="array" ref="AB35">IFERROR(AVERAGE(IF($B$3:$B$28=$B35,IF($D$3:$D$28=AB$31,IF($G$3:$G$28&lt;&gt;"",$G$3:$G$28)))),"")</f>
        <v/>
      </c>
      <c r="AC35" s="93" t="str">
        <f t="array" ref="AC35">IFERROR(AVERAGE(IF($B$3:$B$28=$B35,IF($D$3:$D$28=AC$31,IF($G$3:$G$28&lt;&gt;"",$G$3:$G$28)))),"")</f>
        <v/>
      </c>
      <c r="AD35" s="93" t="str">
        <f t="array" ref="AD35">IFERROR(AVERAGE(IF($B$3:$B$28=$B35,IF($D$3:$D$28=AD$31,IF($G$3:$G$28&lt;&gt;"",$G$3:$G$28)))),"")</f>
        <v/>
      </c>
      <c r="AE35" s="93" t="str">
        <f t="array" ref="AE35">IFERROR(AVERAGE(IF($B$3:$B$28=$B35,IF($D$3:$D$28=AE$31,IF($G$3:$G$28&lt;&gt;"",$G$3:$G$28)))),"")</f>
        <v/>
      </c>
      <c r="AF35" s="93" t="str">
        <f t="array" ref="AF35">IFERROR(AVERAGE(IF($B$3:$B$28=$B35,IF($D$3:$D$28=AF$31,IF($G$3:$G$28&lt;&gt;"",$G$3:$G$28)))),"")</f>
        <v/>
      </c>
    </row>
    <row r="36" spans="1:32" ht="15" customHeight="1" x14ac:dyDescent="0.25">
      <c r="A36" s="38">
        <f t="shared" si="1"/>
        <v>0</v>
      </c>
      <c r="B36" s="48" t="str">
        <f t="array" ref="B36">IFERROR(INDEX($B$3:$B$28, MATCH(0,IF(ISBLANK($B$3:$B$28),1,COUNTIF($B$32:B35, $B$3:$B$28)), 0)),"")</f>
        <v>Banglore</v>
      </c>
      <c r="C36" s="49"/>
      <c r="D36" s="49"/>
      <c r="E36" s="49"/>
      <c r="F36" s="49"/>
      <c r="G36" s="58"/>
      <c r="H36" s="93" t="str">
        <f t="array" ref="H36">IFERROR(AVERAGE(IF($B$3:$B$28=$B36,IF($D$3:$D$28=H$31,IF($G$3:$G$28&lt;&gt;"",$G$3:$G$28)))),"")</f>
        <v/>
      </c>
      <c r="I36" s="93" t="str">
        <f t="array" ref="I36">IFERROR(AVERAGE(IF($B$3:$B$28=$B36,IF($D$3:$D$28=I$31,IF($G$3:$G$28&lt;&gt;"",$G$3:$G$28)))),"")</f>
        <v/>
      </c>
      <c r="J36" s="93" t="str">
        <f t="array" ref="J36">IFERROR(AVERAGE(IF($B$3:$B$28=$B36,IF($D$3:$D$28=J$31,IF($G$3:$G$28&lt;&gt;"",$G$3:$G$28)))),"")</f>
        <v/>
      </c>
      <c r="K36" s="93">
        <f t="array" ref="K36">IFERROR(AVERAGE(IF($B$3:$B$28=$B36,IF($D$3:$D$28=K$31,IF($G$3:$G$28&lt;&gt;"",$G$3:$G$28)))),"")</f>
        <v>986</v>
      </c>
      <c r="L36" s="93" t="str">
        <f t="array" ref="L36">IFERROR(AVERAGE(IF($B$3:$B$28=$B36,IF($D$3:$D$28=L$31,IF($G$3:$G$28&lt;&gt;"",$G$3:$G$28)))),"")</f>
        <v/>
      </c>
      <c r="M36" s="93" t="str">
        <f t="array" ref="M36">IFERROR(AVERAGE(IF($B$3:$B$28=$B36,IF($D$3:$D$28=M$31,IF($G$3:$G$28&lt;&gt;"",$G$3:$G$28)))),"")</f>
        <v/>
      </c>
      <c r="N36" s="93" t="str">
        <f t="array" ref="N36">IFERROR(AVERAGE(IF($B$3:$B$28=$B36,IF($D$3:$D$28=N$31,IF($G$3:$G$28&lt;&gt;"",$G$3:$G$28)))),"")</f>
        <v/>
      </c>
      <c r="O36" s="93" t="str">
        <f t="array" ref="O36">IFERROR(AVERAGE(IF($B$3:$B$28=$B36,IF($D$3:$D$28=O$31,IF($G$3:$G$28&lt;&gt;"",$G$3:$G$28)))),"")</f>
        <v/>
      </c>
      <c r="P36" s="93" t="str">
        <f t="array" ref="P36">IFERROR(AVERAGE(IF($B$3:$B$28=$B36,IF($D$3:$D$28=P$31,IF($G$3:$G$28&lt;&gt;"",$G$3:$G$28)))),"")</f>
        <v/>
      </c>
      <c r="Q36" s="93" t="str">
        <f t="array" ref="Q36">IFERROR(AVERAGE(IF($B$3:$B$28=$B36,IF($D$3:$D$28=Q$31,IF($G$3:$G$28&lt;&gt;"",$G$3:$G$28)))),"")</f>
        <v/>
      </c>
      <c r="R36" s="93" t="str">
        <f t="array" ref="R36">IFERROR(AVERAGE(IF($B$3:$B$28=$B36,IF($D$3:$D$28=R$31,IF($G$3:$G$28&lt;&gt;"",$G$3:$G$28)))),"")</f>
        <v/>
      </c>
      <c r="S36" s="93" t="str">
        <f t="array" ref="S36">IFERROR(AVERAGE(IF($B$3:$B$28=$B36,IF($D$3:$D$28=S$31,IF($G$3:$G$28&lt;&gt;"",$G$3:$G$28)))),"")</f>
        <v/>
      </c>
      <c r="T36" s="93" t="str">
        <f t="array" ref="T36">IFERROR(AVERAGE(IF($B$3:$B$28=$B36,IF($D$3:$D$28=T$31,IF($G$3:$G$28&lt;&gt;"",$G$3:$G$28)))),"")</f>
        <v/>
      </c>
      <c r="U36" s="93" t="str">
        <f t="array" ref="U36">IFERROR(AVERAGE(IF($B$3:$B$28=$B36,IF($D$3:$D$28=U$31,IF($G$3:$G$28&lt;&gt;"",$G$3:$G$28)))),"")</f>
        <v/>
      </c>
      <c r="V36" s="93" t="str">
        <f t="array" ref="V36">IFERROR(AVERAGE(IF($B$3:$B$28=$B36,IF($D$3:$D$28=V$31,IF($G$3:$G$28&lt;&gt;"",$G$3:$G$28)))),"")</f>
        <v/>
      </c>
      <c r="W36" s="93" t="str">
        <f t="array" ref="W36">IFERROR(AVERAGE(IF($B$3:$B$28=$B36,IF($D$3:$D$28=W$31,IF($G$3:$G$28&lt;&gt;"",$G$3:$G$28)))),"")</f>
        <v/>
      </c>
      <c r="X36" s="93">
        <f t="array" ref="X36">IFERROR(AVERAGE(IF($B$3:$B$28=$B36,IF($D$3:$D$28=X$31,IF($G$3:$G$28&lt;&gt;"",$G$3:$G$28)))),"")</f>
        <v>1212</v>
      </c>
      <c r="Y36" s="93" t="str">
        <f t="array" ref="Y36">IFERROR(AVERAGE(IF($B$3:$B$28=$B36,IF($D$3:$D$28=Y$31,IF($G$3:$G$28&lt;&gt;"",$G$3:$G$28)))),"")</f>
        <v/>
      </c>
      <c r="Z36" s="93" t="str">
        <f t="array" ref="Z36">IFERROR(AVERAGE(IF($B$3:$B$28=$B36,IF($D$3:$D$28=Z$31,IF($G$3:$G$28&lt;&gt;"",$G$3:$G$28)))),"")</f>
        <v/>
      </c>
      <c r="AA36" s="93" t="str">
        <f t="array" ref="AA36">IFERROR(AVERAGE(IF($B$3:$B$28=$B36,IF($D$3:$D$28=AA$31,IF($G$3:$G$28&lt;&gt;"",$G$3:$G$28)))),"")</f>
        <v/>
      </c>
      <c r="AB36" s="93" t="str">
        <f t="array" ref="AB36">IFERROR(AVERAGE(IF($B$3:$B$28=$B36,IF($D$3:$D$28=AB$31,IF($G$3:$G$28&lt;&gt;"",$G$3:$G$28)))),"")</f>
        <v/>
      </c>
      <c r="AC36" s="93" t="str">
        <f t="array" ref="AC36">IFERROR(AVERAGE(IF($B$3:$B$28=$B36,IF($D$3:$D$28=AC$31,IF($G$3:$G$28&lt;&gt;"",$G$3:$G$28)))),"")</f>
        <v/>
      </c>
      <c r="AD36" s="93" t="str">
        <f t="array" ref="AD36">IFERROR(AVERAGE(IF($B$3:$B$28=$B36,IF($D$3:$D$28=AD$31,IF($G$3:$G$28&lt;&gt;"",$G$3:$G$28)))),"")</f>
        <v/>
      </c>
      <c r="AE36" s="93" t="str">
        <f t="array" ref="AE36">IFERROR(AVERAGE(IF($B$3:$B$28=$B36,IF($D$3:$D$28=AE$31,IF($G$3:$G$28&lt;&gt;"",$G$3:$G$28)))),"")</f>
        <v/>
      </c>
      <c r="AF36" s="93" t="str">
        <f t="array" ref="AF36">IFERROR(AVERAGE(IF($B$3:$B$28=$B36,IF($D$3:$D$28=AF$31,IF($G$3:$G$28&lt;&gt;"",$G$3:$G$28)))),"")</f>
        <v/>
      </c>
    </row>
    <row r="37" spans="1:32" ht="15" customHeight="1" x14ac:dyDescent="0.25">
      <c r="A37" s="38">
        <f t="shared" si="1"/>
        <v>0</v>
      </c>
      <c r="B37" s="48" t="str">
        <f t="array" ref="B37">IFERROR(INDEX($B$3:$B$28, MATCH(0,IF(ISBLANK($B$3:$B$28),1,COUNTIF($B$32:B36, $B$3:$B$28)), 0)),"")</f>
        <v>Chennai</v>
      </c>
      <c r="C37" s="49"/>
      <c r="D37" s="49"/>
      <c r="E37" s="49"/>
      <c r="F37" s="49"/>
      <c r="G37" s="58"/>
      <c r="H37" s="93" t="str">
        <f t="array" ref="H37">IFERROR(AVERAGE(IF($B$3:$B$28=$B37,IF($D$3:$D$28=H$31,IF($G$3:$G$28&lt;&gt;"",$G$3:$G$28)))),"")</f>
        <v/>
      </c>
      <c r="I37" s="93" t="str">
        <f t="array" ref="I37">IFERROR(AVERAGE(IF($B$3:$B$28=$B37,IF($D$3:$D$28=I$31,IF($G$3:$G$28&lt;&gt;"",$G$3:$G$28)))),"")</f>
        <v/>
      </c>
      <c r="J37" s="93" t="str">
        <f t="array" ref="J37">IFERROR(AVERAGE(IF($B$3:$B$28=$B37,IF($D$3:$D$28=J$31,IF($G$3:$G$28&lt;&gt;"",$G$3:$G$28)))),"")</f>
        <v/>
      </c>
      <c r="K37" s="93" t="str">
        <f t="array" ref="K37">IFERROR(AVERAGE(IF($B$3:$B$28=$B37,IF($D$3:$D$28=K$31,IF($G$3:$G$28&lt;&gt;"",$G$3:$G$28)))),"")</f>
        <v/>
      </c>
      <c r="L37" s="93">
        <f t="array" ref="L37">IFERROR(AVERAGE(IF($B$3:$B$28=$B37,IF($D$3:$D$28=L$31,IF($G$3:$G$28&lt;&gt;"",$G$3:$G$28)))),"")</f>
        <v>1212</v>
      </c>
      <c r="M37" s="93" t="str">
        <f t="array" ref="M37">IFERROR(AVERAGE(IF($B$3:$B$28=$B37,IF($D$3:$D$28=M$31,IF($G$3:$G$28&lt;&gt;"",$G$3:$G$28)))),"")</f>
        <v/>
      </c>
      <c r="N37" s="93" t="str">
        <f t="array" ref="N37">IFERROR(AVERAGE(IF($B$3:$B$28=$B37,IF($D$3:$D$28=N$31,IF($G$3:$G$28&lt;&gt;"",$G$3:$G$28)))),"")</f>
        <v/>
      </c>
      <c r="O37" s="93" t="str">
        <f t="array" ref="O37">IFERROR(AVERAGE(IF($B$3:$B$28=$B37,IF($D$3:$D$28=O$31,IF($G$3:$G$28&lt;&gt;"",$G$3:$G$28)))),"")</f>
        <v/>
      </c>
      <c r="P37" s="93" t="str">
        <f t="array" ref="P37">IFERROR(AVERAGE(IF($B$3:$B$28=$B37,IF($D$3:$D$28=P$31,IF($G$3:$G$28&lt;&gt;"",$G$3:$G$28)))),"")</f>
        <v/>
      </c>
      <c r="Q37" s="93" t="str">
        <f t="array" ref="Q37">IFERROR(AVERAGE(IF($B$3:$B$28=$B37,IF($D$3:$D$28=Q$31,IF($G$3:$G$28&lt;&gt;"",$G$3:$G$28)))),"")</f>
        <v/>
      </c>
      <c r="R37" s="93" t="str">
        <f t="array" ref="R37">IFERROR(AVERAGE(IF($B$3:$B$28=$B37,IF($D$3:$D$28=R$31,IF($G$3:$G$28&lt;&gt;"",$G$3:$G$28)))),"")</f>
        <v/>
      </c>
      <c r="S37" s="93" t="str">
        <f t="array" ref="S37">IFERROR(AVERAGE(IF($B$3:$B$28=$B37,IF($D$3:$D$28=S$31,IF($G$3:$G$28&lt;&gt;"",$G$3:$G$28)))),"")</f>
        <v/>
      </c>
      <c r="T37" s="93" t="str">
        <f t="array" ref="T37">IFERROR(AVERAGE(IF($B$3:$B$28=$B37,IF($D$3:$D$28=T$31,IF($G$3:$G$28&lt;&gt;"",$G$3:$G$28)))),"")</f>
        <v/>
      </c>
      <c r="U37" s="93" t="str">
        <f t="array" ref="U37">IFERROR(AVERAGE(IF($B$3:$B$28=$B37,IF($D$3:$D$28=U$31,IF($G$3:$G$28&lt;&gt;"",$G$3:$G$28)))),"")</f>
        <v/>
      </c>
      <c r="V37" s="93" t="str">
        <f t="array" ref="V37">IFERROR(AVERAGE(IF($B$3:$B$28=$B37,IF($D$3:$D$28=V$31,IF($G$3:$G$28&lt;&gt;"",$G$3:$G$28)))),"")</f>
        <v/>
      </c>
      <c r="W37" s="93" t="str">
        <f t="array" ref="W37">IFERROR(AVERAGE(IF($B$3:$B$28=$B37,IF($D$3:$D$28=W$31,IF($G$3:$G$28&lt;&gt;"",$G$3:$G$28)))),"")</f>
        <v/>
      </c>
      <c r="X37" s="93" t="str">
        <f t="array" ref="X37">IFERROR(AVERAGE(IF($B$3:$B$28=$B37,IF($D$3:$D$28=X$31,IF($G$3:$G$28&lt;&gt;"",$G$3:$G$28)))),"")</f>
        <v/>
      </c>
      <c r="Y37" s="93">
        <f t="array" ref="Y37">IFERROR(AVERAGE(IF($B$3:$B$28=$B37,IF($D$3:$D$28=Y$31,IF($G$3:$G$28&lt;&gt;"",$G$3:$G$28)))),"")</f>
        <v>1993</v>
      </c>
      <c r="Z37" s="93" t="str">
        <f t="array" ref="Z37">IFERROR(AVERAGE(IF($B$3:$B$28=$B37,IF($D$3:$D$28=Z$31,IF($G$3:$G$28&lt;&gt;"",$G$3:$G$28)))),"")</f>
        <v/>
      </c>
      <c r="AA37" s="93" t="str">
        <f t="array" ref="AA37">IFERROR(AVERAGE(IF($B$3:$B$28=$B37,IF($D$3:$D$28=AA$31,IF($G$3:$G$28&lt;&gt;"",$G$3:$G$28)))),"")</f>
        <v/>
      </c>
      <c r="AB37" s="93" t="str">
        <f t="array" ref="AB37">IFERROR(AVERAGE(IF($B$3:$B$28=$B37,IF($D$3:$D$28=AB$31,IF($G$3:$G$28&lt;&gt;"",$G$3:$G$28)))),"")</f>
        <v/>
      </c>
      <c r="AC37" s="93" t="str">
        <f t="array" ref="AC37">IFERROR(AVERAGE(IF($B$3:$B$28=$B37,IF($D$3:$D$28=AC$31,IF($G$3:$G$28&lt;&gt;"",$G$3:$G$28)))),"")</f>
        <v/>
      </c>
      <c r="AD37" s="93" t="str">
        <f t="array" ref="AD37">IFERROR(AVERAGE(IF($B$3:$B$28=$B37,IF($D$3:$D$28=AD$31,IF($G$3:$G$28&lt;&gt;"",$G$3:$G$28)))),"")</f>
        <v/>
      </c>
      <c r="AE37" s="93" t="str">
        <f t="array" ref="AE37">IFERROR(AVERAGE(IF($B$3:$B$28=$B37,IF($D$3:$D$28=AE$31,IF($G$3:$G$28&lt;&gt;"",$G$3:$G$28)))),"")</f>
        <v/>
      </c>
      <c r="AF37" s="93">
        <f t="array" ref="AF37">IFERROR(AVERAGE(IF($B$3:$B$28=$B37,IF($D$3:$D$28=AF$31,IF($G$3:$G$28&lt;&gt;"",$G$3:$G$28)))),"")</f>
        <v>3221</v>
      </c>
    </row>
    <row r="38" spans="1:32" ht="15" customHeight="1" x14ac:dyDescent="0.25">
      <c r="A38" s="38">
        <f t="shared" si="1"/>
        <v>0</v>
      </c>
      <c r="B38" s="48" t="str">
        <f t="array" ref="B38">IFERROR(INDEX($B$3:$B$28, MATCH(0,IF(ISBLANK($B$3:$B$28),1,COUNTIF($B$32:B37, $B$3:$B$28)), 0)),"")</f>
        <v>Madhya Pradesh</v>
      </c>
      <c r="C38" s="49"/>
      <c r="D38" s="49"/>
      <c r="E38" s="49"/>
      <c r="F38" s="49"/>
      <c r="G38" s="58"/>
      <c r="H38" s="93" t="str">
        <f t="array" ref="H38">IFERROR(AVERAGE(IF($B$3:$B$28=$B38,IF($D$3:$D$28=H$31,IF($G$3:$G$28&lt;&gt;"",$G$3:$G$28)))),"")</f>
        <v/>
      </c>
      <c r="I38" s="93" t="str">
        <f t="array" ref="I38">IFERROR(AVERAGE(IF($B$3:$B$28=$B38,IF($D$3:$D$28=I$31,IF($G$3:$G$28&lt;&gt;"",$G$3:$G$28)))),"")</f>
        <v/>
      </c>
      <c r="J38" s="93" t="str">
        <f t="array" ref="J38">IFERROR(AVERAGE(IF($B$3:$B$28=$B38,IF($D$3:$D$28=J$31,IF($G$3:$G$28&lt;&gt;"",$G$3:$G$28)))),"")</f>
        <v/>
      </c>
      <c r="K38" s="93" t="str">
        <f t="array" ref="K38">IFERROR(AVERAGE(IF($B$3:$B$28=$B38,IF($D$3:$D$28=K$31,IF($G$3:$G$28&lt;&gt;"",$G$3:$G$28)))),"")</f>
        <v/>
      </c>
      <c r="L38" s="93" t="str">
        <f t="array" ref="L38">IFERROR(AVERAGE(IF($B$3:$B$28=$B38,IF($D$3:$D$28=L$31,IF($G$3:$G$28&lt;&gt;"",$G$3:$G$28)))),"")</f>
        <v/>
      </c>
      <c r="M38" s="93" t="str">
        <f t="array" ref="M38">IFERROR(AVERAGE(IF($B$3:$B$28=$B38,IF($D$3:$D$28=M$31,IF($G$3:$G$28&lt;&gt;"",$G$3:$G$28)))),"")</f>
        <v/>
      </c>
      <c r="N38" s="93" t="str">
        <f t="array" ref="N38">IFERROR(AVERAGE(IF($B$3:$B$28=$B38,IF($D$3:$D$28=N$31,IF($G$3:$G$28&lt;&gt;"",$G$3:$G$28)))),"")</f>
        <v/>
      </c>
      <c r="O38" s="93" t="str">
        <f t="array" ref="O38">IFERROR(AVERAGE(IF($B$3:$B$28=$B38,IF($D$3:$D$28=O$31,IF($G$3:$G$28&lt;&gt;"",$G$3:$G$28)))),"")</f>
        <v/>
      </c>
      <c r="P38" s="93">
        <f t="array" ref="P38">IFERROR(AVERAGE(IF($B$3:$B$28=$B38,IF($D$3:$D$28=P$31,IF($G$3:$G$28&lt;&gt;"",$G$3:$G$28)))),"")</f>
        <v>2577</v>
      </c>
      <c r="Q38" s="93" t="str">
        <f t="array" ref="Q38">IFERROR(AVERAGE(IF($B$3:$B$28=$B38,IF($D$3:$D$28=Q$31,IF($G$3:$G$28&lt;&gt;"",$G$3:$G$28)))),"")</f>
        <v/>
      </c>
      <c r="R38" s="93" t="str">
        <f t="array" ref="R38">IFERROR(AVERAGE(IF($B$3:$B$28=$B38,IF($D$3:$D$28=R$31,IF($G$3:$G$28&lt;&gt;"",$G$3:$G$28)))),"")</f>
        <v/>
      </c>
      <c r="S38" s="93" t="str">
        <f t="array" ref="S38">IFERROR(AVERAGE(IF($B$3:$B$28=$B38,IF($D$3:$D$28=S$31,IF($G$3:$G$28&lt;&gt;"",$G$3:$G$28)))),"")</f>
        <v/>
      </c>
      <c r="T38" s="93" t="str">
        <f t="array" ref="T38">IFERROR(AVERAGE(IF($B$3:$B$28=$B38,IF($D$3:$D$28=T$31,IF($G$3:$G$28&lt;&gt;"",$G$3:$G$28)))),"")</f>
        <v/>
      </c>
      <c r="U38" s="93" t="str">
        <f t="array" ref="U38">IFERROR(AVERAGE(IF($B$3:$B$28=$B38,IF($D$3:$D$28=U$31,IF($G$3:$G$28&lt;&gt;"",$G$3:$G$28)))),"")</f>
        <v/>
      </c>
      <c r="V38" s="93" t="str">
        <f t="array" ref="V38">IFERROR(AVERAGE(IF($B$3:$B$28=$B38,IF($D$3:$D$28=V$31,IF($G$3:$G$28&lt;&gt;"",$G$3:$G$28)))),"")</f>
        <v/>
      </c>
      <c r="W38" s="93" t="str">
        <f t="array" ref="W38">IFERROR(AVERAGE(IF($B$3:$B$28=$B38,IF($D$3:$D$28=W$31,IF($G$3:$G$28&lt;&gt;"",$G$3:$G$28)))),"")</f>
        <v/>
      </c>
      <c r="X38" s="93" t="str">
        <f t="array" ref="X38">IFERROR(AVERAGE(IF($B$3:$B$28=$B38,IF($D$3:$D$28=X$31,IF($G$3:$G$28&lt;&gt;"",$G$3:$G$28)))),"")</f>
        <v/>
      </c>
      <c r="Y38" s="93" t="str">
        <f t="array" ref="Y38">IFERROR(AVERAGE(IF($B$3:$B$28=$B38,IF($D$3:$D$28=Y$31,IF($G$3:$G$28&lt;&gt;"",$G$3:$G$28)))),"")</f>
        <v/>
      </c>
      <c r="Z38" s="93" t="str">
        <f t="array" ref="Z38">IFERROR(AVERAGE(IF($B$3:$B$28=$B38,IF($D$3:$D$28=Z$31,IF($G$3:$G$28&lt;&gt;"",$G$3:$G$28)))),"")</f>
        <v/>
      </c>
      <c r="AA38" s="93" t="str">
        <f t="array" ref="AA38">IFERROR(AVERAGE(IF($B$3:$B$28=$B38,IF($D$3:$D$28=AA$31,IF($G$3:$G$28&lt;&gt;"",$G$3:$G$28)))),"")</f>
        <v/>
      </c>
      <c r="AB38" s="93" t="str">
        <f t="array" ref="AB38">IFERROR(AVERAGE(IF($B$3:$B$28=$B38,IF($D$3:$D$28=AB$31,IF($G$3:$G$28&lt;&gt;"",$G$3:$G$28)))),"")</f>
        <v/>
      </c>
      <c r="AC38" s="93">
        <f t="array" ref="AC38">IFERROR(AVERAGE(IF($B$3:$B$28=$B38,IF($D$3:$D$28=AC$31,IF($G$3:$G$28&lt;&gt;"",$G$3:$G$28)))),"")</f>
        <v>2756</v>
      </c>
      <c r="AD38" s="93" t="str">
        <f t="array" ref="AD38">IFERROR(AVERAGE(IF($B$3:$B$28=$B38,IF($D$3:$D$28=AD$31,IF($G$3:$G$28&lt;&gt;"",$G$3:$G$28)))),"")</f>
        <v/>
      </c>
      <c r="AE38" s="93" t="str">
        <f t="array" ref="AE38">IFERROR(AVERAGE(IF($B$3:$B$28=$B38,IF($D$3:$D$28=AE$31,IF($G$3:$G$28&lt;&gt;"",$G$3:$G$28)))),"")</f>
        <v/>
      </c>
      <c r="AF38" s="93" t="str">
        <f t="array" ref="AF38">IFERROR(AVERAGE(IF($B$3:$B$28=$B38,IF($D$3:$D$28=AF$31,IF($G$3:$G$28&lt;&gt;"",$G$3:$G$28)))),"")</f>
        <v/>
      </c>
    </row>
    <row r="39" spans="1:32" ht="15" customHeight="1" x14ac:dyDescent="0.25">
      <c r="A39" s="38">
        <f t="shared" si="1"/>
        <v>0</v>
      </c>
      <c r="B39" s="48" t="str">
        <f t="array" ref="B39">IFERROR(INDEX($B$3:$B$28, MATCH(0,IF(ISBLANK($B$3:$B$28),1,COUNTIF($B$32:B38, $B$3:$B$28)), 0)),"")</f>
        <v>Gujrat</v>
      </c>
      <c r="C39" s="49"/>
      <c r="D39" s="49"/>
      <c r="E39" s="49"/>
      <c r="F39" s="49"/>
      <c r="G39" s="58"/>
      <c r="H39" s="93" t="str">
        <f t="array" ref="H39">IFERROR(AVERAGE(IF($B$3:$B$28=$B39,IF($D$3:$D$28=H$31,IF($G$3:$G$28&lt;&gt;"",$G$3:$G$28)))),"")</f>
        <v/>
      </c>
      <c r="I39" s="93" t="str">
        <f t="array" ref="I39">IFERROR(AVERAGE(IF($B$3:$B$28=$B39,IF($D$3:$D$28=I$31,IF($G$3:$G$28&lt;&gt;"",$G$3:$G$28)))),"")</f>
        <v/>
      </c>
      <c r="J39" s="93" t="str">
        <f t="array" ref="J39">IFERROR(AVERAGE(IF($B$3:$B$28=$B39,IF($D$3:$D$28=J$31,IF($G$3:$G$28&lt;&gt;"",$G$3:$G$28)))),"")</f>
        <v/>
      </c>
      <c r="K39" s="93" t="str">
        <f t="array" ref="K39">IFERROR(AVERAGE(IF($B$3:$B$28=$B39,IF($D$3:$D$28=K$31,IF($G$3:$G$28&lt;&gt;"",$G$3:$G$28)))),"")</f>
        <v/>
      </c>
      <c r="L39" s="93" t="str">
        <f t="array" ref="L39">IFERROR(AVERAGE(IF($B$3:$B$28=$B39,IF($D$3:$D$28=L$31,IF($G$3:$G$28&lt;&gt;"",$G$3:$G$28)))),"")</f>
        <v/>
      </c>
      <c r="M39" s="93" t="str">
        <f t="array" ref="M39">IFERROR(AVERAGE(IF($B$3:$B$28=$B39,IF($D$3:$D$28=M$31,IF($G$3:$G$28&lt;&gt;"",$G$3:$G$28)))),"")</f>
        <v/>
      </c>
      <c r="N39" s="93" t="str">
        <f t="array" ref="N39">IFERROR(AVERAGE(IF($B$3:$B$28=$B39,IF($D$3:$D$28=N$31,IF($G$3:$G$28&lt;&gt;"",$G$3:$G$28)))),"")</f>
        <v/>
      </c>
      <c r="O39" s="93" t="str">
        <f t="array" ref="O39">IFERROR(AVERAGE(IF($B$3:$B$28=$B39,IF($D$3:$D$28=O$31,IF($G$3:$G$28&lt;&gt;"",$G$3:$G$28)))),"")</f>
        <v/>
      </c>
      <c r="P39" s="93" t="str">
        <f t="array" ref="P39">IFERROR(AVERAGE(IF($B$3:$B$28=$B39,IF($D$3:$D$28=P$31,IF($G$3:$G$28&lt;&gt;"",$G$3:$G$28)))),"")</f>
        <v/>
      </c>
      <c r="Q39" s="93">
        <f t="array" ref="Q39">IFERROR(AVERAGE(IF($B$3:$B$28=$B39,IF($D$3:$D$28=Q$31,IF($G$3:$G$28&lt;&gt;"",$G$3:$G$28)))),"")</f>
        <v>2756</v>
      </c>
      <c r="R39" s="93" t="str">
        <f t="array" ref="R39">IFERROR(AVERAGE(IF($B$3:$B$28=$B39,IF($D$3:$D$28=R$31,IF($G$3:$G$28&lt;&gt;"",$G$3:$G$28)))),"")</f>
        <v/>
      </c>
      <c r="S39" s="93" t="str">
        <f t="array" ref="S39">IFERROR(AVERAGE(IF($B$3:$B$28=$B39,IF($D$3:$D$28=S$31,IF($G$3:$G$28&lt;&gt;"",$G$3:$G$28)))),"")</f>
        <v/>
      </c>
      <c r="T39" s="93" t="str">
        <f t="array" ref="T39">IFERROR(AVERAGE(IF($B$3:$B$28=$B39,IF($D$3:$D$28=T$31,IF($G$3:$G$28&lt;&gt;"",$G$3:$G$28)))),"")</f>
        <v/>
      </c>
      <c r="U39" s="93" t="str">
        <f t="array" ref="U39">IFERROR(AVERAGE(IF($B$3:$B$28=$B39,IF($D$3:$D$28=U$31,IF($G$3:$G$28&lt;&gt;"",$G$3:$G$28)))),"")</f>
        <v/>
      </c>
      <c r="V39" s="93" t="str">
        <f t="array" ref="V39">IFERROR(AVERAGE(IF($B$3:$B$28=$B39,IF($D$3:$D$28=V$31,IF($G$3:$G$28&lt;&gt;"",$G$3:$G$28)))),"")</f>
        <v/>
      </c>
      <c r="W39" s="93" t="str">
        <f t="array" ref="W39">IFERROR(AVERAGE(IF($B$3:$B$28=$B39,IF($D$3:$D$28=W$31,IF($G$3:$G$28&lt;&gt;"",$G$3:$G$28)))),"")</f>
        <v/>
      </c>
      <c r="X39" s="93" t="str">
        <f t="array" ref="X39">IFERROR(AVERAGE(IF($B$3:$B$28=$B39,IF($D$3:$D$28=X$31,IF($G$3:$G$28&lt;&gt;"",$G$3:$G$28)))),"")</f>
        <v/>
      </c>
      <c r="Y39" s="93" t="str">
        <f t="array" ref="Y39">IFERROR(AVERAGE(IF($B$3:$B$28=$B39,IF($D$3:$D$28=Y$31,IF($G$3:$G$28&lt;&gt;"",$G$3:$G$28)))),"")</f>
        <v/>
      </c>
      <c r="Z39" s="93" t="str">
        <f t="array" ref="Z39">IFERROR(AVERAGE(IF($B$3:$B$28=$B39,IF($D$3:$D$28=Z$31,IF($G$3:$G$28&lt;&gt;"",$G$3:$G$28)))),"")</f>
        <v/>
      </c>
      <c r="AA39" s="93" t="str">
        <f t="array" ref="AA39">IFERROR(AVERAGE(IF($B$3:$B$28=$B39,IF($D$3:$D$28=AA$31,IF($G$3:$G$28&lt;&gt;"",$G$3:$G$28)))),"")</f>
        <v/>
      </c>
      <c r="AB39" s="93" t="str">
        <f t="array" ref="AB39">IFERROR(AVERAGE(IF($B$3:$B$28=$B39,IF($D$3:$D$28=AB$31,IF($G$3:$G$28&lt;&gt;"",$G$3:$G$28)))),"")</f>
        <v/>
      </c>
      <c r="AC39" s="93" t="str">
        <f t="array" ref="AC39">IFERROR(AVERAGE(IF($B$3:$B$28=$B39,IF($D$3:$D$28=AC$31,IF($G$3:$G$28&lt;&gt;"",$G$3:$G$28)))),"")</f>
        <v/>
      </c>
      <c r="AD39" s="93">
        <f t="array" ref="AD39">IFERROR(AVERAGE(IF($B$3:$B$28=$B39,IF($D$3:$D$28=AD$31,IF($G$3:$G$28&lt;&gt;"",$G$3:$G$28)))),"")</f>
        <v>2677</v>
      </c>
      <c r="AE39" s="93" t="str">
        <f t="array" ref="AE39">IFERROR(AVERAGE(IF($B$3:$B$28=$B39,IF($D$3:$D$28=AE$31,IF($G$3:$G$28&lt;&gt;"",$G$3:$G$28)))),"")</f>
        <v/>
      </c>
      <c r="AF39" s="93" t="str">
        <f t="array" ref="AF39">IFERROR(AVERAGE(IF($B$3:$B$28=$B39,IF($D$3:$D$28=AF$31,IF($G$3:$G$28&lt;&gt;"",$G$3:$G$28)))),"")</f>
        <v/>
      </c>
    </row>
    <row r="40" spans="1:32" ht="15" customHeight="1" x14ac:dyDescent="0.25">
      <c r="A40" s="38">
        <f t="shared" si="1"/>
        <v>0</v>
      </c>
      <c r="B40" s="48" t="str">
        <f t="array" ref="B40">IFERROR(INDEX($B$3:$B$28, MATCH(0,IF(ISBLANK($B$3:$B$28),1,COUNTIF($B$32:B39, $B$3:$B$28)), 0)),"")</f>
        <v>Ludhiyana</v>
      </c>
      <c r="C40" s="49"/>
      <c r="D40" s="49"/>
      <c r="E40" s="49"/>
      <c r="F40" s="49"/>
      <c r="G40" s="58"/>
      <c r="H40" s="93" t="str">
        <f t="array" ref="H40">IFERROR(AVERAGE(IF($B$3:$B$28=$B40,IF($D$3:$D$28=H$31,IF($G$3:$G$28&lt;&gt;"",$G$3:$G$28)))),"")</f>
        <v/>
      </c>
      <c r="I40" s="93" t="str">
        <f t="array" ref="I40">IFERROR(AVERAGE(IF($B$3:$B$28=$B40,IF($D$3:$D$28=I$31,IF($G$3:$G$28&lt;&gt;"",$G$3:$G$28)))),"")</f>
        <v/>
      </c>
      <c r="J40" s="93" t="str">
        <f t="array" ref="J40">IFERROR(AVERAGE(IF($B$3:$B$28=$B40,IF($D$3:$D$28=J$31,IF($G$3:$G$28&lt;&gt;"",$G$3:$G$28)))),"")</f>
        <v/>
      </c>
      <c r="K40" s="93" t="str">
        <f t="array" ref="K40">IFERROR(AVERAGE(IF($B$3:$B$28=$B40,IF($D$3:$D$28=K$31,IF($G$3:$G$28&lt;&gt;"",$G$3:$G$28)))),"")</f>
        <v/>
      </c>
      <c r="L40" s="93" t="str">
        <f t="array" ref="L40">IFERROR(AVERAGE(IF($B$3:$B$28=$B40,IF($D$3:$D$28=L$31,IF($G$3:$G$28&lt;&gt;"",$G$3:$G$28)))),"")</f>
        <v/>
      </c>
      <c r="M40" s="93" t="str">
        <f t="array" ref="M40">IFERROR(AVERAGE(IF($B$3:$B$28=$B40,IF($D$3:$D$28=M$31,IF($G$3:$G$28&lt;&gt;"",$G$3:$G$28)))),"")</f>
        <v/>
      </c>
      <c r="N40" s="93" t="str">
        <f t="array" ref="N40">IFERROR(AVERAGE(IF($B$3:$B$28=$B40,IF($D$3:$D$28=N$31,IF($G$3:$G$28&lt;&gt;"",$G$3:$G$28)))),"")</f>
        <v/>
      </c>
      <c r="O40" s="93" t="str">
        <f t="array" ref="O40">IFERROR(AVERAGE(IF($B$3:$B$28=$B40,IF($D$3:$D$28=O$31,IF($G$3:$G$28&lt;&gt;"",$G$3:$G$28)))),"")</f>
        <v/>
      </c>
      <c r="P40" s="93" t="str">
        <f t="array" ref="P40">IFERROR(AVERAGE(IF($B$3:$B$28=$B40,IF($D$3:$D$28=P$31,IF($G$3:$G$28&lt;&gt;"",$G$3:$G$28)))),"")</f>
        <v/>
      </c>
      <c r="Q40" s="93" t="str">
        <f t="array" ref="Q40">IFERROR(AVERAGE(IF($B$3:$B$28=$B40,IF($D$3:$D$28=Q$31,IF($G$3:$G$28&lt;&gt;"",$G$3:$G$28)))),"")</f>
        <v/>
      </c>
      <c r="R40" s="93">
        <f t="array" ref="R40">IFERROR(AVERAGE(IF($B$3:$B$28=$B40,IF($D$3:$D$28=R$31,IF($G$3:$G$28&lt;&gt;"",$G$3:$G$28)))),"")</f>
        <v>2677</v>
      </c>
      <c r="S40" s="93" t="str">
        <f t="array" ref="S40">IFERROR(AVERAGE(IF($B$3:$B$28=$B40,IF($D$3:$D$28=S$31,IF($G$3:$G$28&lt;&gt;"",$G$3:$G$28)))),"")</f>
        <v/>
      </c>
      <c r="T40" s="93" t="str">
        <f t="array" ref="T40">IFERROR(AVERAGE(IF($B$3:$B$28=$B40,IF($D$3:$D$28=T$31,IF($G$3:$G$28&lt;&gt;"",$G$3:$G$28)))),"")</f>
        <v/>
      </c>
      <c r="U40" s="93" t="str">
        <f t="array" ref="U40">IFERROR(AVERAGE(IF($B$3:$B$28=$B40,IF($D$3:$D$28=U$31,IF($G$3:$G$28&lt;&gt;"",$G$3:$G$28)))),"")</f>
        <v/>
      </c>
      <c r="V40" s="93" t="str">
        <f t="array" ref="V40">IFERROR(AVERAGE(IF($B$3:$B$28=$B40,IF($D$3:$D$28=V$31,IF($G$3:$G$28&lt;&gt;"",$G$3:$G$28)))),"")</f>
        <v/>
      </c>
      <c r="W40" s="93" t="str">
        <f t="array" ref="W40">IFERROR(AVERAGE(IF($B$3:$B$28=$B40,IF($D$3:$D$28=W$31,IF($G$3:$G$28&lt;&gt;"",$G$3:$G$28)))),"")</f>
        <v/>
      </c>
      <c r="X40" s="93" t="str">
        <f t="array" ref="X40">IFERROR(AVERAGE(IF($B$3:$B$28=$B40,IF($D$3:$D$28=X$31,IF($G$3:$G$28&lt;&gt;"",$G$3:$G$28)))),"")</f>
        <v/>
      </c>
      <c r="Y40" s="93" t="str">
        <f t="array" ref="Y40">IFERROR(AVERAGE(IF($B$3:$B$28=$B40,IF($D$3:$D$28=Y$31,IF($G$3:$G$28&lt;&gt;"",$G$3:$G$28)))),"")</f>
        <v/>
      </c>
      <c r="Z40" s="93" t="str">
        <f t="array" ref="Z40">IFERROR(AVERAGE(IF($B$3:$B$28=$B40,IF($D$3:$D$28=Z$31,IF($G$3:$G$28&lt;&gt;"",$G$3:$G$28)))),"")</f>
        <v/>
      </c>
      <c r="AA40" s="93" t="str">
        <f t="array" ref="AA40">IFERROR(AVERAGE(IF($B$3:$B$28=$B40,IF($D$3:$D$28=AA$31,IF($G$3:$G$28&lt;&gt;"",$G$3:$G$28)))),"")</f>
        <v/>
      </c>
      <c r="AB40" s="93" t="str">
        <f t="array" ref="AB40">IFERROR(AVERAGE(IF($B$3:$B$28=$B40,IF($D$3:$D$28=AB$31,IF($G$3:$G$28&lt;&gt;"",$G$3:$G$28)))),"")</f>
        <v/>
      </c>
      <c r="AC40" s="93" t="str">
        <f t="array" ref="AC40">IFERROR(AVERAGE(IF($B$3:$B$28=$B40,IF($D$3:$D$28=AC$31,IF($G$3:$G$28&lt;&gt;"",$G$3:$G$28)))),"")</f>
        <v/>
      </c>
      <c r="AD40" s="93" t="str">
        <f t="array" ref="AD40">IFERROR(AVERAGE(IF($B$3:$B$28=$B40,IF($D$3:$D$28=AD$31,IF($G$3:$G$28&lt;&gt;"",$G$3:$G$28)))),"")</f>
        <v/>
      </c>
      <c r="AE40" s="93">
        <f t="array" ref="AE40">IFERROR(AVERAGE(IF($B$3:$B$28=$B40,IF($D$3:$D$28=AE$31,IF($G$3:$G$28&lt;&gt;"",$G$3:$G$28)))),"")</f>
        <v>1232</v>
      </c>
      <c r="AF40" s="93" t="str">
        <f t="array" ref="AF40">IFERROR(AVERAGE(IF($B$3:$B$28=$B40,IF($D$3:$D$28=AF$31,IF($G$3:$G$28&lt;&gt;"",$G$3:$G$28)))),"")</f>
        <v/>
      </c>
    </row>
    <row r="41" spans="1:32" ht="15" customHeight="1" x14ac:dyDescent="0.25">
      <c r="A41" s="38">
        <f t="shared" si="1"/>
        <v>0</v>
      </c>
      <c r="B41" s="48" t="str">
        <f t="array" ref="B41">IFERROR(INDEX($B$3:$B$28, MATCH(0,IF(ISBLANK($B$3:$B$28),1,COUNTIF($B$32:B40, $B$3:$B$28)), 0)),"")</f>
        <v>Uttar Pradesh</v>
      </c>
      <c r="C41" s="49"/>
      <c r="D41" s="49"/>
      <c r="E41" s="49"/>
      <c r="F41" s="49"/>
      <c r="G41" s="58"/>
      <c r="H41" s="93" t="str">
        <f t="array" ref="H41">IFERROR(AVERAGE(IF($B$3:$B$28=$B41,IF($D$3:$D$28=H$31,IF($G$3:$G$28&lt;&gt;"",$G$3:$G$28)))),"")</f>
        <v/>
      </c>
      <c r="I41" s="93" t="str">
        <f t="array" ref="I41">IFERROR(AVERAGE(IF($B$3:$B$28=$B41,IF($D$3:$D$28=I$31,IF($G$3:$G$28&lt;&gt;"",$G$3:$G$28)))),"")</f>
        <v/>
      </c>
      <c r="J41" s="93" t="str">
        <f t="array" ref="J41">IFERROR(AVERAGE(IF($B$3:$B$28=$B41,IF($D$3:$D$28=J$31,IF($G$3:$G$28&lt;&gt;"",$G$3:$G$28)))),"")</f>
        <v/>
      </c>
      <c r="K41" s="93" t="str">
        <f t="array" ref="K41">IFERROR(AVERAGE(IF($B$3:$B$28=$B41,IF($D$3:$D$28=K$31,IF($G$3:$G$28&lt;&gt;"",$G$3:$G$28)))),"")</f>
        <v/>
      </c>
      <c r="L41" s="93" t="str">
        <f t="array" ref="L41">IFERROR(AVERAGE(IF($B$3:$B$28=$B41,IF($D$3:$D$28=L$31,IF($G$3:$G$28&lt;&gt;"",$G$3:$G$28)))),"")</f>
        <v/>
      </c>
      <c r="M41" s="93" t="str">
        <f t="array" ref="M41">IFERROR(AVERAGE(IF($B$3:$B$28=$B41,IF($D$3:$D$28=M$31,IF($G$3:$G$28&lt;&gt;"",$G$3:$G$28)))),"")</f>
        <v/>
      </c>
      <c r="N41" s="93" t="str">
        <f t="array" ref="N41">IFERROR(AVERAGE(IF($B$3:$B$28=$B41,IF($D$3:$D$28=N$31,IF($G$3:$G$28&lt;&gt;"",$G$3:$G$28)))),"")</f>
        <v/>
      </c>
      <c r="O41" s="93" t="str">
        <f t="array" ref="O41">IFERROR(AVERAGE(IF($B$3:$B$28=$B41,IF($D$3:$D$28=O$31,IF($G$3:$G$28&lt;&gt;"",$G$3:$G$28)))),"")</f>
        <v/>
      </c>
      <c r="P41" s="93" t="str">
        <f t="array" ref="P41">IFERROR(AVERAGE(IF($B$3:$B$28=$B41,IF($D$3:$D$28=P$31,IF($G$3:$G$28&lt;&gt;"",$G$3:$G$28)))),"")</f>
        <v/>
      </c>
      <c r="Q41" s="93" t="str">
        <f t="array" ref="Q41">IFERROR(AVERAGE(IF($B$3:$B$28=$B41,IF($D$3:$D$28=Q$31,IF($G$3:$G$28&lt;&gt;"",$G$3:$G$28)))),"")</f>
        <v/>
      </c>
      <c r="R41" s="93" t="str">
        <f t="array" ref="R41">IFERROR(AVERAGE(IF($B$3:$B$28=$B41,IF($D$3:$D$28=R$31,IF($G$3:$G$28&lt;&gt;"",$G$3:$G$28)))),"")</f>
        <v/>
      </c>
      <c r="S41" s="93">
        <f t="array" ref="S41">IFERROR(AVERAGE(IF($B$3:$B$28=$B41,IF($D$3:$D$28=S$31,IF($G$3:$G$28&lt;&gt;"",$G$3:$G$28)))),"")</f>
        <v>1232</v>
      </c>
      <c r="T41" s="93" t="str">
        <f t="array" ref="T41">IFERROR(AVERAGE(IF($B$3:$B$28=$B41,IF($D$3:$D$28=T$31,IF($G$3:$G$28&lt;&gt;"",$G$3:$G$28)))),"")</f>
        <v/>
      </c>
      <c r="U41" s="93" t="str">
        <f t="array" ref="U41">IFERROR(AVERAGE(IF($B$3:$B$28=$B41,IF($D$3:$D$28=U$31,IF($G$3:$G$28&lt;&gt;"",$G$3:$G$28)))),"")</f>
        <v/>
      </c>
      <c r="V41" s="93" t="str">
        <f t="array" ref="V41">IFERROR(AVERAGE(IF($B$3:$B$28=$B41,IF($D$3:$D$28=V$31,IF($G$3:$G$28&lt;&gt;"",$G$3:$G$28)))),"")</f>
        <v/>
      </c>
      <c r="W41" s="93" t="str">
        <f t="array" ref="W41">IFERROR(AVERAGE(IF($B$3:$B$28=$B41,IF($D$3:$D$28=W$31,IF($G$3:$G$28&lt;&gt;"",$G$3:$G$28)))),"")</f>
        <v/>
      </c>
      <c r="X41" s="93" t="str">
        <f t="array" ref="X41">IFERROR(AVERAGE(IF($B$3:$B$28=$B41,IF($D$3:$D$28=X$31,IF($G$3:$G$28&lt;&gt;"",$G$3:$G$28)))),"")</f>
        <v/>
      </c>
      <c r="Y41" s="93" t="str">
        <f t="array" ref="Y41">IFERROR(AVERAGE(IF($B$3:$B$28=$B41,IF($D$3:$D$28=Y$31,IF($G$3:$G$28&lt;&gt;"",$G$3:$G$28)))),"")</f>
        <v/>
      </c>
      <c r="Z41" s="93" t="str">
        <f t="array" ref="Z41">IFERROR(AVERAGE(IF($B$3:$B$28=$B41,IF($D$3:$D$28=Z$31,IF($G$3:$G$28&lt;&gt;"",$G$3:$G$28)))),"")</f>
        <v/>
      </c>
      <c r="AA41" s="93" t="str">
        <f t="array" ref="AA41">IFERROR(AVERAGE(IF($B$3:$B$28=$B41,IF($D$3:$D$28=AA$31,IF($G$3:$G$28&lt;&gt;"",$G$3:$G$28)))),"")</f>
        <v/>
      </c>
      <c r="AB41" s="93" t="str">
        <f t="array" ref="AB41">IFERROR(AVERAGE(IF($B$3:$B$28=$B41,IF($D$3:$D$28=AB$31,IF($G$3:$G$28&lt;&gt;"",$G$3:$G$28)))),"")</f>
        <v/>
      </c>
      <c r="AC41" s="93" t="str">
        <f t="array" ref="AC41">IFERROR(AVERAGE(IF($B$3:$B$28=$B41,IF($D$3:$D$28=AC$31,IF($G$3:$G$28&lt;&gt;"",$G$3:$G$28)))),"")</f>
        <v/>
      </c>
      <c r="AD41" s="93" t="str">
        <f t="array" ref="AD41">IFERROR(AVERAGE(IF($B$3:$B$28=$B41,IF($D$3:$D$28=AD$31,IF($G$3:$G$28&lt;&gt;"",$G$3:$G$28)))),"")</f>
        <v/>
      </c>
      <c r="AE41" s="93" t="str">
        <f t="array" ref="AE41">IFERROR(AVERAGE(IF($B$3:$B$28=$B41,IF($D$3:$D$28=AE$31,IF($G$3:$G$28&lt;&gt;"",$G$3:$G$28)))),"")</f>
        <v/>
      </c>
      <c r="AF41" s="93" t="str">
        <f t="array" ref="AF41">IFERROR(AVERAGE(IF($B$3:$B$28=$B41,IF($D$3:$D$28=AF$31,IF($G$3:$G$28&lt;&gt;"",$G$3:$G$28)))),"")</f>
        <v/>
      </c>
    </row>
    <row r="42" spans="1:32" ht="15" customHeight="1" x14ac:dyDescent="0.25">
      <c r="A42" s="38">
        <f t="shared" si="1"/>
        <v>0</v>
      </c>
      <c r="B42" s="48" t="str">
        <f t="array" ref="B42">IFERROR(INDEX($B$3:$B$28, MATCH(0,IF(ISBLANK($B$3:$B$28),1,COUNTIF($B$32:B41, $B$3:$B$28)), 0)),"")</f>
        <v>Sikkim</v>
      </c>
      <c r="C42" s="49"/>
      <c r="D42" s="49"/>
      <c r="E42" s="49"/>
      <c r="F42" s="49"/>
      <c r="G42" s="58"/>
      <c r="H42" s="93" t="str">
        <f t="array" ref="H42">IFERROR(AVERAGE(IF($B$3:$B$28=$B42,IF($D$3:$D$28=H$31,IF($G$3:$G$28&lt;&gt;"",$G$3:$G$28)))),"")</f>
        <v/>
      </c>
      <c r="I42" s="93" t="str">
        <f t="array" ref="I42">IFERROR(AVERAGE(IF($B$3:$B$28=$B42,IF($D$3:$D$28=I$31,IF($G$3:$G$28&lt;&gt;"",$G$3:$G$28)))),"")</f>
        <v/>
      </c>
      <c r="J42" s="93" t="str">
        <f t="array" ref="J42">IFERROR(AVERAGE(IF($B$3:$B$28=$B42,IF($D$3:$D$28=J$31,IF($G$3:$G$28&lt;&gt;"",$G$3:$G$28)))),"")</f>
        <v/>
      </c>
      <c r="K42" s="93" t="str">
        <f t="array" ref="K42">IFERROR(AVERAGE(IF($B$3:$B$28=$B42,IF($D$3:$D$28=K$31,IF($G$3:$G$28&lt;&gt;"",$G$3:$G$28)))),"")</f>
        <v/>
      </c>
      <c r="L42" s="93" t="str">
        <f t="array" ref="L42">IFERROR(AVERAGE(IF($B$3:$B$28=$B42,IF($D$3:$D$28=L$31,IF($G$3:$G$28&lt;&gt;"",$G$3:$G$28)))),"")</f>
        <v/>
      </c>
      <c r="M42" s="93" t="str">
        <f t="array" ref="M42">IFERROR(AVERAGE(IF($B$3:$B$28=$B42,IF($D$3:$D$28=M$31,IF($G$3:$G$28&lt;&gt;"",$G$3:$G$28)))),"")</f>
        <v/>
      </c>
      <c r="N42" s="93" t="str">
        <f t="array" ref="N42">IFERROR(AVERAGE(IF($B$3:$B$28=$B42,IF($D$3:$D$28=N$31,IF($G$3:$G$28&lt;&gt;"",$G$3:$G$28)))),"")</f>
        <v/>
      </c>
      <c r="O42" s="93" t="str">
        <f t="array" ref="O42">IFERROR(AVERAGE(IF($B$3:$B$28=$B42,IF($D$3:$D$28=O$31,IF($G$3:$G$28&lt;&gt;"",$G$3:$G$28)))),"")</f>
        <v/>
      </c>
      <c r="P42" s="93" t="str">
        <f t="array" ref="P42">IFERROR(AVERAGE(IF($B$3:$B$28=$B42,IF($D$3:$D$28=P$31,IF($G$3:$G$28&lt;&gt;"",$G$3:$G$28)))),"")</f>
        <v/>
      </c>
      <c r="Q42" s="93" t="str">
        <f t="array" ref="Q42">IFERROR(AVERAGE(IF($B$3:$B$28=$B42,IF($D$3:$D$28=Q$31,IF($G$3:$G$28&lt;&gt;"",$G$3:$G$28)))),"")</f>
        <v/>
      </c>
      <c r="R42" s="93" t="str">
        <f t="array" ref="R42">IFERROR(AVERAGE(IF($B$3:$B$28=$B42,IF($D$3:$D$28=R$31,IF($G$3:$G$28&lt;&gt;"",$G$3:$G$28)))),"")</f>
        <v/>
      </c>
      <c r="S42" s="93" t="str">
        <f t="array" ref="S42">IFERROR(AVERAGE(IF($B$3:$B$28=$B42,IF($D$3:$D$28=S$31,IF($G$3:$G$28&lt;&gt;"",$G$3:$G$28)))),"")</f>
        <v/>
      </c>
      <c r="T42" s="93">
        <f t="array" ref="T42">IFERROR(AVERAGE(IF($B$3:$B$28=$B42,IF($D$3:$D$28=T$31,IF($G$3:$G$28&lt;&gt;"",$G$3:$G$28)))),"")</f>
        <v>3221</v>
      </c>
      <c r="U42" s="93" t="str">
        <f t="array" ref="U42">IFERROR(AVERAGE(IF($B$3:$B$28=$B42,IF($D$3:$D$28=U$31,IF($G$3:$G$28&lt;&gt;"",$G$3:$G$28)))),"")</f>
        <v/>
      </c>
      <c r="V42" s="93" t="str">
        <f t="array" ref="V42">IFERROR(AVERAGE(IF($B$3:$B$28=$B42,IF($D$3:$D$28=V$31,IF($G$3:$G$28&lt;&gt;"",$G$3:$G$28)))),"")</f>
        <v/>
      </c>
      <c r="W42" s="93" t="str">
        <f t="array" ref="W42">IFERROR(AVERAGE(IF($B$3:$B$28=$B42,IF($D$3:$D$28=W$31,IF($G$3:$G$28&lt;&gt;"",$G$3:$G$28)))),"")</f>
        <v/>
      </c>
      <c r="X42" s="93" t="str">
        <f t="array" ref="X42">IFERROR(AVERAGE(IF($B$3:$B$28=$B42,IF($D$3:$D$28=X$31,IF($G$3:$G$28&lt;&gt;"",$G$3:$G$28)))),"")</f>
        <v/>
      </c>
      <c r="Y42" s="93" t="str">
        <f t="array" ref="Y42">IFERROR(AVERAGE(IF($B$3:$B$28=$B42,IF($D$3:$D$28=Y$31,IF($G$3:$G$28&lt;&gt;"",$G$3:$G$28)))),"")</f>
        <v/>
      </c>
      <c r="Z42" s="93" t="str">
        <f t="array" ref="Z42">IFERROR(AVERAGE(IF($B$3:$B$28=$B42,IF($D$3:$D$28=Z$31,IF($G$3:$G$28&lt;&gt;"",$G$3:$G$28)))),"")</f>
        <v/>
      </c>
      <c r="AA42" s="93" t="str">
        <f t="array" ref="AA42">IFERROR(AVERAGE(IF($B$3:$B$28=$B42,IF($D$3:$D$28=AA$31,IF($G$3:$G$28&lt;&gt;"",$G$3:$G$28)))),"")</f>
        <v/>
      </c>
      <c r="AB42" s="93" t="str">
        <f t="array" ref="AB42">IFERROR(AVERAGE(IF($B$3:$B$28=$B42,IF($D$3:$D$28=AB$31,IF($G$3:$G$28&lt;&gt;"",$G$3:$G$28)))),"")</f>
        <v/>
      </c>
      <c r="AC42" s="93" t="str">
        <f t="array" ref="AC42">IFERROR(AVERAGE(IF($B$3:$B$28=$B42,IF($D$3:$D$28=AC$31,IF($G$3:$G$28&lt;&gt;"",$G$3:$G$28)))),"")</f>
        <v/>
      </c>
      <c r="AD42" s="93" t="str">
        <f t="array" ref="AD42">IFERROR(AVERAGE(IF($B$3:$B$28=$B42,IF($D$3:$D$28=AD$31,IF($G$3:$G$28&lt;&gt;"",$G$3:$G$28)))),"")</f>
        <v/>
      </c>
      <c r="AE42" s="93" t="str">
        <f t="array" ref="AE42">IFERROR(AVERAGE(IF($B$3:$B$28=$B42,IF($D$3:$D$28=AE$31,IF($G$3:$G$28&lt;&gt;"",$G$3:$G$28)))),"")</f>
        <v/>
      </c>
      <c r="AF42" s="93" t="str">
        <f t="array" ref="AF42">IFERROR(AVERAGE(IF($B$3:$B$28=$B42,IF($D$3:$D$28=AF$31,IF($G$3:$G$28&lt;&gt;"",$G$3:$G$28)))),"")</f>
        <v/>
      </c>
    </row>
    <row r="43" spans="1:32" ht="9" customHeight="1" x14ac:dyDescent="0.25">
      <c r="H43" s="94"/>
      <c r="I43" s="94"/>
      <c r="J43" s="94"/>
      <c r="K43" s="94"/>
      <c r="L43" s="94"/>
      <c r="M43" s="94"/>
      <c r="N43" s="94"/>
      <c r="O43" s="94"/>
      <c r="P43" s="94"/>
      <c r="Q43" s="94"/>
      <c r="R43" s="94"/>
      <c r="S43" s="94"/>
      <c r="T43" s="94"/>
      <c r="U43" s="94"/>
      <c r="V43" s="94"/>
      <c r="W43" s="94"/>
      <c r="X43" s="94"/>
      <c r="Y43" s="94"/>
      <c r="Z43" s="94"/>
      <c r="AA43" s="94"/>
      <c r="AB43" s="94"/>
      <c r="AC43" s="94"/>
      <c r="AD43" s="94"/>
      <c r="AE43" s="94"/>
      <c r="AF43" s="94"/>
    </row>
    <row r="44" spans="1:32" ht="9" customHeight="1" x14ac:dyDescent="0.25">
      <c r="A44" s="38" t="s">
        <v>545</v>
      </c>
      <c r="H44" s="94"/>
      <c r="I44" s="94"/>
      <c r="J44" s="94"/>
      <c r="K44" s="94"/>
      <c r="L44" s="94"/>
      <c r="M44" s="94"/>
      <c r="N44" s="94"/>
      <c r="O44" s="94"/>
      <c r="P44" s="94"/>
      <c r="Q44" s="94"/>
      <c r="R44" s="94"/>
      <c r="S44" s="94"/>
      <c r="T44" s="94"/>
      <c r="U44" s="94"/>
      <c r="V44" s="94"/>
      <c r="W44" s="94"/>
      <c r="X44" s="94"/>
      <c r="Y44" s="94"/>
      <c r="Z44" s="94"/>
      <c r="AA44" s="94"/>
      <c r="AB44" s="94"/>
      <c r="AC44" s="94"/>
      <c r="AD44" s="94"/>
      <c r="AE44" s="94"/>
      <c r="AF44" s="94"/>
    </row>
    <row r="45" spans="1:32" ht="15" hidden="1" customHeight="1" x14ac:dyDescent="0.25">
      <c r="H45" s="96">
        <f t="shared" ref="H45:AF45" si="2">H31</f>
        <v>44012</v>
      </c>
      <c r="I45" s="96">
        <f t="shared" si="2"/>
        <v>43982</v>
      </c>
      <c r="J45" s="96">
        <f t="shared" si="2"/>
        <v>43951</v>
      </c>
      <c r="K45" s="96">
        <f t="shared" si="2"/>
        <v>43921</v>
      </c>
      <c r="L45" s="96">
        <f t="shared" si="2"/>
        <v>43889</v>
      </c>
      <c r="M45" s="96">
        <f t="shared" si="2"/>
        <v>43861</v>
      </c>
      <c r="N45" s="96">
        <f t="shared" si="2"/>
        <v>43830</v>
      </c>
      <c r="O45" s="96">
        <f t="shared" si="2"/>
        <v>43799</v>
      </c>
      <c r="P45" s="96">
        <f t="shared" si="2"/>
        <v>43769</v>
      </c>
      <c r="Q45" s="96">
        <f t="shared" si="2"/>
        <v>43738</v>
      </c>
      <c r="R45" s="96">
        <f t="shared" si="2"/>
        <v>43708</v>
      </c>
      <c r="S45" s="96">
        <f t="shared" si="2"/>
        <v>43677</v>
      </c>
      <c r="T45" s="96">
        <f t="shared" si="2"/>
        <v>43646</v>
      </c>
      <c r="U45" s="96">
        <f t="shared" si="2"/>
        <v>43616</v>
      </c>
      <c r="V45" s="96">
        <f t="shared" si="2"/>
        <v>43585</v>
      </c>
      <c r="W45" s="96">
        <f t="shared" si="2"/>
        <v>43555</v>
      </c>
      <c r="X45" s="96">
        <f t="shared" si="2"/>
        <v>43524</v>
      </c>
      <c r="Y45" s="96">
        <f t="shared" si="2"/>
        <v>43496</v>
      </c>
      <c r="Z45" s="96">
        <f t="shared" si="2"/>
        <v>43465</v>
      </c>
      <c r="AA45" s="96">
        <f t="shared" si="2"/>
        <v>43434</v>
      </c>
      <c r="AB45" s="96">
        <f t="shared" si="2"/>
        <v>43404</v>
      </c>
      <c r="AC45" s="96">
        <f t="shared" si="2"/>
        <v>43373</v>
      </c>
      <c r="AD45" s="96">
        <f t="shared" si="2"/>
        <v>43343</v>
      </c>
      <c r="AE45" s="96">
        <f t="shared" si="2"/>
        <v>43312</v>
      </c>
      <c r="AF45" s="96">
        <f t="shared" si="2"/>
        <v>43281</v>
      </c>
    </row>
    <row r="46" spans="1:32" ht="20.25" customHeight="1" x14ac:dyDescent="0.25">
      <c r="B46" s="55" t="s">
        <v>587</v>
      </c>
      <c r="C46" s="56"/>
      <c r="D46" s="56"/>
      <c r="E46" s="56"/>
      <c r="F46" s="56"/>
      <c r="G46" s="57"/>
      <c r="H46" s="95">
        <f t="shared" ref="H46:AF46" si="3">IFERROR(MAX(H33:H44),0)</f>
        <v>2654</v>
      </c>
      <c r="I46" s="95">
        <f t="shared" si="3"/>
        <v>1173</v>
      </c>
      <c r="J46" s="95">
        <f t="shared" si="3"/>
        <v>1098</v>
      </c>
      <c r="K46" s="95">
        <f t="shared" si="3"/>
        <v>986</v>
      </c>
      <c r="L46" s="95">
        <f t="shared" si="3"/>
        <v>1212</v>
      </c>
      <c r="M46" s="95">
        <f t="shared" si="3"/>
        <v>1993</v>
      </c>
      <c r="N46" s="95">
        <f t="shared" si="3"/>
        <v>2323</v>
      </c>
      <c r="O46" s="95">
        <f t="shared" si="3"/>
        <v>2566</v>
      </c>
      <c r="P46" s="95">
        <f t="shared" si="3"/>
        <v>2577</v>
      </c>
      <c r="Q46" s="95">
        <f t="shared" si="3"/>
        <v>2756</v>
      </c>
      <c r="R46" s="95">
        <f t="shared" si="3"/>
        <v>2677</v>
      </c>
      <c r="S46" s="95">
        <f t="shared" si="3"/>
        <v>1232</v>
      </c>
      <c r="T46" s="95">
        <f t="shared" si="3"/>
        <v>3221</v>
      </c>
      <c r="U46" s="95">
        <f t="shared" si="3"/>
        <v>1173</v>
      </c>
      <c r="V46" s="95">
        <f t="shared" si="3"/>
        <v>1098</v>
      </c>
      <c r="W46" s="95">
        <f t="shared" si="3"/>
        <v>986</v>
      </c>
      <c r="X46" s="95">
        <f t="shared" si="3"/>
        <v>1212</v>
      </c>
      <c r="Y46" s="95">
        <f t="shared" si="3"/>
        <v>1993</v>
      </c>
      <c r="Z46" s="95">
        <f t="shared" si="3"/>
        <v>2323</v>
      </c>
      <c r="AA46" s="95">
        <f t="shared" si="3"/>
        <v>2566</v>
      </c>
      <c r="AB46" s="95">
        <f t="shared" si="3"/>
        <v>2577</v>
      </c>
      <c r="AC46" s="95">
        <f t="shared" si="3"/>
        <v>2756</v>
      </c>
      <c r="AD46" s="95">
        <f t="shared" si="3"/>
        <v>2677</v>
      </c>
      <c r="AE46" s="95">
        <f t="shared" si="3"/>
        <v>1232</v>
      </c>
      <c r="AF46" s="95">
        <f t="shared" si="3"/>
        <v>3221</v>
      </c>
    </row>
    <row r="47" spans="1:32" ht="24.75" customHeight="1" x14ac:dyDescent="0.25"/>
    <row r="48" spans="1:32" ht="28.5" hidden="1" customHeight="1" x14ac:dyDescent="0.25">
      <c r="A48" s="38">
        <v>10</v>
      </c>
      <c r="B48" s="50" t="s">
        <v>579</v>
      </c>
      <c r="C48" s="50"/>
      <c r="D48" s="50"/>
      <c r="E48" s="67"/>
      <c r="F48" s="67"/>
    </row>
    <row r="49" spans="1:6" ht="15" hidden="1" customHeight="1" x14ac:dyDescent="0.25">
      <c r="A49" s="37">
        <f>IFERROR(IF(D49="",1,0),1)</f>
        <v>0</v>
      </c>
      <c r="B49" s="52">
        <f>INDEX(DatesVOC,1,E49)</f>
        <v>44012</v>
      </c>
      <c r="C49" s="52">
        <f t="shared" ref="C49" si="4">B49</f>
        <v>44012</v>
      </c>
      <c r="D49" s="53">
        <f t="array" ref="D49">HLOOKUP(B49,ReadingTableVOC,2,FALSE)</f>
        <v>2654</v>
      </c>
      <c r="E49" s="68">
        <f>IF(E48="",8,E48+1)</f>
        <v>8</v>
      </c>
      <c r="F49" s="68"/>
    </row>
    <row r="50" spans="1:6" hidden="1" x14ac:dyDescent="0.25"/>
    <row r="51" spans="1:6" hidden="1" x14ac:dyDescent="0.25">
      <c r="B51" s="51" t="s">
        <v>577</v>
      </c>
      <c r="C51" s="51"/>
    </row>
    <row r="52" spans="1:6" hidden="1" x14ac:dyDescent="0.25">
      <c r="B52" s="54">
        <f t="array" ref="B52">SUM(IF($D$3:$D$28&lt;&gt;"",1/COUNTIF($D$3:$D$28, $D$3:$D$28), 0))</f>
        <v>25</v>
      </c>
      <c r="C52" s="54">
        <f t="array" ref="C52">SUM(IF($B$3:$B$28&lt;&gt;"",1/COUNTIF($B$3:$B$28, $B$3:$B$28), 0))</f>
        <v>10</v>
      </c>
    </row>
    <row r="53" spans="1:6" hidden="1" x14ac:dyDescent="0.25"/>
  </sheetData>
  <sheetProtection algorithmName="SHA-512" hashValue="DIxI+apkjRtX/VNzfq2koHHLhnfKDFxbCa6iVnMsDyA61Qr0CmKNLhN0sZWSMRREcKZ/MLndy+51hQG4XkMM1w==" saltValue="YEQGeX8I1pALQiZmb1Pjhw==" spinCount="100000" sheet="1" objects="1" scenarios="1"/>
  <autoFilter ref="B2:G4" xr:uid="{00000000-0009-0000-0000-000008000000}"/>
  <mergeCells count="1">
    <mergeCell ref="B30:B32"/>
  </mergeCells>
  <dataValidations count="3">
    <dataValidation type="date" allowBlank="1" showInputMessage="1" showErrorMessage="1" error="Please enter a valid date in mm/dd/yyyy format." sqref="D3:D27" xr:uid="{00000000-0002-0000-0800-000000000000}">
      <formula1>1</formula1>
      <formula2>2958464</formula2>
    </dataValidation>
    <dataValidation type="time" allowBlank="1" showInputMessage="1" showErrorMessage="1" error=" Please enter a valid time  in hr:mm format." sqref="E3:E27" xr:uid="{00000000-0002-0000-0800-000001000000}">
      <formula1>0</formula1>
      <formula2>0.999988425925926</formula2>
    </dataValidation>
    <dataValidation type="time" allowBlank="1" showInputMessage="1" showErrorMessage="1" error="Please enter a valid time in hr:mm format." sqref="F3:F27"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28</xdr:row>
                    <xdr:rowOff>190500</xdr:rowOff>
                  </from>
                  <to>
                    <xdr:col>2</xdr:col>
                    <xdr:colOff>885825</xdr:colOff>
                    <xdr:row>28</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27</xdr:row>
                    <xdr:rowOff>114300</xdr:rowOff>
                  </from>
                  <to>
                    <xdr:col>2</xdr:col>
                    <xdr:colOff>114300</xdr:colOff>
                    <xdr:row>27</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27</xdr:row>
                    <xdr:rowOff>133350</xdr:rowOff>
                  </from>
                  <to>
                    <xdr:col>3</xdr:col>
                    <xdr:colOff>600075</xdr:colOff>
                    <xdr:row>27</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27</xdr:row>
                    <xdr:rowOff>133350</xdr:rowOff>
                  </from>
                  <to>
                    <xdr:col>4</xdr:col>
                    <xdr:colOff>885825</xdr:colOff>
                    <xdr:row>27</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38"/>
  <sheetViews>
    <sheetView zoomScaleNormal="100" workbookViewId="0">
      <pane xSplit="1" ySplit="6" topLeftCell="B12" activePane="bottomRight" state="frozen"/>
      <selection activeCell="D28" sqref="C28:D32"/>
      <selection pane="topRight" activeCell="D28" sqref="C28:D32"/>
      <selection pane="bottomLeft" activeCell="D28" sqref="C28:D32"/>
      <selection pane="bottomRight" activeCell="B7" sqref="B7:E31"/>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6" x14ac:dyDescent="0.25">
      <c r="A1" s="4" t="s">
        <v>589</v>
      </c>
      <c r="B1" s="1"/>
      <c r="C1" s="1"/>
      <c r="D1" s="1"/>
      <c r="E1" s="1"/>
      <c r="F1" s="1"/>
    </row>
    <row r="2" spans="1:6" x14ac:dyDescent="0.25">
      <c r="A2" s="4" t="s">
        <v>589</v>
      </c>
      <c r="B2" s="241" t="s">
        <v>563</v>
      </c>
      <c r="C2" s="246"/>
      <c r="D2" s="242"/>
      <c r="E2" s="33" t="s">
        <v>568</v>
      </c>
      <c r="F2" s="1"/>
    </row>
    <row r="3" spans="1:6" ht="15" customHeight="1" x14ac:dyDescent="0.25">
      <c r="A3" s="4" t="s">
        <v>589</v>
      </c>
      <c r="B3" s="239" t="s">
        <v>673</v>
      </c>
      <c r="C3" s="247"/>
      <c r="D3" s="240"/>
      <c r="E3" s="33" t="s">
        <v>555</v>
      </c>
      <c r="F3" s="1"/>
    </row>
    <row r="4" spans="1:6" ht="14.25" customHeight="1" x14ac:dyDescent="0.25">
      <c r="A4" s="4" t="s">
        <v>589</v>
      </c>
      <c r="B4" s="17" t="s">
        <v>564</v>
      </c>
      <c r="C4" s="18"/>
      <c r="D4" s="19"/>
      <c r="E4" s="20" t="s">
        <v>559</v>
      </c>
      <c r="F4" s="1"/>
    </row>
    <row r="5" spans="1:6" x14ac:dyDescent="0.25">
      <c r="A5" s="4" t="s">
        <v>589</v>
      </c>
      <c r="B5" s="1"/>
      <c r="C5" s="1"/>
      <c r="D5" s="1"/>
      <c r="E5" s="1"/>
      <c r="F5" s="1"/>
    </row>
    <row r="6" spans="1:6" ht="25.5" x14ac:dyDescent="0.25">
      <c r="A6" s="4">
        <v>34</v>
      </c>
      <c r="B6" s="3" t="s">
        <v>543</v>
      </c>
      <c r="C6" s="3" t="s">
        <v>544</v>
      </c>
      <c r="D6" s="3" t="str">
        <f>CONCATENATE("Total Waste 
","(",E4,")")</f>
        <v>Total Waste 
(lbs)</v>
      </c>
      <c r="E6" s="3" t="str">
        <f>CONCATENATE("Diverted 
","(",E4,")")</f>
        <v>Diverted 
(lbs)</v>
      </c>
      <c r="F6" s="1"/>
    </row>
    <row r="7" spans="1:6" x14ac:dyDescent="0.25">
      <c r="A7" s="4"/>
      <c r="B7" s="35">
        <v>43983</v>
      </c>
      <c r="C7" s="35">
        <v>44012</v>
      </c>
      <c r="D7" s="21">
        <v>2222</v>
      </c>
      <c r="E7" s="21">
        <v>1000</v>
      </c>
      <c r="F7" s="1"/>
    </row>
    <row r="8" spans="1:6" x14ac:dyDescent="0.25">
      <c r="A8" s="4"/>
      <c r="B8" s="35">
        <v>43952</v>
      </c>
      <c r="C8" s="35">
        <v>43982</v>
      </c>
      <c r="D8" s="21">
        <v>1927</v>
      </c>
      <c r="E8" s="21">
        <v>999</v>
      </c>
      <c r="F8" s="1"/>
    </row>
    <row r="9" spans="1:6" x14ac:dyDescent="0.25">
      <c r="A9" s="4"/>
      <c r="B9" s="35">
        <v>43922</v>
      </c>
      <c r="C9" s="35">
        <v>43951</v>
      </c>
      <c r="D9" s="21">
        <v>2200</v>
      </c>
      <c r="E9" s="21">
        <v>1109</v>
      </c>
      <c r="F9" s="1"/>
    </row>
    <row r="10" spans="1:6" x14ac:dyDescent="0.25">
      <c r="A10" s="4"/>
      <c r="B10" s="35">
        <v>43891</v>
      </c>
      <c r="C10" s="35">
        <v>43921</v>
      </c>
      <c r="D10" s="21">
        <v>1782</v>
      </c>
      <c r="E10" s="21">
        <v>543</v>
      </c>
      <c r="F10" s="1"/>
    </row>
    <row r="11" spans="1:6" x14ac:dyDescent="0.25">
      <c r="A11" s="4"/>
      <c r="B11" s="35">
        <v>43862</v>
      </c>
      <c r="C11" s="35">
        <v>43889</v>
      </c>
      <c r="D11" s="21">
        <v>2655</v>
      </c>
      <c r="E11" s="21">
        <v>782.1</v>
      </c>
      <c r="F11" s="1"/>
    </row>
    <row r="12" spans="1:6" x14ac:dyDescent="0.25">
      <c r="A12" s="4"/>
      <c r="B12" s="35">
        <v>43831</v>
      </c>
      <c r="C12" s="35">
        <v>43861</v>
      </c>
      <c r="D12" s="21">
        <v>1987</v>
      </c>
      <c r="E12" s="21">
        <v>908</v>
      </c>
      <c r="F12" s="1"/>
    </row>
    <row r="13" spans="1:6" x14ac:dyDescent="0.25">
      <c r="A13" s="4"/>
      <c r="B13" s="35">
        <v>43800</v>
      </c>
      <c r="C13" s="35">
        <v>43830</v>
      </c>
      <c r="D13" s="21">
        <v>2800</v>
      </c>
      <c r="E13" s="21">
        <v>2000</v>
      </c>
      <c r="F13" s="1"/>
    </row>
    <row r="14" spans="1:6" x14ac:dyDescent="0.25">
      <c r="A14" s="4"/>
      <c r="B14" s="35">
        <v>43770</v>
      </c>
      <c r="C14" s="35">
        <v>43799</v>
      </c>
      <c r="D14" s="21">
        <v>1545</v>
      </c>
      <c r="E14" s="21">
        <v>700</v>
      </c>
      <c r="F14" s="1"/>
    </row>
    <row r="15" spans="1:6" x14ac:dyDescent="0.25">
      <c r="A15" s="4"/>
      <c r="B15" s="35">
        <v>43739</v>
      </c>
      <c r="C15" s="35">
        <v>43769</v>
      </c>
      <c r="D15" s="21">
        <v>1777</v>
      </c>
      <c r="E15" s="21">
        <v>1123.22</v>
      </c>
      <c r="F15" s="1"/>
    </row>
    <row r="16" spans="1:6" x14ac:dyDescent="0.25">
      <c r="A16" s="4"/>
      <c r="B16" s="35">
        <v>43709</v>
      </c>
      <c r="C16" s="35">
        <v>43738</v>
      </c>
      <c r="D16" s="21">
        <v>1050</v>
      </c>
      <c r="E16" s="21">
        <v>680</v>
      </c>
      <c r="F16" s="1"/>
    </row>
    <row r="17" spans="1:6" x14ac:dyDescent="0.25">
      <c r="A17" s="4"/>
      <c r="B17" s="35">
        <v>43678</v>
      </c>
      <c r="C17" s="35">
        <v>43708</v>
      </c>
      <c r="D17" s="21">
        <v>1900</v>
      </c>
      <c r="E17" s="21">
        <v>800</v>
      </c>
      <c r="F17" s="1"/>
    </row>
    <row r="18" spans="1:6" x14ac:dyDescent="0.25">
      <c r="A18" s="4"/>
      <c r="B18" s="35">
        <v>43647</v>
      </c>
      <c r="C18" s="35">
        <v>43677</v>
      </c>
      <c r="D18" s="21">
        <v>2323</v>
      </c>
      <c r="E18" s="21">
        <v>1500.08</v>
      </c>
      <c r="F18" s="1"/>
    </row>
    <row r="19" spans="1:6" x14ac:dyDescent="0.25">
      <c r="A19" s="4"/>
      <c r="B19" s="35">
        <v>43617</v>
      </c>
      <c r="C19" s="35">
        <v>43646</v>
      </c>
      <c r="D19" s="21">
        <v>1978</v>
      </c>
      <c r="E19" s="21">
        <v>978</v>
      </c>
      <c r="F19" s="1"/>
    </row>
    <row r="20" spans="1:6" x14ac:dyDescent="0.25">
      <c r="A20" s="4"/>
      <c r="B20" s="35">
        <v>43586</v>
      </c>
      <c r="C20" s="35">
        <v>43616</v>
      </c>
      <c r="D20" s="21">
        <v>1927</v>
      </c>
      <c r="E20" s="21">
        <v>999</v>
      </c>
      <c r="F20" s="1"/>
    </row>
    <row r="21" spans="1:6" x14ac:dyDescent="0.25">
      <c r="A21" s="4"/>
      <c r="B21" s="35">
        <v>43556</v>
      </c>
      <c r="C21" s="35">
        <v>43585</v>
      </c>
      <c r="D21" s="21">
        <v>2200</v>
      </c>
      <c r="E21" s="21">
        <v>1109</v>
      </c>
      <c r="F21" s="1"/>
    </row>
    <row r="22" spans="1:6" x14ac:dyDescent="0.25">
      <c r="A22" s="4"/>
      <c r="B22" s="35">
        <v>43525</v>
      </c>
      <c r="C22" s="35">
        <v>43555</v>
      </c>
      <c r="D22" s="21">
        <v>1782</v>
      </c>
      <c r="E22" s="21">
        <v>543</v>
      </c>
      <c r="F22" s="1"/>
    </row>
    <row r="23" spans="1:6" x14ac:dyDescent="0.25">
      <c r="A23" s="4"/>
      <c r="B23" s="35">
        <v>43497</v>
      </c>
      <c r="C23" s="35">
        <v>43524</v>
      </c>
      <c r="D23" s="21">
        <v>2655</v>
      </c>
      <c r="E23" s="21">
        <v>782.1</v>
      </c>
      <c r="F23" s="1"/>
    </row>
    <row r="24" spans="1:6" x14ac:dyDescent="0.25">
      <c r="A24" s="4"/>
      <c r="B24" s="35">
        <v>43466</v>
      </c>
      <c r="C24" s="35">
        <v>43496</v>
      </c>
      <c r="D24" s="21">
        <v>1987</v>
      </c>
      <c r="E24" s="21">
        <v>908</v>
      </c>
      <c r="F24" s="1"/>
    </row>
    <row r="25" spans="1:6" x14ac:dyDescent="0.25">
      <c r="A25" s="4"/>
      <c r="B25" s="35">
        <v>43435</v>
      </c>
      <c r="C25" s="35">
        <v>43465</v>
      </c>
      <c r="D25" s="21">
        <v>2800</v>
      </c>
      <c r="E25" s="21">
        <v>2000</v>
      </c>
      <c r="F25" s="1"/>
    </row>
    <row r="26" spans="1:6" x14ac:dyDescent="0.25">
      <c r="A26" s="4"/>
      <c r="B26" s="35">
        <v>43405</v>
      </c>
      <c r="C26" s="35">
        <v>43434</v>
      </c>
      <c r="D26" s="21">
        <v>1545</v>
      </c>
      <c r="E26" s="21">
        <v>700</v>
      </c>
      <c r="F26" s="1"/>
    </row>
    <row r="27" spans="1:6" x14ac:dyDescent="0.25">
      <c r="A27" s="4"/>
      <c r="B27" s="35">
        <v>43374</v>
      </c>
      <c r="C27" s="35">
        <v>43404</v>
      </c>
      <c r="D27" s="21">
        <v>1777</v>
      </c>
      <c r="E27" s="21">
        <v>1123.22</v>
      </c>
      <c r="F27" s="1"/>
    </row>
    <row r="28" spans="1:6" x14ac:dyDescent="0.25">
      <c r="A28" s="4"/>
      <c r="B28" s="35">
        <v>43344</v>
      </c>
      <c r="C28" s="35">
        <v>43373</v>
      </c>
      <c r="D28" s="21">
        <v>1050</v>
      </c>
      <c r="E28" s="21">
        <v>680</v>
      </c>
      <c r="F28" s="1"/>
    </row>
    <row r="29" spans="1:6" x14ac:dyDescent="0.25">
      <c r="A29" s="4"/>
      <c r="B29" s="35">
        <v>43313</v>
      </c>
      <c r="C29" s="35">
        <v>43343</v>
      </c>
      <c r="D29" s="21">
        <v>1900</v>
      </c>
      <c r="E29" s="21">
        <v>800</v>
      </c>
      <c r="F29" s="1"/>
    </row>
    <row r="30" spans="1:6" x14ac:dyDescent="0.25">
      <c r="A30" s="4"/>
      <c r="B30" s="35">
        <v>43282</v>
      </c>
      <c r="C30" s="35">
        <v>43312</v>
      </c>
      <c r="D30" s="21">
        <v>2323</v>
      </c>
      <c r="E30" s="21">
        <v>1500.08</v>
      </c>
      <c r="F30" s="1"/>
    </row>
    <row r="31" spans="1:6" x14ac:dyDescent="0.25">
      <c r="A31" s="4"/>
      <c r="B31" s="35">
        <v>43252</v>
      </c>
      <c r="C31" s="35">
        <v>43281</v>
      </c>
      <c r="D31" s="21">
        <v>1978</v>
      </c>
      <c r="E31" s="21">
        <v>978</v>
      </c>
      <c r="F31" s="1"/>
    </row>
    <row r="32" spans="1:6" x14ac:dyDescent="0.25">
      <c r="A32" s="4"/>
      <c r="B32" s="23"/>
      <c r="C32" s="23"/>
      <c r="D32" s="26"/>
      <c r="E32" s="27"/>
      <c r="F32" s="1"/>
    </row>
    <row r="33" spans="1:9" hidden="1" x14ac:dyDescent="0.25">
      <c r="A33" s="5">
        <v>0</v>
      </c>
      <c r="B33" s="25"/>
      <c r="C33" s="25"/>
      <c r="D33" s="28"/>
      <c r="E33" s="29"/>
      <c r="F33" s="1"/>
    </row>
    <row r="34" spans="1:9" ht="25.5" customHeight="1" x14ac:dyDescent="0.25">
      <c r="A34" s="4" t="s">
        <v>545</v>
      </c>
      <c r="B34" s="24"/>
      <c r="C34" s="24"/>
      <c r="D34" s="24"/>
      <c r="E34" s="30"/>
      <c r="F34" s="1"/>
    </row>
    <row r="36" spans="1:9" x14ac:dyDescent="0.25">
      <c r="I36" s="2" t="s">
        <v>559</v>
      </c>
    </row>
    <row r="37" spans="1:9" x14ac:dyDescent="0.25">
      <c r="I37" s="2" t="s">
        <v>554</v>
      </c>
    </row>
    <row r="38" spans="1:9" x14ac:dyDescent="0.25">
      <c r="I38" s="2" t="s">
        <v>539</v>
      </c>
    </row>
  </sheetData>
  <sheetProtection algorithmName="SHA-512" hashValue="G5nsn2Ggt/lC0wpG4zfAKK4unZ/KbYz9gDVA5GbkmiKdYNYJSgyL1ZBsJSzOE2gmnGpuz2TjLcOSeMNuMVaDaQ==" saltValue="cn4rcLiJXVp1a3PpWsdBNA=="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32:D34" xr:uid="{00000000-0002-0000-0900-000001000000}"/>
    <dataValidation type="date" allowBlank="1" showInputMessage="1" showErrorMessage="1" error="Please enter a valid date in mm/dd/yyyy format." sqref="B7:C31" xr:uid="{00000000-0002-0000-0900-000002000000}">
      <formula1>1</formula1>
      <formula2>54789</formula2>
    </dataValidation>
    <dataValidation type="decimal" allowBlank="1" showInputMessage="1" showErrorMessage="1" error="Please enter a valid reading." sqref="D7:E31"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32</xdr:row>
                    <xdr:rowOff>0</xdr:rowOff>
                  </from>
                  <to>
                    <xdr:col>2</xdr:col>
                    <xdr:colOff>9525</xdr:colOff>
                    <xdr:row>33</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32</xdr:row>
                    <xdr:rowOff>0</xdr:rowOff>
                  </from>
                  <to>
                    <xdr:col>3</xdr:col>
                    <xdr:colOff>9525</xdr:colOff>
                    <xdr:row>33</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33</xdr:row>
                    <xdr:rowOff>9525</xdr:rowOff>
                  </from>
                  <to>
                    <xdr:col>3</xdr:col>
                    <xdr:colOff>1200150</xdr:colOff>
                    <xdr:row>33</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7EC4C-73CD-4A46-A338-226C825AAB94}">
  <sheetPr codeName="Sheet12"/>
  <dimension ref="A1:K45"/>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40" sqref="D40"/>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5" ht="15" customHeight="1" x14ac:dyDescent="0.25">
      <c r="A1" s="4" t="s">
        <v>589</v>
      </c>
      <c r="B1" s="4" t="str">
        <f ca="1">MID(CELL("filename",A1),FIND("]",CELL("filename",A1))+1,256)</f>
        <v>Energy Meter via upload</v>
      </c>
      <c r="C1" s="1"/>
      <c r="D1" s="4" t="str">
        <f ca="1">B1</f>
        <v>Energy Meter via upload</v>
      </c>
      <c r="E1" s="1"/>
    </row>
    <row r="2" spans="1:5" x14ac:dyDescent="0.25">
      <c r="A2" s="4" t="s">
        <v>589</v>
      </c>
      <c r="B2" s="212" t="s">
        <v>563</v>
      </c>
      <c r="C2" s="152"/>
      <c r="D2" s="148" t="s">
        <v>761</v>
      </c>
      <c r="E2" s="1"/>
    </row>
    <row r="3" spans="1:5" x14ac:dyDescent="0.25">
      <c r="A3" s="4" t="s">
        <v>589</v>
      </c>
      <c r="B3" s="211" t="s">
        <v>673</v>
      </c>
      <c r="C3" s="9"/>
      <c r="D3" s="148" t="s">
        <v>667</v>
      </c>
      <c r="E3" s="1"/>
    </row>
    <row r="4" spans="1:5" x14ac:dyDescent="0.25">
      <c r="A4" s="4" t="s">
        <v>589</v>
      </c>
      <c r="B4" s="211" t="s">
        <v>564</v>
      </c>
      <c r="C4" s="9"/>
      <c r="D4" s="148" t="s">
        <v>525</v>
      </c>
      <c r="E4" s="1"/>
    </row>
    <row r="5" spans="1:5" ht="15" customHeight="1" x14ac:dyDescent="0.25">
      <c r="A5" s="4" t="s">
        <v>589</v>
      </c>
      <c r="B5" s="17" t="s">
        <v>674</v>
      </c>
      <c r="C5" s="154"/>
      <c r="D5" s="148"/>
      <c r="E5" s="1"/>
    </row>
    <row r="6" spans="1:5" ht="24" customHeight="1" x14ac:dyDescent="0.25">
      <c r="A6" s="4">
        <v>34</v>
      </c>
      <c r="B6" s="151" t="s">
        <v>543</v>
      </c>
      <c r="C6" s="151" t="s">
        <v>544</v>
      </c>
      <c r="D6" s="3" t="str">
        <f>CONCATENATE("Period Consumption 
","(",D4,")")</f>
        <v>Period Consumption 
(kBtu)</v>
      </c>
      <c r="E6" s="1"/>
    </row>
    <row r="7" spans="1:5" x14ac:dyDescent="0.25">
      <c r="A7" s="5"/>
      <c r="B7" s="35">
        <v>43983</v>
      </c>
      <c r="C7" s="35">
        <v>44012</v>
      </c>
      <c r="D7" s="22">
        <v>770</v>
      </c>
      <c r="E7" s="1"/>
    </row>
    <row r="8" spans="1:5" x14ac:dyDescent="0.25">
      <c r="A8" s="5"/>
      <c r="B8" s="35">
        <v>43952</v>
      </c>
      <c r="C8" s="35">
        <v>43982</v>
      </c>
      <c r="D8" s="22">
        <v>500</v>
      </c>
      <c r="E8" s="1"/>
    </row>
    <row r="9" spans="1:5" x14ac:dyDescent="0.25">
      <c r="A9" s="5"/>
      <c r="B9" s="35">
        <v>43922</v>
      </c>
      <c r="C9" s="35">
        <v>43951</v>
      </c>
      <c r="D9" s="22">
        <v>400</v>
      </c>
      <c r="E9" s="1"/>
    </row>
    <row r="10" spans="1:5" x14ac:dyDescent="0.25">
      <c r="A10" s="5"/>
      <c r="B10" s="35">
        <v>43891</v>
      </c>
      <c r="C10" s="35">
        <v>43921</v>
      </c>
      <c r="D10" s="22">
        <v>6782</v>
      </c>
      <c r="E10" s="1"/>
    </row>
    <row r="11" spans="1:5" x14ac:dyDescent="0.25">
      <c r="A11" s="5"/>
      <c r="B11" s="35">
        <v>43862</v>
      </c>
      <c r="C11" s="35">
        <v>43889</v>
      </c>
      <c r="D11" s="22">
        <v>7655</v>
      </c>
      <c r="E11" s="1"/>
    </row>
    <row r="12" spans="1:5" x14ac:dyDescent="0.25">
      <c r="A12" s="5"/>
      <c r="B12" s="35">
        <v>43831</v>
      </c>
      <c r="C12" s="35">
        <v>43861</v>
      </c>
      <c r="D12" s="22">
        <v>987</v>
      </c>
      <c r="E12" s="1"/>
    </row>
    <row r="13" spans="1:5" x14ac:dyDescent="0.25">
      <c r="A13" s="5"/>
      <c r="B13" s="35">
        <v>43800</v>
      </c>
      <c r="C13" s="35">
        <v>43830</v>
      </c>
      <c r="D13" s="22">
        <v>1800</v>
      </c>
      <c r="E13" s="1"/>
    </row>
    <row r="14" spans="1:5" x14ac:dyDescent="0.25">
      <c r="A14" s="5"/>
      <c r="B14" s="35">
        <v>43770</v>
      </c>
      <c r="C14" s="35">
        <v>43799</v>
      </c>
      <c r="D14" s="22">
        <v>1545</v>
      </c>
      <c r="E14" s="1"/>
    </row>
    <row r="15" spans="1:5" x14ac:dyDescent="0.25">
      <c r="A15" s="5"/>
      <c r="B15" s="35">
        <v>43739</v>
      </c>
      <c r="C15" s="35">
        <v>43769</v>
      </c>
      <c r="D15" s="22">
        <v>1777</v>
      </c>
      <c r="E15" s="1"/>
    </row>
    <row r="16" spans="1:5" x14ac:dyDescent="0.25">
      <c r="A16" s="5"/>
      <c r="B16" s="35">
        <v>43709</v>
      </c>
      <c r="C16" s="35">
        <v>43738</v>
      </c>
      <c r="D16" s="22">
        <v>1050</v>
      </c>
      <c r="E16" s="1"/>
    </row>
    <row r="17" spans="1:10" x14ac:dyDescent="0.25">
      <c r="A17" s="5"/>
      <c r="B17" s="35">
        <v>43678</v>
      </c>
      <c r="C17" s="35">
        <v>43708</v>
      </c>
      <c r="D17" s="22">
        <v>900</v>
      </c>
      <c r="E17" s="1"/>
    </row>
    <row r="18" spans="1:10" x14ac:dyDescent="0.25">
      <c r="A18" s="5"/>
      <c r="B18" s="35">
        <v>43647</v>
      </c>
      <c r="C18" s="35">
        <v>43677</v>
      </c>
      <c r="D18" s="22">
        <v>2323</v>
      </c>
      <c r="E18" s="1"/>
    </row>
    <row r="19" spans="1:10" x14ac:dyDescent="0.25">
      <c r="A19" s="5"/>
      <c r="B19" s="35">
        <v>43617</v>
      </c>
      <c r="C19" s="35">
        <v>43646</v>
      </c>
      <c r="D19" s="22">
        <v>2222</v>
      </c>
      <c r="E19" s="1"/>
    </row>
    <row r="20" spans="1:10" x14ac:dyDescent="0.25">
      <c r="A20" s="5"/>
      <c r="B20" s="35">
        <v>43586</v>
      </c>
      <c r="C20" s="35">
        <v>43616</v>
      </c>
      <c r="D20" s="22">
        <v>500</v>
      </c>
      <c r="E20" s="1"/>
    </row>
    <row r="21" spans="1:10" x14ac:dyDescent="0.25">
      <c r="A21" s="5"/>
      <c r="B21" s="35">
        <v>43556</v>
      </c>
      <c r="C21" s="35">
        <v>43585</v>
      </c>
      <c r="D21" s="22">
        <v>400</v>
      </c>
      <c r="E21" s="1"/>
    </row>
    <row r="22" spans="1:10" x14ac:dyDescent="0.25">
      <c r="A22" s="5"/>
      <c r="B22" s="35">
        <v>43525</v>
      </c>
      <c r="C22" s="35">
        <v>43555</v>
      </c>
      <c r="D22" s="22">
        <v>6782</v>
      </c>
      <c r="E22" s="1"/>
    </row>
    <row r="23" spans="1:10" x14ac:dyDescent="0.25">
      <c r="A23" s="5"/>
      <c r="B23" s="35">
        <v>43497</v>
      </c>
      <c r="C23" s="35">
        <v>43524</v>
      </c>
      <c r="D23" s="22">
        <v>7655</v>
      </c>
      <c r="E23" s="1"/>
    </row>
    <row r="24" spans="1:10" x14ac:dyDescent="0.25">
      <c r="A24" s="5"/>
      <c r="B24" s="35">
        <v>43466</v>
      </c>
      <c r="C24" s="35">
        <v>43496</v>
      </c>
      <c r="D24" s="22">
        <v>987</v>
      </c>
      <c r="E24" s="1"/>
    </row>
    <row r="25" spans="1:10" x14ac:dyDescent="0.25">
      <c r="A25" s="5"/>
      <c r="B25" s="35">
        <v>43435</v>
      </c>
      <c r="C25" s="35">
        <v>43465</v>
      </c>
      <c r="D25" s="22">
        <v>1800</v>
      </c>
      <c r="E25" s="1"/>
    </row>
    <row r="26" spans="1:10" x14ac:dyDescent="0.25">
      <c r="A26" s="5"/>
      <c r="B26" s="35">
        <v>43405</v>
      </c>
      <c r="C26" s="35">
        <v>43434</v>
      </c>
      <c r="D26" s="22">
        <v>1545</v>
      </c>
      <c r="E26" s="1"/>
    </row>
    <row r="27" spans="1:10" x14ac:dyDescent="0.25">
      <c r="A27" s="5"/>
      <c r="B27" s="35">
        <v>43374</v>
      </c>
      <c r="C27" s="35">
        <v>43404</v>
      </c>
      <c r="D27" s="22">
        <v>1777</v>
      </c>
      <c r="E27" s="1"/>
    </row>
    <row r="28" spans="1:10" x14ac:dyDescent="0.25">
      <c r="A28" s="5"/>
      <c r="B28" s="35">
        <v>43344</v>
      </c>
      <c r="C28" s="35">
        <v>43373</v>
      </c>
      <c r="D28" s="22">
        <v>1050</v>
      </c>
      <c r="E28" s="1"/>
    </row>
    <row r="29" spans="1:10" x14ac:dyDescent="0.25">
      <c r="A29" s="5"/>
      <c r="B29" s="35">
        <v>43313</v>
      </c>
      <c r="C29" s="35">
        <v>43343</v>
      </c>
      <c r="D29" s="22">
        <v>900</v>
      </c>
      <c r="E29" s="1"/>
    </row>
    <row r="30" spans="1:10" x14ac:dyDescent="0.25">
      <c r="A30" s="5"/>
      <c r="B30" s="35">
        <v>43282</v>
      </c>
      <c r="C30" s="35">
        <v>43312</v>
      </c>
      <c r="D30" s="22">
        <v>2323</v>
      </c>
      <c r="E30" s="1"/>
    </row>
    <row r="31" spans="1:10" x14ac:dyDescent="0.25">
      <c r="A31" s="5"/>
      <c r="B31" s="35">
        <v>43252</v>
      </c>
      <c r="C31" s="35">
        <v>43281</v>
      </c>
      <c r="D31" s="22">
        <v>2222</v>
      </c>
      <c r="E31" s="1"/>
    </row>
    <row r="32" spans="1:10" ht="12.75" customHeight="1" x14ac:dyDescent="0.25">
      <c r="A32" s="4"/>
      <c r="B32" s="23"/>
      <c r="C32" s="23"/>
      <c r="D32" s="26"/>
      <c r="E32" s="1"/>
      <c r="J32" s="2" t="s">
        <v>548</v>
      </c>
    </row>
    <row r="33" spans="1:10" ht="13.5" hidden="1" customHeight="1" x14ac:dyDescent="0.25">
      <c r="A33" s="4"/>
      <c r="B33" s="24"/>
      <c r="C33" s="24"/>
      <c r="D33" s="24"/>
      <c r="E33" s="1"/>
      <c r="J33" t="s">
        <v>667</v>
      </c>
    </row>
    <row r="34" spans="1:10" ht="25.5" customHeight="1" x14ac:dyDescent="0.25">
      <c r="A34" s="4" t="s">
        <v>545</v>
      </c>
      <c r="B34" s="24"/>
      <c r="C34" s="24"/>
      <c r="D34" s="24"/>
      <c r="E34" s="1"/>
      <c r="J34" s="2" t="s">
        <v>675</v>
      </c>
    </row>
    <row r="39" spans="1:10" x14ac:dyDescent="0.25">
      <c r="G39" s="2" t="s">
        <v>529</v>
      </c>
    </row>
    <row r="40" spans="1:10" x14ac:dyDescent="0.25">
      <c r="G40" s="2" t="s">
        <v>536</v>
      </c>
    </row>
    <row r="41" spans="1:10" x14ac:dyDescent="0.25">
      <c r="G41" s="2" t="s">
        <v>551</v>
      </c>
    </row>
    <row r="42" spans="1:10" x14ac:dyDescent="0.25">
      <c r="G42" s="2" t="s">
        <v>525</v>
      </c>
    </row>
    <row r="43" spans="1:10" x14ac:dyDescent="0.25">
      <c r="G43" s="2" t="s">
        <v>549</v>
      </c>
    </row>
    <row r="45" spans="1:10" x14ac:dyDescent="0.25">
      <c r="G45" s="2" t="s">
        <v>548</v>
      </c>
    </row>
  </sheetData>
  <sheetProtection algorithmName="SHA-512" hashValue="Ga5D+hUIFIcztvPnC6hkZGrITinNwuzlykpLHXKjU+znI+7V+UXk92Wcyo0w42nHnR1DKuEo6ja0zsj0OR2ivg==" saltValue="Re26LyacegrblJunvX48sQ==" spinCount="100000" sheet="1" objects="1" scenarios="1"/>
  <dataValidations count="6">
    <dataValidation type="textLength" allowBlank="1" showInputMessage="1" showErrorMessage="1" errorTitle="Data Source" error="It can only accept 40 characters." sqref="D5" xr:uid="{DFC976F5-E2E0-4CA8-A238-529079BFCA31}">
      <formula1>0</formula1>
      <formula2>40</formula2>
    </dataValidation>
    <dataValidation type="decimal" allowBlank="1" showInputMessage="1" showErrorMessage="1" error="Please enter a valid reading." sqref="D7:D31" xr:uid="{8FE32AF3-3EFD-4392-81D7-1DE313165251}">
      <formula1>0</formula1>
      <formula2>9999999999</formula2>
    </dataValidation>
    <dataValidation type="date" allowBlank="1" showInputMessage="1" showErrorMessage="1" error="Please enter a valid date in mm/dd/yyyy format." sqref="B7:C31" xr:uid="{741C1F85-92F8-456A-9827-F98C08C1D3C2}">
      <formula1>1</formula1>
      <formula2>73415</formula2>
    </dataValidation>
    <dataValidation allowBlank="1" showInputMessage="1" showErrorMessage="1" error="Please enter a valid date in mm/dd/yyyy format." sqref="B32:D34" xr:uid="{F42CCD0A-1858-4DB4-BA81-A9DA54407893}"/>
    <dataValidation type="list" allowBlank="1" showInputMessage="1" showErrorMessage="1" sqref="D3" xr:uid="{73DF8CB6-39CE-49F2-B86D-257A68ADC73A}">
      <formula1>ElectricityDrp</formula1>
    </dataValidation>
    <dataValidation type="list" allowBlank="1" showInputMessage="1" showErrorMessage="1" error="Units cannot edit." sqref="D4" xr:uid="{39C2BF46-D0EB-403A-BA3B-3351EF6767E3}">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59394" r:id="rId4" name="Button 2">
              <controlPr defaultSize="0" print="0" autoFill="0" autoPict="0" macro="[0]!Button7_Click">
                <anchor moveWithCells="1">
                  <from>
                    <xdr:col>1</xdr:col>
                    <xdr:colOff>123825</xdr:colOff>
                    <xdr:row>33</xdr:row>
                    <xdr:rowOff>9525</xdr:rowOff>
                  </from>
                  <to>
                    <xdr:col>2</xdr:col>
                    <xdr:colOff>0</xdr:colOff>
                    <xdr:row>33</xdr:row>
                    <xdr:rowOff>276225</xdr:rowOff>
                  </to>
                </anchor>
              </controlPr>
            </control>
          </mc:Choice>
        </mc:AlternateContent>
        <mc:AlternateContent xmlns:mc="http://schemas.openxmlformats.org/markup-compatibility/2006">
          <mc:Choice Requires="x14">
            <control shapeId="59395" r:id="rId5" name="Button 3">
              <controlPr defaultSize="0" print="0" autoFill="0" autoPict="0" macro="[0]!Button13_Click">
                <anchor moveWithCells="1">
                  <from>
                    <xdr:col>2</xdr:col>
                    <xdr:colOff>47625</xdr:colOff>
                    <xdr:row>33</xdr:row>
                    <xdr:rowOff>9525</xdr:rowOff>
                  </from>
                  <to>
                    <xdr:col>2</xdr:col>
                    <xdr:colOff>1304925</xdr:colOff>
                    <xdr:row>33</xdr:row>
                    <xdr:rowOff>276225</xdr:rowOff>
                  </to>
                </anchor>
              </controlPr>
            </control>
          </mc:Choice>
        </mc:AlternateContent>
        <mc:AlternateContent xmlns:mc="http://schemas.openxmlformats.org/markup-compatibility/2006">
          <mc:Choice Requires="x14">
            <control shapeId="59396" r:id="rId6" name="Button 4">
              <controlPr defaultSize="0" print="0" autoFill="0" autoPict="0" macro="[0]!Button6_Click">
                <anchor moveWithCells="1" sizeWithCells="1">
                  <from>
                    <xdr:col>2</xdr:col>
                    <xdr:colOff>1362075</xdr:colOff>
                    <xdr:row>31</xdr:row>
                    <xdr:rowOff>142875</xdr:rowOff>
                  </from>
                  <to>
                    <xdr:col>3</xdr:col>
                    <xdr:colOff>1104900</xdr:colOff>
                    <xdr:row>33</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C3BA3-1C8C-4483-AB62-BD95737001F3}">
  <sheetPr codeName="Sheet24"/>
  <dimension ref="A1:I63"/>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B7" sqref="B7:D3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5" x14ac:dyDescent="0.25">
      <c r="A1" s="4" t="s">
        <v>589</v>
      </c>
      <c r="B1" s="4" t="str">
        <f ca="1">MID(CELL("filename",A1),FIND("]",CELL("filename",A1))+1,256)</f>
        <v>Water meter via upload</v>
      </c>
      <c r="C1" s="1"/>
      <c r="D1" s="155" t="str">
        <f ca="1">B1</f>
        <v>Water meter via upload</v>
      </c>
      <c r="E1" s="1"/>
    </row>
    <row r="2" spans="1:5" x14ac:dyDescent="0.25">
      <c r="A2" s="4" t="s">
        <v>589</v>
      </c>
      <c r="B2" s="212" t="s">
        <v>563</v>
      </c>
      <c r="C2" s="152"/>
      <c r="D2" s="148" t="s">
        <v>762</v>
      </c>
      <c r="E2" s="1"/>
    </row>
    <row r="3" spans="1:5" x14ac:dyDescent="0.25">
      <c r="A3" s="4" t="s">
        <v>589</v>
      </c>
      <c r="B3" s="211" t="s">
        <v>673</v>
      </c>
      <c r="C3" s="9"/>
      <c r="D3" s="148" t="s">
        <v>668</v>
      </c>
      <c r="E3" s="1"/>
    </row>
    <row r="4" spans="1:5" x14ac:dyDescent="0.25">
      <c r="A4" s="4" t="s">
        <v>589</v>
      </c>
      <c r="B4" s="211" t="s">
        <v>564</v>
      </c>
      <c r="C4" s="9"/>
      <c r="D4" s="148" t="s">
        <v>524</v>
      </c>
      <c r="E4" s="1"/>
    </row>
    <row r="5" spans="1:5" ht="15" customHeight="1" x14ac:dyDescent="0.25">
      <c r="A5" s="4" t="s">
        <v>589</v>
      </c>
      <c r="B5" s="17" t="s">
        <v>674</v>
      </c>
      <c r="C5" s="154"/>
      <c r="D5" s="148"/>
      <c r="E5" s="1"/>
    </row>
    <row r="6" spans="1:5" ht="24.75" customHeight="1" x14ac:dyDescent="0.25">
      <c r="A6" s="4">
        <v>34</v>
      </c>
      <c r="B6" s="151" t="s">
        <v>543</v>
      </c>
      <c r="C6" s="151" t="s">
        <v>544</v>
      </c>
      <c r="D6" s="3" t="str">
        <f>CONCATENATE("Period Consumption 
","(",D4,")")</f>
        <v>Period Consumption 
(gal)</v>
      </c>
      <c r="E6" s="1"/>
    </row>
    <row r="7" spans="1:5" x14ac:dyDescent="0.25">
      <c r="A7" s="4"/>
      <c r="B7" s="35">
        <v>43983</v>
      </c>
      <c r="C7" s="35">
        <v>44012</v>
      </c>
      <c r="D7" s="21">
        <v>890</v>
      </c>
      <c r="E7" s="1"/>
    </row>
    <row r="8" spans="1:5" x14ac:dyDescent="0.25">
      <c r="A8" s="4"/>
      <c r="B8" s="35">
        <v>43952</v>
      </c>
      <c r="C8" s="35">
        <v>43982</v>
      </c>
      <c r="D8" s="21">
        <v>447</v>
      </c>
      <c r="E8" s="1"/>
    </row>
    <row r="9" spans="1:5" x14ac:dyDescent="0.25">
      <c r="A9" s="4"/>
      <c r="B9" s="35">
        <v>43922</v>
      </c>
      <c r="C9" s="35">
        <v>43951</v>
      </c>
      <c r="D9" s="21">
        <v>430</v>
      </c>
      <c r="E9" s="1"/>
    </row>
    <row r="10" spans="1:5" x14ac:dyDescent="0.25">
      <c r="A10" s="4"/>
      <c r="B10" s="35">
        <v>43891</v>
      </c>
      <c r="C10" s="35">
        <v>43921</v>
      </c>
      <c r="D10" s="21">
        <v>6782</v>
      </c>
      <c r="E10" s="1"/>
    </row>
    <row r="11" spans="1:5" x14ac:dyDescent="0.25">
      <c r="A11" s="4"/>
      <c r="B11" s="35">
        <v>43862</v>
      </c>
      <c r="C11" s="35">
        <v>43889</v>
      </c>
      <c r="D11" s="21">
        <v>7655</v>
      </c>
      <c r="E11" s="1"/>
    </row>
    <row r="12" spans="1:5" x14ac:dyDescent="0.25">
      <c r="A12" s="4"/>
      <c r="B12" s="35">
        <v>43831</v>
      </c>
      <c r="C12" s="35">
        <v>43861</v>
      </c>
      <c r="D12" s="21">
        <v>987</v>
      </c>
      <c r="E12" s="1"/>
    </row>
    <row r="13" spans="1:5" x14ac:dyDescent="0.25">
      <c r="A13" s="4"/>
      <c r="B13" s="35">
        <v>43800</v>
      </c>
      <c r="C13" s="35">
        <v>43830</v>
      </c>
      <c r="D13" s="21">
        <v>1800</v>
      </c>
      <c r="E13" s="1"/>
    </row>
    <row r="14" spans="1:5" x14ac:dyDescent="0.25">
      <c r="A14" s="4"/>
      <c r="B14" s="35">
        <v>43770</v>
      </c>
      <c r="C14" s="35">
        <v>43799</v>
      </c>
      <c r="D14" s="21">
        <v>1545</v>
      </c>
      <c r="E14" s="1"/>
    </row>
    <row r="15" spans="1:5" x14ac:dyDescent="0.25">
      <c r="A15" s="4"/>
      <c r="B15" s="35">
        <v>43739</v>
      </c>
      <c r="C15" s="35">
        <v>43769</v>
      </c>
      <c r="D15" s="21">
        <v>1777</v>
      </c>
      <c r="E15" s="1"/>
    </row>
    <row r="16" spans="1:5" x14ac:dyDescent="0.25">
      <c r="A16" s="4"/>
      <c r="B16" s="35">
        <v>43709</v>
      </c>
      <c r="C16" s="35">
        <v>43738</v>
      </c>
      <c r="D16" s="21">
        <v>1050</v>
      </c>
      <c r="E16" s="1"/>
    </row>
    <row r="17" spans="1:5" x14ac:dyDescent="0.25">
      <c r="A17" s="4"/>
      <c r="B17" s="35">
        <v>43678</v>
      </c>
      <c r="C17" s="35">
        <v>43708</v>
      </c>
      <c r="D17" s="21">
        <v>900</v>
      </c>
      <c r="E17" s="1"/>
    </row>
    <row r="18" spans="1:5" x14ac:dyDescent="0.25">
      <c r="A18" s="4"/>
      <c r="B18" s="35">
        <v>43647</v>
      </c>
      <c r="C18" s="35">
        <v>43677</v>
      </c>
      <c r="D18" s="21">
        <v>2323</v>
      </c>
      <c r="E18" s="1"/>
    </row>
    <row r="19" spans="1:5" x14ac:dyDescent="0.25">
      <c r="A19" s="4"/>
      <c r="B19" s="35">
        <v>43617</v>
      </c>
      <c r="C19" s="35">
        <v>43646</v>
      </c>
      <c r="D19" s="21">
        <v>2222</v>
      </c>
      <c r="E19" s="1"/>
    </row>
    <row r="20" spans="1:5" x14ac:dyDescent="0.25">
      <c r="A20" s="4"/>
      <c r="B20" s="35">
        <v>43586</v>
      </c>
      <c r="C20" s="35">
        <v>43616</v>
      </c>
      <c r="D20" s="21">
        <v>447</v>
      </c>
      <c r="E20" s="1"/>
    </row>
    <row r="21" spans="1:5" x14ac:dyDescent="0.25">
      <c r="A21" s="4"/>
      <c r="B21" s="35">
        <v>43556</v>
      </c>
      <c r="C21" s="35">
        <v>43585</v>
      </c>
      <c r="D21" s="21">
        <v>430</v>
      </c>
      <c r="E21" s="1"/>
    </row>
    <row r="22" spans="1:5" x14ac:dyDescent="0.25">
      <c r="A22" s="4"/>
      <c r="B22" s="35">
        <v>43525</v>
      </c>
      <c r="C22" s="35">
        <v>43555</v>
      </c>
      <c r="D22" s="21">
        <v>6782</v>
      </c>
      <c r="E22" s="1"/>
    </row>
    <row r="23" spans="1:5" x14ac:dyDescent="0.25">
      <c r="A23" s="4"/>
      <c r="B23" s="35">
        <v>43497</v>
      </c>
      <c r="C23" s="35">
        <v>43524</v>
      </c>
      <c r="D23" s="21">
        <v>7655</v>
      </c>
      <c r="E23" s="1"/>
    </row>
    <row r="24" spans="1:5" x14ac:dyDescent="0.25">
      <c r="A24" s="4"/>
      <c r="B24" s="35">
        <v>43466</v>
      </c>
      <c r="C24" s="35">
        <v>43496</v>
      </c>
      <c r="D24" s="21">
        <v>987</v>
      </c>
      <c r="E24" s="1"/>
    </row>
    <row r="25" spans="1:5" x14ac:dyDescent="0.25">
      <c r="A25" s="4"/>
      <c r="B25" s="35">
        <v>43435</v>
      </c>
      <c r="C25" s="35">
        <v>43465</v>
      </c>
      <c r="D25" s="21">
        <v>1800</v>
      </c>
      <c r="E25" s="1"/>
    </row>
    <row r="26" spans="1:5" x14ac:dyDescent="0.25">
      <c r="A26" s="4"/>
      <c r="B26" s="35">
        <v>43405</v>
      </c>
      <c r="C26" s="35">
        <v>43434</v>
      </c>
      <c r="D26" s="21">
        <v>1545</v>
      </c>
      <c r="E26" s="1"/>
    </row>
    <row r="27" spans="1:5" x14ac:dyDescent="0.25">
      <c r="A27" s="4"/>
      <c r="B27" s="35">
        <v>43374</v>
      </c>
      <c r="C27" s="35">
        <v>43404</v>
      </c>
      <c r="D27" s="21">
        <v>1777</v>
      </c>
      <c r="E27" s="1"/>
    </row>
    <row r="28" spans="1:5" x14ac:dyDescent="0.25">
      <c r="A28" s="4"/>
      <c r="B28" s="35">
        <v>43344</v>
      </c>
      <c r="C28" s="35">
        <v>43373</v>
      </c>
      <c r="D28" s="21">
        <v>1050</v>
      </c>
      <c r="E28" s="1"/>
    </row>
    <row r="29" spans="1:5" x14ac:dyDescent="0.25">
      <c r="A29" s="4"/>
      <c r="B29" s="35">
        <v>43313</v>
      </c>
      <c r="C29" s="35">
        <v>43343</v>
      </c>
      <c r="D29" s="21">
        <v>900</v>
      </c>
      <c r="E29" s="1"/>
    </row>
    <row r="30" spans="1:5" x14ac:dyDescent="0.25">
      <c r="A30" s="4"/>
      <c r="B30" s="35">
        <v>43282</v>
      </c>
      <c r="C30" s="35">
        <v>43312</v>
      </c>
      <c r="D30" s="21">
        <v>2323</v>
      </c>
      <c r="E30" s="1"/>
    </row>
    <row r="31" spans="1:5" x14ac:dyDescent="0.25">
      <c r="A31" s="4"/>
      <c r="B31" s="35">
        <v>43252</v>
      </c>
      <c r="C31" s="35">
        <v>43281</v>
      </c>
      <c r="D31" s="21">
        <v>2222</v>
      </c>
      <c r="E31" s="1"/>
    </row>
    <row r="32" spans="1:5" x14ac:dyDescent="0.25">
      <c r="A32" s="4"/>
      <c r="B32" s="23"/>
      <c r="C32" s="23"/>
      <c r="D32" s="26"/>
      <c r="E32" s="1"/>
    </row>
    <row r="33" spans="1:9" ht="6" customHeight="1" x14ac:dyDescent="0.25">
      <c r="A33" s="4"/>
      <c r="B33" s="23"/>
      <c r="C33" s="23"/>
      <c r="D33" s="26"/>
      <c r="E33" s="1"/>
      <c r="I33" t="s">
        <v>668</v>
      </c>
    </row>
    <row r="34" spans="1:9" ht="25.5" customHeight="1" x14ac:dyDescent="0.25">
      <c r="A34" s="4" t="s">
        <v>545</v>
      </c>
      <c r="B34" s="24"/>
      <c r="C34" s="24"/>
      <c r="D34" s="24"/>
      <c r="E34" s="1"/>
      <c r="I34" t="s">
        <v>669</v>
      </c>
    </row>
    <row r="35" spans="1:9" x14ac:dyDescent="0.25">
      <c r="I35" t="s">
        <v>670</v>
      </c>
    </row>
    <row r="39" spans="1:9" x14ac:dyDescent="0.25">
      <c r="H39" t="s">
        <v>524</v>
      </c>
    </row>
    <row r="40" spans="1:9" x14ac:dyDescent="0.25">
      <c r="H40" t="s">
        <v>527</v>
      </c>
    </row>
    <row r="41" spans="1:9" x14ac:dyDescent="0.25">
      <c r="H41" t="s">
        <v>546</v>
      </c>
    </row>
    <row r="42" spans="1:9" x14ac:dyDescent="0.25">
      <c r="H42" t="s">
        <v>547</v>
      </c>
    </row>
    <row r="43" spans="1:9" x14ac:dyDescent="0.25">
      <c r="H43" t="s">
        <v>521</v>
      </c>
    </row>
    <row r="44" spans="1:9" x14ac:dyDescent="0.25">
      <c r="H44" t="s">
        <v>526</v>
      </c>
    </row>
    <row r="45" spans="1:9" x14ac:dyDescent="0.25">
      <c r="H45" t="s">
        <v>541</v>
      </c>
    </row>
    <row r="46" spans="1:9" x14ac:dyDescent="0.25">
      <c r="H46" t="s">
        <v>560</v>
      </c>
    </row>
    <row r="47" spans="1:9" x14ac:dyDescent="0.25">
      <c r="H47" t="s">
        <v>523</v>
      </c>
    </row>
    <row r="48" spans="1:9" x14ac:dyDescent="0.25">
      <c r="H48" s="2" t="s">
        <v>542</v>
      </c>
    </row>
    <row r="49" spans="8:8" x14ac:dyDescent="0.25">
      <c r="H49" s="2" t="s">
        <v>561</v>
      </c>
    </row>
    <row r="50" spans="8:8" x14ac:dyDescent="0.25">
      <c r="H50" s="2" t="s">
        <v>562</v>
      </c>
    </row>
    <row r="51" spans="8:8" x14ac:dyDescent="0.25">
      <c r="H51" t="s">
        <v>671</v>
      </c>
    </row>
    <row r="52" spans="8:8" x14ac:dyDescent="0.25">
      <c r="H52" t="s">
        <v>672</v>
      </c>
    </row>
    <row r="53" spans="8:8" x14ac:dyDescent="0.25">
      <c r="H53" t="s">
        <v>666</v>
      </c>
    </row>
    <row r="54" spans="8:8" x14ac:dyDescent="0.25">
      <c r="H54"/>
    </row>
    <row r="55" spans="8:8" x14ac:dyDescent="0.25">
      <c r="H55"/>
    </row>
    <row r="56" spans="8:8" x14ac:dyDescent="0.25">
      <c r="H56"/>
    </row>
    <row r="57" spans="8:8" x14ac:dyDescent="0.25">
      <c r="H57"/>
    </row>
    <row r="58" spans="8:8" x14ac:dyDescent="0.25">
      <c r="H58"/>
    </row>
    <row r="59" spans="8:8" x14ac:dyDescent="0.25">
      <c r="H59"/>
    </row>
    <row r="60" spans="8:8" x14ac:dyDescent="0.25">
      <c r="H60"/>
    </row>
    <row r="61" spans="8:8" x14ac:dyDescent="0.25">
      <c r="H61"/>
    </row>
    <row r="62" spans="8:8" x14ac:dyDescent="0.25">
      <c r="H62"/>
    </row>
    <row r="63" spans="8:8" x14ac:dyDescent="0.25">
      <c r="H63"/>
    </row>
  </sheetData>
  <sheetProtection algorithmName="SHA-512" hashValue="ZaYsFl26iD7Vwi+NUwlDHT8swFsvdi+JN0bYQwR7ZF0x56aleZdHsgxKlnpL9MD946Up6tTDvkfU2NfHURGHdA==" saltValue="e3dGuBfpKAJFj8UfL8fExg==" spinCount="100000" sheet="1" objects="1" scenarios="1"/>
  <dataValidations count="6">
    <dataValidation type="textLength" allowBlank="1" showInputMessage="1" showErrorMessage="1" errorTitle="Data Source" error="It can only accept 40 characters." sqref="D5" xr:uid="{613BF8EF-A841-4E13-805B-8CA4EA99F39C}">
      <formula1>0</formula1>
      <formula2>40</formula2>
    </dataValidation>
    <dataValidation type="decimal" allowBlank="1" showInputMessage="1" showErrorMessage="1" error="Please enter a valid reading." sqref="D7:D31" xr:uid="{F6308C20-EEC8-42CA-82FA-B08DDC758286}">
      <formula1>0</formula1>
      <formula2>9999999999</formula2>
    </dataValidation>
    <dataValidation type="date" allowBlank="1" showInputMessage="1" showErrorMessage="1" error="Please enter a valid date in mm/dd/yyyy format." sqref="B7:C31" xr:uid="{BD34E46E-B0F7-4040-9B88-0DA07D8FCFFA}">
      <formula1>1</formula1>
      <formula2>73415</formula2>
    </dataValidation>
    <dataValidation allowBlank="1" showInputMessage="1" showErrorMessage="1" error="Please enter a valid date in mm/dd/yyyy format." sqref="B32:D34" xr:uid="{16AADEDB-5F60-40DE-A0A7-B8CA86BB9BAF}"/>
    <dataValidation type="list" allowBlank="1" showInputMessage="1" showErrorMessage="1" sqref="D3" xr:uid="{730E7A00-3B72-4554-BB80-77569E3F563D}">
      <formula1>WaterDrp</formula1>
    </dataValidation>
    <dataValidation type="list" allowBlank="1" showInputMessage="1" showErrorMessage="1" error="Units cannot edit." sqref="D4" xr:uid="{E459E8E2-4646-4346-9D34-125AD0BABC84}">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7_Click">
                <anchor moveWithCells="1">
                  <from>
                    <xdr:col>1</xdr:col>
                    <xdr:colOff>123825</xdr:colOff>
                    <xdr:row>32</xdr:row>
                    <xdr:rowOff>0</xdr:rowOff>
                  </from>
                  <to>
                    <xdr:col>2</xdr:col>
                    <xdr:colOff>0</xdr:colOff>
                    <xdr:row>33</xdr:row>
                    <xdr:rowOff>190500</xdr:rowOff>
                  </to>
                </anchor>
              </controlPr>
            </control>
          </mc:Choice>
        </mc:AlternateContent>
        <mc:AlternateContent xmlns:mc="http://schemas.openxmlformats.org/markup-compatibility/2006">
          <mc:Choice Requires="x14">
            <control shapeId="60418" r:id="rId5" name="Button 2">
              <controlPr defaultSize="0" print="0" autoFill="0" autoPict="0" macro="[0]!Button13_Click">
                <anchor moveWithCells="1">
                  <from>
                    <xdr:col>2</xdr:col>
                    <xdr:colOff>38100</xdr:colOff>
                    <xdr:row>32</xdr:row>
                    <xdr:rowOff>0</xdr:rowOff>
                  </from>
                  <to>
                    <xdr:col>2</xdr:col>
                    <xdr:colOff>1295400</xdr:colOff>
                    <xdr:row>33</xdr:row>
                    <xdr:rowOff>190500</xdr:rowOff>
                  </to>
                </anchor>
              </controlPr>
            </control>
          </mc:Choice>
        </mc:AlternateContent>
        <mc:AlternateContent xmlns:mc="http://schemas.openxmlformats.org/markup-compatibility/2006">
          <mc:Choice Requires="x14">
            <control shapeId="60419" r:id="rId6" name="Button 3">
              <controlPr defaultSize="0" print="0" autoFill="0" autoPict="0" macro="[0]!Button15_Click">
                <anchor moveWithCells="1" sizeWithCells="1">
                  <from>
                    <xdr:col>2</xdr:col>
                    <xdr:colOff>1343025</xdr:colOff>
                    <xdr:row>31</xdr:row>
                    <xdr:rowOff>180975</xdr:rowOff>
                  </from>
                  <to>
                    <xdr:col>3</xdr:col>
                    <xdr:colOff>1085850</xdr:colOff>
                    <xdr:row>33</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LV/AP4jgWVIYbO9BY6+/Ah8AaZWtvdfTXC3PkLnUp8oyNoqKt0FF8aiEb45NeJV1KcO4ii9CExLOhTzQQJhS+A==" saltValue="vN+W5NHRJoWzNg4231Og9Q==" spinCount="100000" sheet="1" objects="1" scenarios="1"/>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2FfFtt5/++INn3TDRlq6FHVhNZhFjkhjeLvZ8ddpKQFma57z93JxDBjPUkZi2CdliThLbzIT4xmIF86FKug74g==" saltValue="Jz+/6tDsUmI+8Z2ZRkNn6A==" spinCount="100000" sheet="1" objects="1" scenarios="1"/>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e5dOUsj81qIzkKGPKWUE/wk0cpefsxMYUbvdhNrRUiy8BrWOtPIY1ZwfCHbO3Ex2ymI4v81qoMMxEf7lcCMoww==" saltValue="10QueLDgYxtKFApc/vh6Jw==" spinCount="100000" sheet="1" objects="1" scenarios="1"/>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138vaUTKs16TCsk7OituzupRbT6iL/2/+phO9UXQQVxAicmxUv0Sz5pg/wZjDQ6Ci8MfjqEmxdSul/TJfUUofw==" saltValue="/k0IPVhegRlDPVxeUBzw6g==" spinCount="100000" sheet="1" objects="1" scenarios="1"/>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7O2IixTBMSPbmyqp0VDsUu5M9eViVZCkQV1ZPNeLwhhIcs+NO+i3xsn4avP81vz1PSKjOh8DKQl1IhEldMsyg==" saltValue="fZPO57VlKJpDuMCsFovcYA==" spinCount="100000" sheet="1" objects="1" scenarios="1"/>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J9azdfvskrd5Us0kAoYPKF3/Gy29aFY3l8OaTbKLanWinW6OyInqoOUZXlnrxqZYdqtdPfhMZM/9sGG5SMVudg==" saltValue="WaVYwc1EPr3bIP9jaEp8gA==" spinCount="100000" sheet="1" objects="1" scenarios="1"/>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0rfjCMpU6pdocXGzK2p0JbMspjqJLcz+BOKQUegv8RqpNF7l7itqGItoxnOTbwZ2Oc2BPxXg8+50WfhLsr2s2g==" saltValue="26wSV8yet255YY3oxr9buw==" spinCount="100000" sheet="1" objects="1" scenarios="1"/>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C17" sqref="C1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2iI7hBV9g5Xt/S1e/Fg73r0zOSZi/06HpLgm3RADl8VqelTwrauTvkrLpYIsQGPqJVqx9NUJrONCHhHnTNmgw==" saltValue="lrMmjqb7/7QKSiP2iU4cGg==" spinCount="100000" sheet="1" objects="1" scenarios="1"/>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HLBRHPG/awe+p8qEhaNELxtvy+gmjgAsilxJA/OCPgM56tMPDM/qn9j0kp1nFlpf79lGbIeULA+G5bl1CNV9iQ==" saltValue="uU0nBjkFNe2jZ+4JSA2ozA==" spinCount="100000" sheet="1" objects="1" scenarios="1"/>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1" sqref="D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RxfUT4ugYYaE/5muk6eTupnpExzUjYKbqxXBCYhuy0ds5jaVovgvJezBT+0NHQY9/c4BdB0bI10JYb1hSS+iSA==" saltValue="69BUgCwJHXzp6Hro4B3eDA==" spinCount="100000" sheet="1" objects="1" scenarios="1"/>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E21" sqref="E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v>43435</v>
      </c>
      <c r="C7" s="35">
        <v>43496</v>
      </c>
      <c r="D7" s="22">
        <v>111</v>
      </c>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Energy Meter via upload</vt:lpstr>
      <vt:lpstr>Water meter via upload</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'Atmospheric Particulate Matter'!elecName</vt:lpstr>
      <vt:lpstr>Benzene!elecName</vt:lpstr>
      <vt:lpstr>'Carbon Monoxide'!elecName</vt:lpstr>
      <vt:lpstr>Dichlorobenzene!elecName</vt:lpstr>
      <vt:lpstr>'Energy Meter via upload'!elecName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'Atmospheric Particulate Matter'!ElectricityDrp</vt:lpstr>
      <vt:lpstr>Benzene!ElectricityDrp</vt:lpstr>
      <vt:lpstr>'Carbon Monoxide'!ElectricityDrp</vt:lpstr>
      <vt:lpstr>Dichlorobenzene!ElectricityDrp</vt:lpstr>
      <vt:lpstr>'Energy Meter via upload'!ElectricityDrp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'Water meter via upload'!water_meter_type</vt:lpstr>
      <vt:lpstr>water_meter_type</vt:lpstr>
      <vt:lpstr>'Water meter via upload'!water_type</vt:lpstr>
      <vt:lpstr>water_type</vt:lpstr>
      <vt:lpstr>'Water meter via upload'!water_units</vt:lpstr>
      <vt:lpstr>water_units</vt:lpstr>
      <vt:lpstr>Acetaldehyde!WaterDrp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'Water meter via upload'!WaterDrp</vt:lpstr>
      <vt:lpstr>'Xylenes-total'!WaterDrp</vt:lpstr>
      <vt:lpstr>WaterDrp</vt:lpstr>
      <vt:lpstr>'Water meter via upload'!waterType</vt:lpstr>
      <vt:lpstr>waterType</vt:lpstr>
      <vt:lpstr>'Water meter via upload'!waterUnits</vt:lpstr>
      <vt:lpstr>waterUnits</vt:lpstr>
      <vt:lpstr>'Water meter via upload'!watUn</vt:lpstr>
      <vt:lpstr>watUn</vt:lpstr>
      <vt:lpstr>Acetaldehyde!watUni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'Water meter via upload'!watUni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2019-07-17T06:11:05Z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