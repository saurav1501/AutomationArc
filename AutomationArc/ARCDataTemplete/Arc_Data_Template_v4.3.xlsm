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AAA7FAC8-7D80-4895-BDF0-60EF8F83BDC4}" xr6:coauthVersionLast="36" xr6:coauthVersionMax="36" xr10:uidLastSave="{00000000-0000-0000-0000-000000000000}"/>
  <workbookProtection workbookAlgorithmName="SHA-512" workbookHashValue="Xq0f+ZmoVyY9QKebxlo3uX8wQqLo04qS3gn/CR/bC3LSclG+FWf9HE2H1oqZmePC/OXWnlJhEE8zZ76tHWxqmg==" workbookSaltValue="jhwySz7CMe3zNE8k7FdQMw==" workbookSpinCount="100000" lockStructure="1"/>
  <bookViews>
    <workbookView xWindow="0" yWindow="0" windowWidth="20490" windowHeight="879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9" r:id="rId22"/>
    <sheet name="Water meter via upload" sheetId="30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39" i="15" a="1"/>
  <c r="AF39" i="15" s="1"/>
  <c r="AF33" i="15" a="1"/>
  <c r="AF33" i="15" s="1"/>
  <c r="AF45" i="15"/>
  <c r="AF41" i="15" a="1"/>
  <c r="AF41" i="15" s="1"/>
  <c r="AF37" i="15" a="1"/>
  <c r="AF37" i="15" s="1"/>
  <c r="AF35" i="15" a="1"/>
  <c r="AF35" i="15" s="1"/>
  <c r="AF40" i="15" a="1"/>
  <c r="AF40" i="15" s="1"/>
  <c r="AF34" i="15" a="1"/>
  <c r="AF34" i="15" s="1"/>
  <c r="AF42" i="15" a="1"/>
  <c r="AF42" i="15" s="1"/>
  <c r="AF38" i="15" a="1"/>
  <c r="AF38" i="15" s="1"/>
  <c r="AF36" i="15" a="1"/>
  <c r="AF36" i="15" s="1"/>
  <c r="AE29" i="15"/>
  <c r="AE39" i="15" a="1"/>
  <c r="AE39" i="15" s="1"/>
  <c r="AE33" i="15" a="1"/>
  <c r="AE33" i="15" s="1"/>
  <c r="AE45" i="15"/>
  <c r="AE41" i="15" a="1"/>
  <c r="AE41" i="15" s="1"/>
  <c r="AE37" i="15" a="1"/>
  <c r="AE37" i="15" s="1"/>
  <c r="AE35" i="15" a="1"/>
  <c r="AE35" i="15" s="1"/>
  <c r="AE40" i="15" a="1"/>
  <c r="AE40" i="15" s="1"/>
  <c r="AE34" i="15" a="1"/>
  <c r="AE34" i="15" s="1"/>
  <c r="AE42" i="15" a="1"/>
  <c r="AE42" i="15" s="1"/>
  <c r="AE38" i="15" a="1"/>
  <c r="AE38" i="15" s="1"/>
  <c r="AE36" i="15" a="1"/>
  <c r="AE36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3" i="15" a="1"/>
  <c r="AC33" i="15" s="1"/>
  <c r="AC45" i="15"/>
  <c r="AC41" i="15" a="1"/>
  <c r="AC41" i="15" s="1"/>
  <c r="AC37" i="15" a="1"/>
  <c r="AC37" i="15" s="1"/>
  <c r="AC35" i="15" a="1"/>
  <c r="AC35" i="15" s="1"/>
  <c r="AC40" i="15" a="1"/>
  <c r="AC40" i="15" s="1"/>
  <c r="AC34" i="15" a="1"/>
  <c r="AC34" i="15" s="1"/>
  <c r="AC42" i="15" a="1"/>
  <c r="AC42" i="15" s="1"/>
  <c r="AC38" i="15" a="1"/>
  <c r="AC38" i="15" s="1"/>
  <c r="AC36" i="15" a="1"/>
  <c r="AC36" i="15" s="1"/>
  <c r="AB29" i="15"/>
  <c r="AB39" i="15" a="1"/>
  <c r="AB39" i="15" s="1"/>
  <c r="AB33" i="15" a="1"/>
  <c r="AB33" i="15" s="1"/>
  <c r="AB45" i="15"/>
  <c r="AB41" i="15" a="1"/>
  <c r="AB41" i="15" s="1"/>
  <c r="AB37" i="15" a="1"/>
  <c r="AB37" i="15" s="1"/>
  <c r="AB35" i="15" a="1"/>
  <c r="AB35" i="15" s="1"/>
  <c r="AB40" i="15" a="1"/>
  <c r="AB40" i="15" s="1"/>
  <c r="AB34" i="15" a="1"/>
  <c r="AB34" i="15" s="1"/>
  <c r="AB42" i="15" a="1"/>
  <c r="AB42" i="15" s="1"/>
  <c r="AB38" i="15" a="1"/>
  <c r="AB38" i="15" s="1"/>
  <c r="AB36" i="15" a="1"/>
  <c r="AB36" i="15" s="1"/>
  <c r="AA29" i="15"/>
  <c r="AA39" i="15" a="1"/>
  <c r="AA39" i="15" s="1"/>
  <c r="AA33" i="15" a="1"/>
  <c r="AA33" i="15" s="1"/>
  <c r="AA45" i="15"/>
  <c r="AA41" i="15" a="1"/>
  <c r="AA41" i="15" s="1"/>
  <c r="AA37" i="15" a="1"/>
  <c r="AA37" i="15" s="1"/>
  <c r="AA35" i="15" a="1"/>
  <c r="AA35" i="15" s="1"/>
  <c r="AA40" i="15" a="1"/>
  <c r="AA40" i="15" s="1"/>
  <c r="AA34" i="15" a="1"/>
  <c r="AA34" i="15" s="1"/>
  <c r="AA42" i="15" a="1"/>
  <c r="AA42" i="15" s="1"/>
  <c r="AA38" i="15" a="1"/>
  <c r="AA38" i="15" s="1"/>
  <c r="AA36" i="15" a="1"/>
  <c r="AA36" i="15" s="1"/>
  <c r="Z29" i="15"/>
  <c r="Z45" i="15"/>
  <c r="Z41" i="15" a="1"/>
  <c r="Z41" i="15" s="1"/>
  <c r="Z39" i="15" a="1"/>
  <c r="Z39" i="15" s="1"/>
  <c r="Z37" i="15" a="1"/>
  <c r="Z37" i="15" s="1"/>
  <c r="Z35" i="15" a="1"/>
  <c r="Z35" i="15" s="1"/>
  <c r="Z33" i="15" a="1"/>
  <c r="Z33" i="15" s="1"/>
  <c r="Z42" i="15" a="1"/>
  <c r="Z42" i="15" s="1"/>
  <c r="Z40" i="15" a="1"/>
  <c r="Z40" i="15" s="1"/>
  <c r="Z38" i="15" a="1"/>
  <c r="Z38" i="15" s="1"/>
  <c r="Z36" i="15" a="1"/>
  <c r="Z36" i="15" s="1"/>
  <c r="Z34" i="15" a="1"/>
  <c r="Z34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4" i="15" a="1"/>
  <c r="Y34" i="15" s="1"/>
  <c r="Y42" i="15" a="1"/>
  <c r="Y42" i="15" s="1"/>
  <c r="Y38" i="15" a="1"/>
  <c r="Y38" i="15" s="1"/>
  <c r="Y36" i="15" a="1"/>
  <c r="Y36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45" i="15"/>
  <c r="W41" i="15" a="1"/>
  <c r="W41" i="15" s="1"/>
  <c r="W35" i="15" a="1"/>
  <c r="W35" i="15" s="1"/>
  <c r="W40" i="15" a="1"/>
  <c r="W40" i="15" s="1"/>
  <c r="W34" i="15" a="1"/>
  <c r="W34" i="15" s="1"/>
  <c r="W29" i="15"/>
  <c r="W39" i="15" a="1"/>
  <c r="W39" i="15" s="1"/>
  <c r="W37" i="15" a="1"/>
  <c r="W37" i="15" s="1"/>
  <c r="W33" i="15" a="1"/>
  <c r="W33" i="15" s="1"/>
  <c r="W42" i="15" a="1"/>
  <c r="W42" i="15" s="1"/>
  <c r="W38" i="15" a="1"/>
  <c r="W38" i="15" s="1"/>
  <c r="W36" i="15" a="1"/>
  <c r="W36" i="15" s="1"/>
  <c r="V29" i="15"/>
  <c r="V39" i="15" a="1"/>
  <c r="V39" i="15" s="1"/>
  <c r="V35" i="15" a="1"/>
  <c r="V35" i="15" s="1"/>
  <c r="V45" i="15"/>
  <c r="V41" i="15" a="1"/>
  <c r="V41" i="15" s="1"/>
  <c r="V37" i="15" a="1"/>
  <c r="V37" i="15" s="1"/>
  <c r="V33" i="15" a="1"/>
  <c r="V33" i="15" s="1"/>
  <c r="V40" i="15" a="1"/>
  <c r="V40" i="15" s="1"/>
  <c r="V34" i="15" a="1"/>
  <c r="V34" i="15" s="1"/>
  <c r="V42" i="15" a="1"/>
  <c r="V42" i="15" s="1"/>
  <c r="V38" i="15" a="1"/>
  <c r="V38" i="15" s="1"/>
  <c r="V36" i="15" a="1"/>
  <c r="V36" i="15" s="1"/>
  <c r="U29" i="15"/>
  <c r="U39" i="15" a="1"/>
  <c r="U39" i="15" s="1"/>
  <c r="U35" i="15" a="1"/>
  <c r="U35" i="15" s="1"/>
  <c r="U33" i="15" a="1"/>
  <c r="U33" i="15" s="1"/>
  <c r="U45" i="15"/>
  <c r="U41" i="15" a="1"/>
  <c r="U41" i="15" s="1"/>
  <c r="U37" i="15" a="1"/>
  <c r="U37" i="15" s="1"/>
  <c r="U40" i="15" a="1"/>
  <c r="U40" i="15" s="1"/>
  <c r="U36" i="15" a="1"/>
  <c r="U36" i="15" s="1"/>
  <c r="U42" i="15" a="1"/>
  <c r="U42" i="15" s="1"/>
  <c r="U38" i="15" a="1"/>
  <c r="U38" i="15" s="1"/>
  <c r="U34" i="15" a="1"/>
  <c r="U34" i="15" s="1"/>
  <c r="T45" i="15"/>
  <c r="T41" i="15" a="1"/>
  <c r="T41" i="15" s="1"/>
  <c r="T39" i="15" a="1"/>
  <c r="T39" i="15" s="1"/>
  <c r="T37" i="15" a="1"/>
  <c r="T37" i="15" s="1"/>
  <c r="T35" i="15" a="1"/>
  <c r="T35" i="15" s="1"/>
  <c r="T33" i="15" a="1"/>
  <c r="T33" i="15" s="1"/>
  <c r="T29" i="15"/>
  <c r="T42" i="15" a="1"/>
  <c r="T42" i="15" s="1"/>
  <c r="T40" i="15" a="1"/>
  <c r="T40" i="15" s="1"/>
  <c r="T38" i="15" a="1"/>
  <c r="T38" i="15" s="1"/>
  <c r="T36" i="15" a="1"/>
  <c r="T36" i="15" s="1"/>
  <c r="T34" i="15" a="1"/>
  <c r="T34" i="15" s="1"/>
  <c r="S45" i="15"/>
  <c r="S41" i="15" a="1"/>
  <c r="S41" i="15" s="1"/>
  <c r="S39" i="15" a="1"/>
  <c r="S39" i="15" s="1"/>
  <c r="S37" i="15" a="1"/>
  <c r="S37" i="15" s="1"/>
  <c r="S35" i="15" a="1"/>
  <c r="S35" i="15" s="1"/>
  <c r="S33" i="15" a="1"/>
  <c r="S33" i="15" s="1"/>
  <c r="S29" i="15"/>
  <c r="S42" i="15" a="1"/>
  <c r="S42" i="15" s="1"/>
  <c r="S40" i="15" a="1"/>
  <c r="S40" i="15" s="1"/>
  <c r="S38" i="15" a="1"/>
  <c r="S38" i="15" s="1"/>
  <c r="S36" i="15" a="1"/>
  <c r="S36" i="15" s="1"/>
  <c r="S34" i="15" a="1"/>
  <c r="S34" i="15" s="1"/>
  <c r="R45" i="15"/>
  <c r="R41" i="15" a="1"/>
  <c r="R41" i="15" s="1"/>
  <c r="R39" i="15" a="1"/>
  <c r="R39" i="15" s="1"/>
  <c r="R37" i="15" a="1"/>
  <c r="R37" i="15" s="1"/>
  <c r="R35" i="15" a="1"/>
  <c r="R35" i="15" s="1"/>
  <c r="R33" i="15" a="1"/>
  <c r="R33" i="15" s="1"/>
  <c r="R29" i="15"/>
  <c r="R42" i="15" a="1"/>
  <c r="R42" i="15" s="1"/>
  <c r="R40" i="15" a="1"/>
  <c r="R40" i="15" s="1"/>
  <c r="R38" i="15" a="1"/>
  <c r="R38" i="15" s="1"/>
  <c r="R36" i="15" a="1"/>
  <c r="R36" i="15" s="1"/>
  <c r="R34" i="15" a="1"/>
  <c r="R34" i="15" s="1"/>
  <c r="Q29" i="15"/>
  <c r="Q39" i="15" a="1"/>
  <c r="Q39" i="15" s="1"/>
  <c r="Q37" i="15" a="1"/>
  <c r="Q37" i="15" s="1"/>
  <c r="Q33" i="15" a="1"/>
  <c r="Q33" i="15" s="1"/>
  <c r="Q45" i="15"/>
  <c r="Q41" i="15" a="1"/>
  <c r="Q41" i="15" s="1"/>
  <c r="Q35" i="15" a="1"/>
  <c r="Q35" i="15" s="1"/>
  <c r="Q36" i="15" a="1"/>
  <c r="Q36" i="15" s="1"/>
  <c r="Q42" i="15" a="1"/>
  <c r="Q42" i="15" s="1"/>
  <c r="Q40" i="15" a="1"/>
  <c r="Q40" i="15" s="1"/>
  <c r="Q38" i="15" a="1"/>
  <c r="Q38" i="15" s="1"/>
  <c r="Q34" i="15" a="1"/>
  <c r="Q34" i="15" s="1"/>
  <c r="P45" i="15"/>
  <c r="P41" i="15" a="1"/>
  <c r="P41" i="15" s="1"/>
  <c r="P39" i="15" a="1"/>
  <c r="P39" i="15" s="1"/>
  <c r="P37" i="15" a="1"/>
  <c r="P37" i="15" s="1"/>
  <c r="P35" i="15" a="1"/>
  <c r="P35" i="15" s="1"/>
  <c r="P33" i="15" a="1"/>
  <c r="P33" i="15" s="1"/>
  <c r="P29" i="15"/>
  <c r="P42" i="15" a="1"/>
  <c r="P42" i="15" s="1"/>
  <c r="P40" i="15" a="1"/>
  <c r="P40" i="15" s="1"/>
  <c r="P38" i="15" a="1"/>
  <c r="P38" i="15" s="1"/>
  <c r="P36" i="15" a="1"/>
  <c r="P36" i="15" s="1"/>
  <c r="P34" i="15" a="1"/>
  <c r="P34" i="15" s="1"/>
  <c r="O29" i="15"/>
  <c r="O39" i="15" a="1"/>
  <c r="O39" i="15" s="1"/>
  <c r="O33" i="15" a="1"/>
  <c r="O33" i="15" s="1"/>
  <c r="O45" i="15"/>
  <c r="O41" i="15" a="1"/>
  <c r="O41" i="15" s="1"/>
  <c r="O37" i="15" a="1"/>
  <c r="O37" i="15" s="1"/>
  <c r="O35" i="15" a="1"/>
  <c r="O35" i="15" s="1"/>
  <c r="O40" i="15" a="1"/>
  <c r="O40" i="15" s="1"/>
  <c r="O34" i="15" a="1"/>
  <c r="O34" i="15" s="1"/>
  <c r="O42" i="15" a="1"/>
  <c r="O42" i="15" s="1"/>
  <c r="O38" i="15" a="1"/>
  <c r="O38" i="15" s="1"/>
  <c r="O36" i="15" a="1"/>
  <c r="O36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40" i="15" a="1"/>
  <c r="N40" i="15" s="1"/>
  <c r="N36" i="15" a="1"/>
  <c r="N36" i="15" s="1"/>
  <c r="N42" i="15" a="1"/>
  <c r="N42" i="15" s="1"/>
  <c r="N38" i="15" a="1"/>
  <c r="N38" i="15" s="1"/>
  <c r="N34" i="15" a="1"/>
  <c r="N34" i="15" s="1"/>
  <c r="M29" i="15"/>
  <c r="M45" i="15"/>
  <c r="M41" i="15" a="1"/>
  <c r="M41" i="15" s="1"/>
  <c r="M37" i="15" a="1"/>
  <c r="M37" i="15" s="1"/>
  <c r="M33" i="15" a="1"/>
  <c r="M33" i="15" s="1"/>
  <c r="M39" i="15" a="1"/>
  <c r="M39" i="15" s="1"/>
  <c r="M35" i="15" a="1"/>
  <c r="M35" i="15" s="1"/>
  <c r="M40" i="15" a="1"/>
  <c r="M40" i="15" s="1"/>
  <c r="M34" i="15" a="1"/>
  <c r="M34" i="15" s="1"/>
  <c r="M42" i="15" a="1"/>
  <c r="M42" i="15" s="1"/>
  <c r="M38" i="15" a="1"/>
  <c r="M38" i="15" s="1"/>
  <c r="M36" i="15" a="1"/>
  <c r="M36" i="15" s="1"/>
  <c r="L35" i="15" a="1"/>
  <c r="L35" i="15" s="1"/>
  <c r="L45" i="15"/>
  <c r="L41" i="15" a="1"/>
  <c r="L41" i="15" s="1"/>
  <c r="L33" i="15" a="1"/>
  <c r="L33" i="15" s="1"/>
  <c r="L38" i="15" a="1"/>
  <c r="L38" i="15" s="1"/>
  <c r="L34" i="15" a="1"/>
  <c r="L34" i="15" s="1"/>
  <c r="L29" i="15"/>
  <c r="L39" i="15" a="1"/>
  <c r="L39" i="15" s="1"/>
  <c r="L37" i="15" a="1"/>
  <c r="L37" i="15" s="1"/>
  <c r="L42" i="15" a="1"/>
  <c r="L42" i="15" s="1"/>
  <c r="L40" i="15" a="1"/>
  <c r="L40" i="15" s="1"/>
  <c r="L36" i="15" a="1"/>
  <c r="L36" i="15" s="1"/>
  <c r="K37" i="15" a="1"/>
  <c r="K37" i="15" s="1"/>
  <c r="K45" i="15"/>
  <c r="K41" i="15" a="1"/>
  <c r="K41" i="15" s="1"/>
  <c r="K33" i="15" a="1"/>
  <c r="K33" i="15" s="1"/>
  <c r="K38" i="15" a="1"/>
  <c r="K38" i="15" s="1"/>
  <c r="K34" i="15" a="1"/>
  <c r="K34" i="15" s="1"/>
  <c r="K29" i="15"/>
  <c r="K39" i="15" a="1"/>
  <c r="K39" i="15" s="1"/>
  <c r="K35" i="15" a="1"/>
  <c r="K35" i="15" s="1"/>
  <c r="K42" i="15" a="1"/>
  <c r="K42" i="15" s="1"/>
  <c r="K40" i="15" a="1"/>
  <c r="K40" i="15" s="1"/>
  <c r="K36" i="15" a="1"/>
  <c r="K36" i="15" s="1"/>
  <c r="J29" i="15"/>
  <c r="J39" i="15" a="1"/>
  <c r="J39" i="15" s="1"/>
  <c r="J35" i="15" a="1"/>
  <c r="J35" i="15" s="1"/>
  <c r="J45" i="15"/>
  <c r="J41" i="15" a="1"/>
  <c r="J41" i="15" s="1"/>
  <c r="J37" i="15" a="1"/>
  <c r="J37" i="15" s="1"/>
  <c r="J33" i="15" a="1"/>
  <c r="J33" i="15" s="1"/>
  <c r="J40" i="15" a="1"/>
  <c r="J40" i="15" s="1"/>
  <c r="J36" i="15" a="1"/>
  <c r="J36" i="15" s="1"/>
  <c r="J42" i="15" a="1"/>
  <c r="J42" i="15" s="1"/>
  <c r="J38" i="15" a="1"/>
  <c r="J38" i="15" s="1"/>
  <c r="J34" i="15" a="1"/>
  <c r="J34" i="15" s="1"/>
  <c r="I29" i="15"/>
  <c r="I39" i="15" a="1"/>
  <c r="I39" i="15" s="1"/>
  <c r="I33" i="15" a="1"/>
  <c r="I33" i="15" s="1"/>
  <c r="I45" i="15"/>
  <c r="I41" i="15" a="1"/>
  <c r="I41" i="15" s="1"/>
  <c r="I37" i="15" a="1"/>
  <c r="I37" i="15" s="1"/>
  <c r="I35" i="15" a="1"/>
  <c r="I35" i="15" s="1"/>
  <c r="I40" i="15" a="1"/>
  <c r="I40" i="15" s="1"/>
  <c r="I34" i="15" a="1"/>
  <c r="I34" i="15" s="1"/>
  <c r="I42" i="15" a="1"/>
  <c r="I42" i="15" s="1"/>
  <c r="I38" i="15" a="1"/>
  <c r="I38" i="15" s="1"/>
  <c r="I36" i="15" a="1"/>
  <c r="I36" i="15" s="1"/>
  <c r="E8" i="12"/>
  <c r="B8" i="12" s="1"/>
  <c r="D8" i="12" s="1"/>
  <c r="A8" i="12" s="1"/>
  <c r="C8" i="12"/>
  <c r="E9" i="12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33" i="14" a="1"/>
  <c r="AC33" i="14" s="1"/>
  <c r="AC45" i="14"/>
  <c r="AC41" i="14" a="1"/>
  <c r="AC41" i="14" s="1"/>
  <c r="AC37" i="14" a="1"/>
  <c r="AC37" i="14" s="1"/>
  <c r="AC40" i="14" a="1"/>
  <c r="AC40" i="14" s="1"/>
  <c r="AC38" i="14" a="1"/>
  <c r="AC38" i="14" s="1"/>
  <c r="AC42" i="14" a="1"/>
  <c r="AC42" i="14" s="1"/>
  <c r="AC36" i="14" a="1"/>
  <c r="AC36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41" i="14" a="1"/>
  <c r="AA41" i="14" s="1"/>
  <c r="AA39" i="14" a="1"/>
  <c r="AA39" i="14" s="1"/>
  <c r="AA35" i="14" a="1"/>
  <c r="AA35" i="14" s="1"/>
  <c r="AA33" i="14" a="1"/>
  <c r="AA33" i="14" s="1"/>
  <c r="AA45" i="14"/>
  <c r="AA37" i="14" a="1"/>
  <c r="AA37" i="14" s="1"/>
  <c r="AA40" i="14" a="1"/>
  <c r="AA40" i="14" s="1"/>
  <c r="AA38" i="14" a="1"/>
  <c r="AA38" i="14" s="1"/>
  <c r="AA36" i="14" a="1"/>
  <c r="AA36" i="14" s="1"/>
  <c r="AA42" i="14" a="1"/>
  <c r="AA42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5" i="14" a="1"/>
  <c r="W35" i="14" s="1"/>
  <c r="W45" i="14"/>
  <c r="W41" i="14" a="1"/>
  <c r="W41" i="14" s="1"/>
  <c r="W37" i="14" a="1"/>
  <c r="W37" i="14" s="1"/>
  <c r="W33" i="14" a="1"/>
  <c r="W33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5" i="14" a="1"/>
  <c r="V35" i="14" s="1"/>
  <c r="V45" i="14"/>
  <c r="V41" i="14" a="1"/>
  <c r="V41" i="14" s="1"/>
  <c r="V37" i="14" a="1"/>
  <c r="V37" i="14" s="1"/>
  <c r="V33" i="14" a="1"/>
  <c r="V33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45" i="14"/>
  <c r="U41" i="14" a="1"/>
  <c r="U41" i="14" s="1"/>
  <c r="U39" i="14" a="1"/>
  <c r="U39" i="14" s="1"/>
  <c r="U37" i="14" a="1"/>
  <c r="U37" i="14" s="1"/>
  <c r="U35" i="14" a="1"/>
  <c r="U35" i="14" s="1"/>
  <c r="U40" i="14" a="1"/>
  <c r="U40" i="14" s="1"/>
  <c r="U38" i="14" a="1"/>
  <c r="U38" i="14" s="1"/>
  <c r="U34" i="14" a="1"/>
  <c r="U34" i="14" s="1"/>
  <c r="U29" i="14"/>
  <c r="U33" i="14" a="1"/>
  <c r="U33" i="14" s="1"/>
  <c r="U42" i="14" a="1"/>
  <c r="U42" i="14" s="1"/>
  <c r="U36" i="14" a="1"/>
  <c r="U36" i="14" s="1"/>
  <c r="T29" i="14"/>
  <c r="T39" i="14" a="1"/>
  <c r="T39" i="14" s="1"/>
  <c r="T37" i="14" a="1"/>
  <c r="T37" i="14" s="1"/>
  <c r="T33" i="14" a="1"/>
  <c r="T33" i="14" s="1"/>
  <c r="T45" i="14"/>
  <c r="T41" i="14" a="1"/>
  <c r="T41" i="14" s="1"/>
  <c r="T35" i="14" a="1"/>
  <c r="T35" i="14" s="1"/>
  <c r="T40" i="14" a="1"/>
  <c r="T40" i="14" s="1"/>
  <c r="T38" i="14" a="1"/>
  <c r="T38" i="14" s="1"/>
  <c r="T34" i="14" a="1"/>
  <c r="T34" i="14" s="1"/>
  <c r="T42" i="14" a="1"/>
  <c r="T42" i="14" s="1"/>
  <c r="T36" i="14" a="1"/>
  <c r="T36" i="14" s="1"/>
  <c r="S29" i="14"/>
  <c r="S39" i="14" a="1"/>
  <c r="S39" i="14" s="1"/>
  <c r="S35" i="14" a="1"/>
  <c r="S35" i="14" s="1"/>
  <c r="S45" i="14"/>
  <c r="S41" i="14" a="1"/>
  <c r="S41" i="14" s="1"/>
  <c r="S37" i="14" a="1"/>
  <c r="S37" i="14" s="1"/>
  <c r="S33" i="14" a="1"/>
  <c r="S33" i="14" s="1"/>
  <c r="S40" i="14" a="1"/>
  <c r="S40" i="14" s="1"/>
  <c r="S36" i="14" a="1"/>
  <c r="S36" i="14" s="1"/>
  <c r="S42" i="14" a="1"/>
  <c r="S42" i="14" s="1"/>
  <c r="S38" i="14" a="1"/>
  <c r="S38" i="14" s="1"/>
  <c r="S34" i="14" a="1"/>
  <c r="S34" i="14" s="1"/>
  <c r="R29" i="14"/>
  <c r="R39" i="14" a="1"/>
  <c r="R39" i="14" s="1"/>
  <c r="R37" i="14" a="1"/>
  <c r="R37" i="14" s="1"/>
  <c r="R33" i="14" a="1"/>
  <c r="R33" i="14" s="1"/>
  <c r="R45" i="14"/>
  <c r="R41" i="14" a="1"/>
  <c r="R41" i="14" s="1"/>
  <c r="R35" i="14" a="1"/>
  <c r="R35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5" i="14" a="1"/>
  <c r="Q35" i="14" s="1"/>
  <c r="Q45" i="14"/>
  <c r="Q41" i="14" a="1"/>
  <c r="Q41" i="14" s="1"/>
  <c r="Q37" i="14" a="1"/>
  <c r="Q37" i="14" s="1"/>
  <c r="Q33" i="14" a="1"/>
  <c r="Q33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39" i="14" a="1"/>
  <c r="P39" i="14" s="1"/>
  <c r="P37" i="14" a="1"/>
  <c r="P37" i="14" s="1"/>
  <c r="P33" i="14" a="1"/>
  <c r="P33" i="14" s="1"/>
  <c r="P45" i="14"/>
  <c r="P41" i="14" a="1"/>
  <c r="P41" i="14" s="1"/>
  <c r="P35" i="14" a="1"/>
  <c r="P35" i="14" s="1"/>
  <c r="P40" i="14" a="1"/>
  <c r="P40" i="14" s="1"/>
  <c r="P36" i="14" a="1"/>
  <c r="P36" i="14" s="1"/>
  <c r="P42" i="14" a="1"/>
  <c r="P42" i="14" s="1"/>
  <c r="P38" i="14" a="1"/>
  <c r="P38" i="14" s="1"/>
  <c r="P34" i="14" a="1"/>
  <c r="P34" i="14" s="1"/>
  <c r="O29" i="14"/>
  <c r="O45" i="14"/>
  <c r="O41" i="14" a="1"/>
  <c r="O41" i="14" s="1"/>
  <c r="O37" i="14" a="1"/>
  <c r="O37" i="14" s="1"/>
  <c r="O33" i="14" a="1"/>
  <c r="O33" i="14" s="1"/>
  <c r="O39" i="14" a="1"/>
  <c r="O39" i="14" s="1"/>
  <c r="O35" i="14" a="1"/>
  <c r="O35" i="14" s="1"/>
  <c r="O36" i="14" a="1"/>
  <c r="O36" i="14" s="1"/>
  <c r="O42" i="14" a="1"/>
  <c r="O42" i="14" s="1"/>
  <c r="O40" i="14" a="1"/>
  <c r="O40" i="14" s="1"/>
  <c r="O38" i="14" a="1"/>
  <c r="O38" i="14" s="1"/>
  <c r="O34" i="14" a="1"/>
  <c r="O34" i="14" s="1"/>
  <c r="N29" i="14"/>
  <c r="N39" i="14" a="1"/>
  <c r="N39" i="14" s="1"/>
  <c r="N35" i="14" a="1"/>
  <c r="N35" i="14" s="1"/>
  <c r="N45" i="14"/>
  <c r="N41" i="14" a="1"/>
  <c r="N41" i="14" s="1"/>
  <c r="N37" i="14" a="1"/>
  <c r="N37" i="14" s="1"/>
  <c r="N33" i="14" a="1"/>
  <c r="N33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M29" i="14"/>
  <c r="M39" i="14" a="1"/>
  <c r="M39" i="14" s="1"/>
  <c r="M35" i="14" a="1"/>
  <c r="M35" i="14" s="1"/>
  <c r="M45" i="14"/>
  <c r="M41" i="14" a="1"/>
  <c r="M41" i="14" s="1"/>
  <c r="M37" i="14" a="1"/>
  <c r="M37" i="14" s="1"/>
  <c r="M33" i="14" a="1"/>
  <c r="M33" i="14" s="1"/>
  <c r="M40" i="14" a="1"/>
  <c r="M40" i="14" s="1"/>
  <c r="M36" i="14" a="1"/>
  <c r="M36" i="14" s="1"/>
  <c r="M42" i="14" a="1"/>
  <c r="M42" i="14" s="1"/>
  <c r="M38" i="14" a="1"/>
  <c r="M38" i="14" s="1"/>
  <c r="M34" i="14" a="1"/>
  <c r="M34" i="14" s="1"/>
  <c r="L29" i="14"/>
  <c r="L39" i="14" a="1"/>
  <c r="L39" i="14" s="1"/>
  <c r="L35" i="14" a="1"/>
  <c r="L35" i="14" s="1"/>
  <c r="L45" i="14"/>
  <c r="L41" i="14" a="1"/>
  <c r="L41" i="14" s="1"/>
  <c r="L37" i="14" a="1"/>
  <c r="L37" i="14" s="1"/>
  <c r="L33" i="14" a="1"/>
  <c r="L33" i="14" s="1"/>
  <c r="L40" i="14" a="1"/>
  <c r="L40" i="14" s="1"/>
  <c r="L36" i="14" a="1"/>
  <c r="L36" i="14" s="1"/>
  <c r="L42" i="14" a="1"/>
  <c r="L42" i="14" s="1"/>
  <c r="L38" i="14" a="1"/>
  <c r="L38" i="14" s="1"/>
  <c r="L34" i="14" a="1"/>
  <c r="L34" i="14" s="1"/>
  <c r="K29" i="14"/>
  <c r="K39" i="14" a="1"/>
  <c r="K39" i="14" s="1"/>
  <c r="K37" i="14" a="1"/>
  <c r="K37" i="14" s="1"/>
  <c r="K45" i="14"/>
  <c r="K41" i="14" a="1"/>
  <c r="K41" i="14" s="1"/>
  <c r="K35" i="14" a="1"/>
  <c r="K35" i="14" s="1"/>
  <c r="K33" i="14" a="1"/>
  <c r="K33" i="14" s="1"/>
  <c r="K40" i="14" a="1"/>
  <c r="K40" i="14" s="1"/>
  <c r="K36" i="14" a="1"/>
  <c r="K36" i="14" s="1"/>
  <c r="K42" i="14" a="1"/>
  <c r="K42" i="14" s="1"/>
  <c r="K38" i="14" a="1"/>
  <c r="K38" i="14" s="1"/>
  <c r="K34" i="14" a="1"/>
  <c r="K34" i="14" s="1"/>
  <c r="J29" i="14"/>
  <c r="J39" i="14" a="1"/>
  <c r="J39" i="14" s="1"/>
  <c r="J37" i="14" a="1"/>
  <c r="J37" i="14" s="1"/>
  <c r="J33" i="14" a="1"/>
  <c r="J33" i="14" s="1"/>
  <c r="J45" i="14"/>
  <c r="J41" i="14" a="1"/>
  <c r="J41" i="14" s="1"/>
  <c r="J35" i="14" a="1"/>
  <c r="J35" i="14" s="1"/>
  <c r="J40" i="14" a="1"/>
  <c r="J40" i="14" s="1"/>
  <c r="J38" i="14" a="1"/>
  <c r="J38" i="14" s="1"/>
  <c r="J34" i="14" a="1"/>
  <c r="J34" i="14" s="1"/>
  <c r="J42" i="14" a="1"/>
  <c r="J42" i="14" s="1"/>
  <c r="J36" i="14" a="1"/>
  <c r="J36" i="14" s="1"/>
  <c r="I29" i="14"/>
  <c r="I39" i="14" a="1"/>
  <c r="I39" i="14" s="1"/>
  <c r="I33" i="14" a="1"/>
  <c r="I33" i="14" s="1"/>
  <c r="I45" i="14"/>
  <c r="I41" i="14" a="1"/>
  <c r="I41" i="14" s="1"/>
  <c r="I37" i="14" a="1"/>
  <c r="I37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I35" i="14" a="1"/>
  <c r="I35" i="14" s="1"/>
  <c r="H29" i="14"/>
  <c r="H39" i="14" a="1"/>
  <c r="H39" i="14" s="1"/>
  <c r="H35" i="14" a="1"/>
  <c r="H35" i="14" s="1"/>
  <c r="H45" i="14"/>
  <c r="H41" i="14" a="1"/>
  <c r="H41" i="14" s="1"/>
  <c r="H37" i="14" a="1"/>
  <c r="H37" i="14" s="1"/>
  <c r="H33" i="14" a="1"/>
  <c r="H33" i="14" s="1"/>
  <c r="H40" i="14" a="1"/>
  <c r="H40" i="14" s="1"/>
  <c r="H36" i="14" a="1"/>
  <c r="H36" i="14" s="1"/>
  <c r="H42" i="14" a="1"/>
  <c r="H42" i="14" s="1"/>
  <c r="H38" i="14" a="1"/>
  <c r="H38" i="14" s="1"/>
  <c r="H34" i="14" a="1"/>
  <c r="H34" i="14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9" i="12"/>
  <c r="E10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B10" i="12"/>
  <c r="E11" i="12"/>
  <c r="C9" i="12"/>
  <c r="D9" i="12"/>
  <c r="A9" i="12" s="1"/>
  <c r="C10" i="13" l="1"/>
  <c r="D10" i="13" a="1"/>
  <c r="D10" i="13" s="1"/>
  <c r="A10" i="13" s="1"/>
  <c r="E12" i="13"/>
  <c r="B11" i="13"/>
  <c r="B11" i="12"/>
  <c r="E12" i="12"/>
  <c r="D10" i="12"/>
  <c r="A10" i="12" s="1"/>
  <c r="C10" i="12"/>
  <c r="B12" i="13" l="1"/>
  <c r="E13" i="13"/>
  <c r="D11" i="13" a="1"/>
  <c r="D11" i="13" s="1"/>
  <c r="A11" i="13" s="1"/>
  <c r="C11" i="13"/>
  <c r="C11" i="12"/>
  <c r="D11" i="12"/>
  <c r="A11" i="12" s="1"/>
  <c r="B12" i="12"/>
  <c r="E13" i="12"/>
  <c r="C12" i="13" l="1"/>
  <c r="D12" i="13" a="1"/>
  <c r="D12" i="13" s="1"/>
  <c r="A12" i="13" s="1"/>
  <c r="E14" i="13"/>
  <c r="B13" i="13"/>
  <c r="C12" i="12"/>
  <c r="D12" i="12"/>
  <c r="A12" i="12" s="1"/>
  <c r="B13" i="12"/>
  <c r="E14" i="12"/>
  <c r="B14" i="13" l="1"/>
  <c r="E15" i="13"/>
  <c r="D13" i="13" a="1"/>
  <c r="D13" i="13" s="1"/>
  <c r="A13" i="13" s="1"/>
  <c r="C13" i="13"/>
  <c r="B14" i="12"/>
  <c r="E15" i="12"/>
  <c r="C13" i="12"/>
  <c r="D13" i="12"/>
  <c r="A13" i="12" s="1"/>
  <c r="C14" i="13" l="1"/>
  <c r="D14" i="13" a="1"/>
  <c r="D14" i="13" s="1"/>
  <c r="A14" i="13" s="1"/>
  <c r="E16" i="13"/>
  <c r="B15" i="13"/>
  <c r="B15" i="12"/>
  <c r="E16" i="12"/>
  <c r="D14" i="12"/>
  <c r="A14" i="12" s="1"/>
  <c r="C14" i="12"/>
  <c r="D15" i="13" l="1" a="1"/>
  <c r="D15" i="13" s="1"/>
  <c r="A15" i="13" s="1"/>
  <c r="C15" i="13"/>
  <c r="B16" i="13"/>
  <c r="E17" i="13"/>
  <c r="B16" i="12"/>
  <c r="E17" i="12"/>
  <c r="C15" i="12"/>
  <c r="D15" i="12"/>
  <c r="A15" i="12" s="1"/>
  <c r="E18" i="13" l="1"/>
  <c r="B17" i="13"/>
  <c r="C16" i="13"/>
  <c r="D16" i="13" a="1"/>
  <c r="D16" i="13" s="1"/>
  <c r="A16" i="13" s="1"/>
  <c r="B17" i="12"/>
  <c r="E18" i="12"/>
  <c r="C16" i="12"/>
  <c r="D16" i="12"/>
  <c r="A16" i="12" s="1"/>
  <c r="D17" i="13" l="1" a="1"/>
  <c r="D17" i="13" s="1"/>
  <c r="A17" i="13" s="1"/>
  <c r="C17" i="13"/>
  <c r="B18" i="13"/>
  <c r="E19" i="13"/>
  <c r="B18" i="12"/>
  <c r="E19" i="12"/>
  <c r="C17" i="12"/>
  <c r="D17" i="12"/>
  <c r="A17" i="12" s="1"/>
  <c r="E20" i="13" l="1"/>
  <c r="B19" i="13"/>
  <c r="C18" i="13"/>
  <c r="D18" i="13" a="1"/>
  <c r="D18" i="13" s="1"/>
  <c r="A18" i="13" s="1"/>
  <c r="D18" i="12"/>
  <c r="A18" i="12" s="1"/>
  <c r="C18" i="12"/>
  <c r="E20" i="12"/>
  <c r="B19" i="12"/>
  <c r="D19" i="13" l="1" a="1"/>
  <c r="D19" i="13" s="1"/>
  <c r="A19" i="13" s="1"/>
  <c r="C19" i="13"/>
  <c r="B20" i="13"/>
  <c r="E21" i="13"/>
  <c r="C19" i="12"/>
  <c r="D19" i="12"/>
  <c r="A19" i="12" s="1"/>
  <c r="B20" i="12"/>
  <c r="E21" i="12"/>
  <c r="E22" i="13" l="1"/>
  <c r="B21" i="13"/>
  <c r="C20" i="13"/>
  <c r="D20" i="13" a="1"/>
  <c r="D20" i="13" s="1"/>
  <c r="A20" i="13" s="1"/>
  <c r="B21" i="12"/>
  <c r="E22" i="12"/>
  <c r="C20" i="12"/>
  <c r="D20" i="12"/>
  <c r="A20" i="12" s="1"/>
  <c r="D21" i="13" l="1" a="1"/>
  <c r="D21" i="13" s="1"/>
  <c r="A21" i="13" s="1"/>
  <c r="C21" i="13"/>
  <c r="B22" i="13"/>
  <c r="E23" i="13"/>
  <c r="C21" i="12"/>
  <c r="D21" i="12"/>
  <c r="A21" i="12" s="1"/>
  <c r="B22" i="12"/>
  <c r="E23" i="12"/>
  <c r="E24" i="13" l="1"/>
  <c r="B23" i="13"/>
  <c r="C22" i="13"/>
  <c r="D22" i="13" a="1"/>
  <c r="D22" i="13" s="1"/>
  <c r="A22" i="13" s="1"/>
  <c r="D22" i="12"/>
  <c r="A22" i="12" s="1"/>
  <c r="C22" i="12"/>
  <c r="B23" i="12"/>
  <c r="E24" i="12"/>
  <c r="B24" i="13" l="1"/>
  <c r="E25" i="13"/>
  <c r="D23" i="13" a="1"/>
  <c r="D23" i="13" s="1"/>
  <c r="A23" i="13" s="1"/>
  <c r="C23" i="13"/>
  <c r="B24" i="12"/>
  <c r="E25" i="12"/>
  <c r="C23" i="12"/>
  <c r="D23" i="12"/>
  <c r="A23" i="12" s="1"/>
  <c r="C24" i="13" l="1"/>
  <c r="D24" i="13" a="1"/>
  <c r="D24" i="13" s="1"/>
  <c r="A24" i="13" s="1"/>
  <c r="E26" i="13"/>
  <c r="B25" i="13"/>
  <c r="B25" i="12"/>
  <c r="E26" i="12"/>
  <c r="C24" i="12"/>
  <c r="D24" i="12"/>
  <c r="A24" i="12" s="1"/>
  <c r="B26" i="13" l="1"/>
  <c r="E27" i="13"/>
  <c r="D25" i="13" a="1"/>
  <c r="D25" i="13" s="1"/>
  <c r="A25" i="13" s="1"/>
  <c r="C25" i="13"/>
  <c r="C25" i="12"/>
  <c r="D25" i="12"/>
  <c r="A25" i="12" s="1"/>
  <c r="B26" i="12"/>
  <c r="E27" i="12"/>
  <c r="C26" i="13" l="1"/>
  <c r="D26" i="13" a="1"/>
  <c r="D26" i="13" s="1"/>
  <c r="A26" i="13" s="1"/>
  <c r="E28" i="13"/>
  <c r="B27" i="13"/>
  <c r="D26" i="12"/>
  <c r="A26" i="12" s="1"/>
  <c r="C26" i="12"/>
  <c r="B27" i="12"/>
  <c r="E28" i="12"/>
  <c r="B28" i="13" l="1"/>
  <c r="E29" i="13"/>
  <c r="D27" i="13" a="1"/>
  <c r="D27" i="13" s="1"/>
  <c r="A27" i="13" s="1"/>
  <c r="C27" i="13"/>
  <c r="B28" i="12"/>
  <c r="E29" i="12"/>
  <c r="C27" i="12"/>
  <c r="D27" i="12"/>
  <c r="A27" i="12" s="1"/>
  <c r="C28" i="13" l="1"/>
  <c r="D28" i="13" a="1"/>
  <c r="D28" i="13" s="1"/>
  <c r="A28" i="13" s="1"/>
  <c r="E30" i="13"/>
  <c r="B29" i="13"/>
  <c r="B29" i="12"/>
  <c r="E30" i="12"/>
  <c r="C28" i="12"/>
  <c r="D28" i="12"/>
  <c r="A28" i="12" s="1"/>
  <c r="B30" i="13" l="1"/>
  <c r="E31" i="13"/>
  <c r="D29" i="13" a="1"/>
  <c r="D29" i="13" s="1"/>
  <c r="A29" i="13" s="1"/>
  <c r="C29" i="13"/>
  <c r="D29" i="12"/>
  <c r="A29" i="12" s="1"/>
  <c r="C29" i="12"/>
  <c r="B30" i="12"/>
  <c r="E31" i="12"/>
  <c r="C30" i="13" l="1"/>
  <c r="D30" i="13" a="1"/>
  <c r="D30" i="13" s="1"/>
  <c r="A30" i="13" s="1"/>
  <c r="B31" i="13"/>
  <c r="B31" i="12"/>
  <c r="D30" i="12"/>
  <c r="A30" i="12" s="1"/>
  <c r="C30" i="12"/>
  <c r="D31" i="13" l="1" a="1"/>
  <c r="D31" i="13" s="1"/>
  <c r="A31" i="13" s="1"/>
  <c r="C31" i="13"/>
  <c r="C31" i="12"/>
  <c r="D31" i="12"/>
  <c r="A31" i="12" s="1"/>
  <c r="D6" i="30" l="1"/>
  <c r="B1" i="30"/>
  <c r="D1" i="30" s="1"/>
  <c r="D6" i="29"/>
  <c r="B1" i="29"/>
  <c r="D1" i="29" s="1"/>
  <c r="T16" i="1" l="1"/>
  <c r="D6" i="27" l="1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D19" i="16" l="1"/>
  <c r="J8" i="16" l="1"/>
  <c r="K8" i="16"/>
  <c r="J9" i="16"/>
  <c r="K9" i="16"/>
  <c r="J10" i="16"/>
  <c r="K10" i="16"/>
  <c r="J11" i="16"/>
  <c r="K11" i="16"/>
  <c r="J12" i="16"/>
  <c r="K12" i="16"/>
  <c r="J13" i="16"/>
  <c r="K13" i="16"/>
  <c r="I13" i="16" s="1"/>
  <c r="J14" i="16"/>
  <c r="K14" i="16"/>
  <c r="I14" i="16" s="1"/>
  <c r="J15" i="16"/>
  <c r="K15" i="16"/>
  <c r="I15" i="16" s="1"/>
  <c r="J16" i="16"/>
  <c r="K16" i="16"/>
  <c r="I16" i="16" s="1"/>
  <c r="J7" i="16" l="1"/>
  <c r="K7" i="16"/>
  <c r="H19" i="16" l="1"/>
  <c r="G19" i="16"/>
  <c r="H31" i="15" l="1" a="1"/>
  <c r="H31" i="15" s="1"/>
  <c r="G31" i="14" a="1"/>
  <c r="G31" i="14" s="1"/>
  <c r="E19" i="16" l="1"/>
  <c r="J17" i="16" l="1"/>
  <c r="K17" i="16"/>
  <c r="I17" i="16" s="1"/>
  <c r="J18" i="16"/>
  <c r="K18" i="16"/>
  <c r="I18" i="16" s="1"/>
  <c r="J22" i="16" l="1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34" i="14" l="1" a="1"/>
  <c r="B34" i="14" s="1"/>
  <c r="A33" i="15"/>
  <c r="B34" i="15" a="1"/>
  <c r="B34" i="15" s="1"/>
  <c r="B35" i="15" s="1" a="1"/>
  <c r="B35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A35" i="15" l="1"/>
  <c r="H35" i="15" a="1"/>
  <c r="H35" i="15" s="1"/>
  <c r="B36" i="15" a="1"/>
  <c r="B36" i="15" s="1"/>
  <c r="B35" i="14" a="1"/>
  <c r="B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H36" i="15" l="1" a="1"/>
  <c r="H36" i="15" s="1"/>
  <c r="A36" i="15"/>
  <c r="B37" i="15" a="1"/>
  <c r="B37" i="15" s="1"/>
  <c r="B36" i="14" a="1"/>
  <c r="B36" i="14" s="1"/>
  <c r="A36" i="14" s="1"/>
  <c r="G35" i="14" a="1"/>
  <c r="G35" i="14" s="1"/>
  <c r="A35" i="14"/>
  <c r="A37" i="15" l="1"/>
  <c r="H37" i="15" a="1"/>
  <c r="H37" i="15" s="1"/>
  <c r="B38" i="15" a="1"/>
  <c r="B38" i="15" s="1"/>
  <c r="B37" i="14" a="1"/>
  <c r="B37" i="14" s="1"/>
  <c r="G36" i="14" a="1"/>
  <c r="G36" i="14" s="1"/>
  <c r="H38" i="15" l="1" a="1"/>
  <c r="H38" i="15" s="1"/>
  <c r="A38" i="15"/>
  <c r="B39" i="15" a="1"/>
  <c r="B39" i="15" s="1"/>
  <c r="B38" i="14" a="1"/>
  <c r="B38" i="14" s="1"/>
  <c r="G38" i="14" s="1" a="1"/>
  <c r="G38" i="14" s="1"/>
  <c r="G37" i="14" a="1"/>
  <c r="G37" i="14" s="1"/>
  <c r="A37" i="14"/>
  <c r="A39" i="15" l="1"/>
  <c r="H39" i="15" a="1"/>
  <c r="H39" i="15" s="1"/>
  <c r="B40" i="15" a="1"/>
  <c r="B40" i="15" s="1"/>
  <c r="A38" i="14"/>
  <c r="B39" i="14" a="1"/>
  <c r="B39" i="14" s="1"/>
  <c r="H40" i="15" l="1" a="1"/>
  <c r="H40" i="15" s="1"/>
  <c r="A40" i="15"/>
  <c r="B41" i="15" a="1"/>
  <c r="B41" i="15" s="1"/>
  <c r="G39" i="14" a="1"/>
  <c r="G39" i="14" s="1"/>
  <c r="B40" i="14" a="1"/>
  <c r="B40" i="14" s="1"/>
  <c r="B41" i="14" s="1" a="1"/>
  <c r="B41" i="14" s="1"/>
  <c r="A39" i="14"/>
  <c r="A41" i="15" l="1"/>
  <c r="H41" i="15" a="1"/>
  <c r="H41" i="15" s="1"/>
  <c r="B42" i="15" a="1"/>
  <c r="B42" i="15" s="1"/>
  <c r="A41" i="14"/>
  <c r="G41" i="14" a="1"/>
  <c r="G41" i="14" s="1"/>
  <c r="G40" i="14" a="1"/>
  <c r="G40" i="14" s="1"/>
  <c r="A40" i="14"/>
  <c r="B42" i="14" a="1"/>
  <c r="B42" i="14" s="1"/>
  <c r="H42" i="15" l="1" a="1"/>
  <c r="H42" i="15" s="1"/>
  <c r="A42" i="15"/>
  <c r="G42" i="14" a="1"/>
  <c r="G42" i="14" s="1"/>
  <c r="A42" i="14"/>
  <c r="H46" i="15" l="1"/>
  <c r="G46" i="14"/>
  <c r="D49" i="15" l="1" a="1"/>
  <c r="D49" i="15" s="1"/>
  <c r="A49" i="15" s="1"/>
  <c r="D49" i="14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<sst xmlns="http://schemas.openxmlformats.org/spreadsheetml/2006/main" count="3946" uniqueCount="745">
  <si>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</si>
  <si>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</si>
  <si>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</si>
  <si>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</si>
  <si>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</si>
  <si>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</si>
  <si>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</si>
  <si>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</si>
  <si>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</si>
  <si>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</si>
  <si>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</si>
  <si>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</si>
  <si>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</si>
  <si>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</si>
  <si>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</si>
  <si>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</si>
  <si>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</si>
  <si>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</si>
  <si>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</si>
  <si>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</si>
  <si>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</si>
  <si>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</si>
  <si>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</si>
  <si>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</si>
  <si>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</si>
  <si>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</si>
  <si>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</si>
  <si>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</si>
  <si>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</si>
  <si>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</si>
  <si>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</si>
  <si>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</si>
  <si>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</si>
  <si>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</si>
  <si>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</si>
  <si>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</si>
  <si>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</si>
  <si>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</si>
  <si>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</si>
  <si>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</si>
  <si>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</si>
  <si>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</si>
  <si>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</si>
  <si>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</si>
  <si>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</si>
  <si>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</si>
  <si>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</si>
  <si>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</si>
  <si>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</si>
  <si>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</si>
  <si>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</si>
  <si>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</si>
  <si>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</si>
  <si>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</si>
  <si>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</si>
  <si>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</si>
  <si>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</si>
  <si>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</si>
  <si>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</si>
  <si>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</si>
  <si>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</si>
  <si>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</si>
  <si>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</si>
  <si>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</si>
  <si>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</si>
  <si>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</si>
  <si>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</si>
  <si>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</si>
  <si>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</si>
  <si>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</si>
  <si>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</si>
  <si>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</si>
  <si>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</si>
  <si>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</si>
  <si>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</si>
  <si>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</si>
  <si>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</si>
  <si>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</si>
  <si>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</si>
  <si>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</si>
  <si>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</si>
  <si>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</si>
  <si>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</si>
  <si>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</si>
  <si>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</si>
  <si>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</si>
  <si>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</si>
  <si>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</si>
  <si>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</si>
  <si>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</si>
  <si>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</si>
  <si>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</si>
  <si>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</si>
  <si>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</si>
  <si>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</si>
  <si>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</si>
  <si>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</si>
  <si>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</si>
  <si>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</si>
  <si>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</si>
  <si>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</si>
  <si>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</si>
  <si>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</si>
  <si>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</si>
  <si>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</si>
  <si>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</si>
  <si>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</si>
  <si>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</si>
  <si>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</si>
  <si>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</si>
  <si>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</si>
  <si>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</si>
  <si>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</si>
  <si>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</si>
  <si>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</si>
  <si>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</si>
  <si>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</si>
  <si>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</si>
  <si>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</si>
  <si>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</si>
  <si>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</si>
  <si>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</si>
  <si>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</si>
  <si>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</si>
  <si>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</si>
  <si>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</si>
  <si>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</si>
  <si>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</si>
  <si>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</si>
  <si>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</si>
  <si>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</si>
  <si>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</si>
  <si>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</si>
  <si>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</si>
  <si>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</si>
  <si>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</si>
  <si>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</si>
  <si>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</si>
  <si>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</si>
  <si>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</si>
  <si>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</si>
  <si>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</si>
  <si>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</si>
  <si>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</si>
  <si>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</si>
  <si>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</si>
  <si>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</si>
  <si>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</si>
  <si>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</si>
  <si>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</si>
  <si>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</si>
  <si>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</si>
  <si>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</si>
  <si>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</si>
  <si>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</si>
  <si>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</si>
  <si>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</si>
  <si>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</si>
  <si>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</si>
  <si>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</si>
  <si>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</si>
  <si>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</si>
  <si>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</si>
  <si>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</si>
  <si>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</si>
  <si>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</si>
  <si>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</si>
  <si>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</si>
  <si>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</si>
  <si>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</si>
  <si>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</si>
  <si>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</si>
  <si>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</si>
  <si>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</si>
  <si>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</si>
  <si>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</si>
  <si>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</si>
  <si>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</si>
  <si>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</si>
  <si>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</si>
  <si>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</si>
  <si>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</si>
  <si>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</si>
  <si>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</si>
  <si>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</si>
  <si>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</si>
  <si>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</si>
  <si>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</si>
  <si>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</si>
  <si>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</si>
  <si>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</si>
  <si>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</si>
  <si>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</si>
  <si>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</si>
  <si>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</si>
  <si>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</si>
  <si>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</si>
  <si>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</si>
  <si>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</si>
  <si>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</si>
  <si>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</si>
  <si>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</si>
  <si>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</si>
  <si>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</si>
  <si>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</si>
  <si>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</si>
  <si>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</si>
  <si>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</si>
  <si>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</si>
  <si>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</si>
  <si>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</si>
  <si>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</si>
  <si>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</si>
  <si>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</si>
  <si>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</si>
  <si>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</si>
  <si>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</si>
  <si>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</si>
  <si>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</si>
  <si>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</si>
  <si>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</si>
  <si>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</si>
  <si>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</si>
  <si>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</si>
  <si>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</si>
  <si>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</si>
  <si>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</si>
  <si>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</si>
  <si>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</si>
  <si>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</si>
  <si>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</si>
  <si>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</si>
  <si>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</si>
  <si>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</si>
  <si>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</si>
  <si>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</si>
  <si>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</si>
  <si>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</si>
  <si>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</si>
  <si>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</si>
  <si>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</si>
  <si>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</si>
  <si>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</si>
  <si>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</si>
  <si>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</si>
  <si>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</si>
  <si>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</si>
  <si>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</si>
  <si>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</si>
  <si>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</si>
  <si>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</si>
  <si>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</si>
  <si>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</si>
  <si>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</si>
  <si>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</si>
  <si>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</si>
  <si>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</si>
  <si>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</si>
  <si>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</si>
  <si>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</si>
  <si>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</si>
  <si>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</si>
  <si>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</si>
  <si>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</si>
  <si>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</si>
  <si>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</si>
  <si>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</si>
  <si>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</si>
  <si>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</si>
  <si>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</si>
  <si>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</si>
  <si>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</si>
  <si>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</si>
  <si>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</si>
  <si>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</si>
  <si>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</si>
  <si>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</si>
  <si>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</si>
  <si>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</si>
  <si>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</si>
  <si>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</si>
  <si>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</si>
  <si>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</si>
  <si>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</si>
  <si>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</si>
  <si>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</si>
  <si>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</si>
  <si>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</si>
  <si>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</si>
  <si>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</si>
  <si>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</si>
  <si>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</si>
  <si>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</si>
  <si>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</si>
  <si>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</si>
  <si>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</si>
  <si>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</si>
  <si>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</si>
  <si>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</si>
  <si>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</si>
  <si>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</si>
  <si>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</si>
  <si>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</si>
  <si>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</si>
  <si>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</si>
  <si>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</si>
  <si>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</si>
  <si>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</si>
  <si>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</si>
  <si>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</si>
  <si>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</si>
  <si>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</si>
  <si>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</si>
  <si>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</si>
  <si>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</si>
  <si>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</si>
  <si>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</si>
  <si>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</si>
  <si>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</si>
  <si>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</si>
  <si>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</si>
  <si>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</si>
  <si>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</si>
  <si>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</si>
  <si>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</si>
  <si>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</si>
  <si>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</si>
  <si>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</si>
  <si>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</si>
  <si>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</si>
  <si>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</si>
  <si>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</si>
  <si>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</si>
  <si>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</si>
  <si>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</si>
  <si>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</si>
  <si>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</si>
  <si>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</si>
  <si>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</si>
  <si>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</si>
  <si>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</si>
  <si>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</si>
  <si>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</si>
  <si>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</si>
  <si>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</si>
  <si>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</si>
  <si>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</si>
  <si>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</si>
  <si>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</si>
  <si>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</si>
  <si>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</si>
  <si>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</si>
  <si>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</si>
  <si>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</si>
  <si>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</si>
  <si>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</si>
  <si>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</si>
  <si>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</si>
  <si>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</si>
  <si>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</si>
  <si>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</si>
  <si>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</si>
  <si>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</si>
  <si>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</si>
  <si>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</si>
  <si>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</si>
  <si>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</si>
  <si>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</si>
  <si>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</si>
  <si>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</si>
  <si>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</si>
  <si>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</si>
  <si>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</si>
  <si>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</si>
  <si>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</si>
  <si>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</si>
  <si>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</si>
  <si>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</si>
  <si>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</si>
  <si>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</si>
  <si>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</si>
  <si>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</si>
  <si>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</si>
  <si>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</si>
  <si>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</si>
  <si>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</si>
  <si>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</si>
  <si>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</si>
  <si>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</si>
  <si>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</si>
  <si>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</si>
  <si>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</si>
  <si>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</si>
  <si>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</si>
  <si>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</si>
  <si>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</si>
  <si>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</si>
  <si>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</si>
  <si>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</si>
  <si>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</si>
  <si>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</si>
  <si>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</si>
  <si>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</si>
  <si>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</si>
  <si>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</si>
  <si>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</si>
  <si>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</si>
  <si>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</si>
  <si>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</si>
  <si>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</si>
  <si>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</si>
  <si>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</si>
  <si>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</si>
  <si>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</si>
  <si>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</si>
  <si>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</si>
  <si>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</si>
  <si>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</si>
  <si>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</si>
  <si>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</si>
  <si>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</si>
  <si>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</si>
  <si>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</si>
  <si>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</si>
  <si>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</si>
  <si>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</si>
  <si>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</si>
  <si>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</si>
  <si>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</si>
  <si>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</si>
  <si>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</si>
  <si>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</si>
  <si>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</si>
  <si>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</si>
  <si>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</si>
  <si>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</si>
  <si>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</si>
  <si>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</si>
  <si>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</si>
  <si>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</si>
  <si>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</si>
  <si>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</si>
  <si>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</si>
  <si>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</si>
  <si>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</si>
  <si>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</si>
  <si>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</si>
  <si>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</si>
  <si>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</si>
  <si>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</si>
  <si>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</si>
  <si>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</si>
  <si>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</si>
  <si>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</si>
  <si>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</si>
  <si>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</si>
  <si>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</si>
  <si>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</si>
  <si>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</si>
  <si>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</si>
  <si>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</si>
  <si>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</si>
  <si>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</si>
  <si>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</si>
  <si>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</si>
  <si>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</si>
  <si>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</si>
  <si>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</si>
  <si>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</si>
  <si>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</si>
  <si>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</si>
  <si>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</si>
  <si>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</si>
  <si>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</si>
  <si>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</si>
  <si>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</si>
  <si>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</si>
  <si>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</si>
  <si>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</si>
  <si>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</si>
  <si>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</si>
  <si>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</si>
  <si>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</si>
  <si>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</si>
  <si>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</si>
  <si>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</si>
  <si>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</si>
  <si>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</si>
  <si>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</si>
  <si>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</si>
  <si>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</si>
  <si>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</si>
  <si>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</si>
  <si>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</si>
  <si>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</si>
  <si>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</si>
  <si>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</si>
  <si>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</si>
  <si>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</si>
  <si>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</si>
  <si>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</si>
  <si>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</si>
  <si>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</si>
  <si>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</si>
  <si>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</si>
  <si>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</si>
  <si>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</si>
  <si>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</si>
  <si>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</si>
  <si>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</si>
  <si>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</si>
  <si>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</si>
  <si>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</si>
  <si>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</si>
  <si>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</si>
  <si>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</si>
  <si>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</si>
  <si>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</si>
  <si>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</si>
  <si>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</si>
  <si>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</si>
  <si>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</si>
  <si>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</si>
  <si>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</si>
  <si>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</si>
  <si>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</si>
  <si>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</si>
  <si>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</si>
  <si>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</si>
  <si>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</si>
  <si>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</si>
  <si>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</si>
  <si>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</si>
  <si>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</si>
  <si>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</si>
  <si>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</si>
  <si>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</si>
  <si>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</si>
  <si>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</si>
  <si>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</si>
  <si>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</si>
  <si>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</si>
  <si>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</si>
  <si>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</si>
  <si>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</si>
  <si>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</si>
  <si>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</si>
  <si>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</si>
  <si>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</si>
  <si>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</si>
  <si>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</si>
  <si>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</si>
  <si>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</si>
  <si>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</si>
  <si>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</si>
  <si>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</si>
  <si>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</si>
  <si>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</si>
  <si>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</si>
  <si>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</si>
  <si>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</si>
  <si>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</si>
  <si>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</si>
  <si>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</si>
  <si>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</si>
  <si>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</si>
  <si>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</si>
  <si>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</si>
  <si>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</si>
  <si>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</si>
  <si>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</si>
  <si>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</si>
  <si>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</si>
  <si>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</si>
  <si>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</si>
  <si>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</si>
  <si>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</si>
  <si>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</si>
  <si>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</si>
  <si>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</si>
  <si>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</si>
  <si>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</si>
  <si>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</si>
  <si>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</si>
  <si>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</si>
  <si>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</si>
  <si>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</si>
  <si>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</si>
  <si>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</si>
  <si>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</si>
  <si>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</si>
  <si>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</si>
  <si>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</si>
  <si>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</si>
  <si>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</si>
  <si>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</si>
  <si>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</si>
  <si>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</si>
  <si>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</si>
  <si>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</si>
  <si>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</si>
  <si>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</si>
  <si>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</si>
  <si>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</si>
  <si>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</si>
  <si>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</si>
  <si>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</si>
  <si>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</si>
  <si>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</si>
  <si>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</si>
  <si>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</si>
  <si>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</si>
  <si>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</si>
  <si>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</si>
  <si>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</si>
  <si>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</si>
  <si>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</si>
  <si>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</si>
  <si>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</si>
  <si>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</si>
  <si>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</si>
  <si>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</si>
  <si>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</si>
  <si>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</si>
  <si>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</si>
  <si>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</si>
  <si>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</si>
  <si>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</si>
  <si>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</si>
  <si>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</si>
  <si>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</si>
  <si>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</si>
  <si>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</si>
  <si>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</si>
  <si>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</si>
  <si>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</si>
  <si>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</si>
  <si>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</si>
  <si>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</si>
  <si>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</si>
  <si>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</si>
  <si>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</si>
  <si>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</si>
  <si>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</si>
  <si>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</si>
  <si>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</si>
  <si>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</si>
  <si>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</si>
  <si>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</si>
  <si>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</si>
  <si>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</si>
  <si>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</si>
  <si>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</si>
  <si>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</si>
  <si>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</si>
  <si>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</si>
  <si>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</si>
  <si>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</si>
  <si>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</si>
  <si>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</si>
  <si>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</si>
  <si>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</si>
  <si>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</si>
  <si>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</si>
  <si>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</si>
  <si>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</si>
  <si>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</si>
  <si>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</si>
  <si>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</si>
  <si>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</si>
  <si>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</si>
  <si>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</si>
  <si>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</si>
  <si>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</si>
  <si>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</si>
  <si>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</si>
  <si>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</si>
  <si>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</si>
  <si>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</si>
  <si>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</si>
  <si>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</si>
  <si>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</si>
  <si>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</si>
  <si>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</si>
  <si>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</si>
  <si>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</si>
  <si>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</si>
  <si>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</si>
  <si>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</si>
  <si>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</si>
  <si>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</si>
  <si>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</si>
  <si>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</si>
  <si>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</si>
  <si>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</si>
  <si>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</si>
  <si>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</si>
  <si>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</si>
  <si>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</si>
  <si>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</si>
  <si>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</si>
  <si>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</si>
  <si>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</si>
  <si>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</si>
  <si>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</si>
  <si>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</si>
  <si>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</si>
  <si>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</si>
  <si>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</si>
  <si>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</si>
  <si>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</si>
  <si>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</si>
  <si>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</si>
  <si>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</si>
  <si>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</si>
  <si>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</si>
  <si>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</si>
  <si>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</si>
  <si>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</si>
  <si>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</si>
  <si>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</si>
  <si>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</si>
  <si>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Effective at (mm/dd/yyyy)</t>
  </si>
  <si>
    <t>Weekly Operating hours</t>
  </si>
  <si>
    <t>Values</t>
  </si>
  <si>
    <t>v4.3</t>
  </si>
  <si>
    <t>Complete the information below and the Occupancy tab</t>
  </si>
  <si>
    <t>Building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</si>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</sst>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5" borderId="0" xfId="0" applyFill="1"/>
    <xf numFmtId="0" fontId="2" fillId="4" borderId="1" xfId="0" applyFont="1" applyFill="1" applyBorder="1" applyAlignment="1">
      <alignment horizontal="center" vertical="center" wrapText="1"/>
    </xf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Protection="1">
      <protection locked="0"/>
    </xf>
    <xf numFmtId="0" fontId="0" fillId="2" borderId="6" xfId="0" applyFill="1" applyBorder="1" applyProtection="1">
      <protection locked="0"/>
    </xf>
    <xf numFmtId="0" fontId="0" fillId="2" borderId="6" xfId="0" applyFill="1" applyBorder="1"/>
    <xf numFmtId="0" fontId="7" fillId="2" borderId="0" xfId="3" applyFont="1" applyFill="1" applyAlignment="1">
      <alignment vertical="center"/>
    </xf>
    <xf numFmtId="0" fontId="6" fillId="2" borderId="0" xfId="3" applyFont="1" applyFill="1" applyAlignment="1">
      <alignment vertical="center"/>
    </xf>
    <xf numFmtId="0" fontId="3" fillId="2" borderId="0" xfId="3" applyFill="1" applyAlignment="1">
      <alignment vertical="center"/>
    </xf>
    <xf numFmtId="0" fontId="4" fillId="2" borderId="0" xfId="5" applyFont="1" applyFill="1" applyAlignment="1">
      <alignment vertical="center"/>
    </xf>
    <xf numFmtId="0" fontId="2" fillId="2" borderId="0" xfId="4" applyFont="1" applyFill="1" applyAlignment="1">
      <alignment vertical="center"/>
    </xf>
    <xf numFmtId="0" fontId="3" fillId="2" borderId="0" xfId="2" applyFill="1" applyAlignment="1">
      <alignment vertical="top"/>
    </xf>
    <xf numFmtId="0" fontId="3" fillId="2" borderId="0" xfId="5" applyFont="1" applyFill="1" applyAlignment="1">
      <alignment horizontal="left" vertical="top" wrapText="1"/>
    </xf>
    <xf numFmtId="0" fontId="3" fillId="2" borderId="0" xfId="4" applyFill="1"/>
    <xf numFmtId="0" fontId="0" fillId="5" borderId="0" xfId="0" applyFill="1" applyAlignment="1">
      <alignment wrapText="1"/>
    </xf>
    <xf numFmtId="0" fontId="0" fillId="2" borderId="0" xfId="0" applyFill="1" applyAlignment="1">
      <alignment horizontal="left"/>
    </xf>
    <xf numFmtId="0" fontId="2" fillId="2" borderId="7" xfId="0" applyFont="1" applyFill="1" applyBorder="1" applyAlignment="1">
      <alignment horizontal="left" vertical="center" indent="1"/>
    </xf>
    <xf numFmtId="0" fontId="2" fillId="2" borderId="8" xfId="0" applyFont="1" applyFill="1" applyBorder="1" applyAlignment="1">
      <alignment horizontal="left" vertical="center" indent="1"/>
    </xf>
    <xf numFmtId="0" fontId="2" fillId="2" borderId="9" xfId="0" applyFont="1" applyFill="1" applyBorder="1" applyAlignment="1">
      <alignment horizontal="left" vertical="center" indent="1"/>
    </xf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2" fontId="3" fillId="2" borderId="0" xfId="0" applyNumberFormat="1" applyFont="1" applyFill="1" applyAlignment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Alignment="1" applyProtection="1">
      <alignment horizontal="left" vertical="center"/>
      <protection locked="0"/>
    </xf>
    <xf numFmtId="2" fontId="3" fillId="2" borderId="0" xfId="0" applyNumberFormat="1" applyFont="1" applyFill="1" applyAlignment="1">
      <alignment horizontal="right" vertical="center"/>
    </xf>
    <xf numFmtId="4" fontId="3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 applyProtection="1">
      <alignment horizontal="right" vertical="center"/>
      <protection locked="0"/>
    </xf>
    <xf numFmtId="4" fontId="3" fillId="2" borderId="0" xfId="0" applyNumberFormat="1" applyFont="1" applyFill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>
      <alignment horizontal="left"/>
    </xf>
    <xf numFmtId="2" fontId="0" fillId="2" borderId="0" xfId="0" applyNumberForma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3" fillId="6" borderId="30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Font="1" applyFill="1" applyBorder="1" applyAlignment="1">
      <alignment horizontal="left" vertical="top" wrapText="1"/>
    </xf>
    <xf numFmtId="0" fontId="3" fillId="2" borderId="39" xfId="4" applyFill="1" applyBorder="1"/>
    <xf numFmtId="0" fontId="3" fillId="2" borderId="0" xfId="5" applyFont="1" applyFill="1" applyAlignment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>
      <alignment horizontal="left" vertical="center"/>
    </xf>
    <xf numFmtId="0" fontId="2" fillId="3" borderId="10" xfId="1" applyFont="1" applyFill="1" applyBorder="1" applyAlignment="1">
      <alignment horizontal="left" vertical="center"/>
    </xf>
    <xf numFmtId="0" fontId="15" fillId="3" borderId="0" xfId="0" applyFont="1" applyFill="1"/>
    <xf numFmtId="0" fontId="3" fillId="2" borderId="40" xfId="5" applyFont="1" applyFill="1" applyBorder="1" applyAlignment="1">
      <alignment vertical="center"/>
    </xf>
    <xf numFmtId="0" fontId="0" fillId="2" borderId="20" xfId="0" applyFill="1" applyBorder="1"/>
    <xf numFmtId="0" fontId="10" fillId="2" borderId="34" xfId="0" applyFont="1" applyFill="1" applyBorder="1"/>
    <xf numFmtId="0" fontId="0" fillId="2" borderId="34" xfId="0" applyFill="1" applyBorder="1"/>
    <xf numFmtId="0" fontId="0" fillId="2" borderId="41" xfId="0" applyFill="1" applyBorder="1"/>
    <xf numFmtId="0" fontId="0" fillId="2" borderId="22" xfId="0" applyFill="1" applyBorder="1"/>
    <xf numFmtId="0" fontId="0" fillId="2" borderId="21" xfId="0" applyFill="1" applyBorder="1"/>
    <xf numFmtId="0" fontId="0" fillId="2" borderId="18" xfId="0" applyFill="1" applyBorder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12" xfId="0" applyNumberFormat="1" applyFont="1" applyBorder="1" applyAlignment="1">
      <alignment horizontal="right" vertical="center"/>
    </xf>
    <xf numFmtId="169" fontId="4" fillId="0" borderId="0" xfId="0" applyNumberFormat="1" applyFont="1" applyAlignment="1">
      <alignment horizontal="center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Alignment="1">
      <alignment horizontal="left" vertical="center" indent="1"/>
    </xf>
    <xf numFmtId="0" fontId="2" fillId="8" borderId="0" xfId="1" applyFont="1" applyFill="1"/>
    <xf numFmtId="0" fontId="2" fillId="0" borderId="0" xfId="1" applyFont="1"/>
    <xf numFmtId="0" fontId="26" fillId="8" borderId="0" xfId="1" applyFont="1" applyFill="1" applyAlignment="1">
      <alignment vertical="center"/>
    </xf>
    <xf numFmtId="0" fontId="17" fillId="8" borderId="0" xfId="1" applyFont="1" applyFill="1" applyAlignment="1">
      <alignment vertical="center" wrapText="1"/>
    </xf>
    <xf numFmtId="0" fontId="2" fillId="0" borderId="0" xfId="0" applyFont="1"/>
    <xf numFmtId="0" fontId="2" fillId="6" borderId="0" xfId="0" applyFont="1" applyFill="1" applyAlignment="1">
      <alignment horizontal="left" vertical="center" wrapText="1"/>
    </xf>
    <xf numFmtId="0" fontId="2" fillId="6" borderId="45" xfId="0" applyFont="1" applyFill="1" applyBorder="1" applyAlignment="1">
      <alignment horizontal="left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Continuous" vertical="center" wrapText="1"/>
    </xf>
    <xf numFmtId="0" fontId="2" fillId="4" borderId="0" xfId="0" applyFont="1" applyFill="1" applyAlignment="1">
      <alignment horizontal="centerContinuous" vertical="center" wrapText="1"/>
    </xf>
    <xf numFmtId="0" fontId="2" fillId="6" borderId="46" xfId="0" applyFont="1" applyFill="1" applyBorder="1" applyAlignment="1">
      <alignment horizontal="left" vertical="center" wrapText="1"/>
    </xf>
    <xf numFmtId="0" fontId="2" fillId="6" borderId="0" xfId="0" applyFont="1" applyFill="1"/>
    <xf numFmtId="0" fontId="2" fillId="6" borderId="47" xfId="1" applyFont="1" applyFill="1" applyBorder="1" applyAlignment="1">
      <alignment horizontal="center" vertical="top"/>
    </xf>
    <xf numFmtId="0" fontId="3" fillId="6" borderId="47" xfId="2" applyFill="1" applyBorder="1" applyAlignment="1">
      <alignment horizontal="center" vertical="top" wrapText="1"/>
    </xf>
    <xf numFmtId="0" fontId="3" fillId="6" borderId="48" xfId="2" applyFill="1" applyBorder="1" applyAlignment="1">
      <alignment horizontal="center" vertical="top" wrapText="1"/>
    </xf>
    <xf numFmtId="0" fontId="3" fillId="6" borderId="49" xfId="2" applyFill="1" applyBorder="1" applyAlignment="1">
      <alignment horizontal="center" vertical="top" wrapText="1"/>
    </xf>
    <xf numFmtId="0" fontId="3" fillId="6" borderId="50" xfId="2" applyFill="1" applyBorder="1" applyAlignment="1">
      <alignment horizontal="center" vertical="top" wrapText="1"/>
    </xf>
    <xf numFmtId="0" fontId="3" fillId="6" borderId="32" xfId="2" applyFill="1" applyBorder="1" applyAlignment="1">
      <alignment horizontal="center" vertical="center" wrapText="1"/>
    </xf>
    <xf numFmtId="0" fontId="17" fillId="0" borderId="0" xfId="0" applyFont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Border="1" applyAlignment="1">
      <alignment horizontal="right" vertical="center" indent="1"/>
    </xf>
    <xf numFmtId="3" fontId="4" fillId="0" borderId="38" xfId="8" applyNumberFormat="1" applyFont="1" applyBorder="1" applyAlignment="1">
      <alignment horizontal="right" vertical="center" indent="1"/>
    </xf>
    <xf numFmtId="0" fontId="2" fillId="0" borderId="0" xfId="1" applyFont="1" applyAlignment="1">
      <alignment vertical="center"/>
    </xf>
    <xf numFmtId="0" fontId="2" fillId="6" borderId="64" xfId="1" applyFont="1" applyFill="1" applyBorder="1" applyAlignment="1">
      <alignment horizontal="center" vertical="center" wrapText="1"/>
    </xf>
    <xf numFmtId="3" fontId="4" fillId="0" borderId="66" xfId="8" applyNumberFormat="1" applyFont="1" applyBorder="1" applyAlignment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Font="1" applyBorder="1"/>
    <xf numFmtId="0" fontId="7" fillId="0" borderId="0" xfId="5" applyFont="1" applyAlignment="1">
      <alignment horizontal="left" vertical="top"/>
    </xf>
    <xf numFmtId="0" fontId="3" fillId="0" borderId="0" xfId="5" applyFont="1" applyAlignment="1">
      <alignment horizontal="left" vertical="top" wrapText="1"/>
    </xf>
    <xf numFmtId="0" fontId="3" fillId="0" borderId="0" xfId="4"/>
    <xf numFmtId="0" fontId="3" fillId="0" borderId="0" xfId="3"/>
    <xf numFmtId="0" fontId="3" fillId="0" borderId="0" xfId="5" applyFont="1" applyAlignment="1">
      <alignment vertical="top"/>
    </xf>
    <xf numFmtId="0" fontId="4" fillId="3" borderId="12" xfId="5" applyFont="1" applyFill="1" applyBorder="1" applyAlignment="1" applyProtection="1">
      <alignment horizontal="left" vertical="center" indent="1"/>
      <protection locked="0"/>
    </xf>
    <xf numFmtId="0" fontId="4" fillId="0" borderId="0" xfId="5" applyFont="1" applyAlignment="1">
      <alignment vertical="center"/>
    </xf>
    <xf numFmtId="0" fontId="2" fillId="0" borderId="0" xfId="3" applyFont="1" applyAlignment="1">
      <alignment vertical="center"/>
    </xf>
    <xf numFmtId="0" fontId="0" fillId="0" borderId="35" xfId="0" applyBorder="1" applyProtection="1">
      <protection locked="0"/>
    </xf>
    <xf numFmtId="0" fontId="0" fillId="0" borderId="42" xfId="0" applyBorder="1" applyProtection="1">
      <protection locked="0"/>
    </xf>
    <xf numFmtId="0" fontId="7" fillId="0" borderId="0" xfId="2" applyFont="1" applyAlignment="1">
      <alignment vertical="top"/>
    </xf>
    <xf numFmtId="0" fontId="3" fillId="0" borderId="0" xfId="2" applyAlignment="1">
      <alignment vertical="top"/>
    </xf>
    <xf numFmtId="0" fontId="14" fillId="0" borderId="0" xfId="0" applyFont="1"/>
    <xf numFmtId="0" fontId="0" fillId="0" borderId="35" xfId="0" applyBorder="1"/>
    <xf numFmtId="0" fontId="0" fillId="0" borderId="70" xfId="0" applyBorder="1"/>
    <xf numFmtId="0" fontId="8" fillId="3" borderId="72" xfId="1" applyFont="1" applyFill="1" applyBorder="1" applyAlignment="1">
      <alignment horizontal="left" vertical="center"/>
    </xf>
    <xf numFmtId="0" fontId="0" fillId="0" borderId="71" xfId="0" applyBorder="1"/>
    <xf numFmtId="0" fontId="0" fillId="2" borderId="73" xfId="0" applyFill="1" applyBorder="1"/>
    <xf numFmtId="0" fontId="0" fillId="2" borderId="74" xfId="0" applyFill="1" applyBorder="1"/>
    <xf numFmtId="0" fontId="0" fillId="2" borderId="69" xfId="0" applyFill="1" applyBorder="1"/>
    <xf numFmtId="0" fontId="8" fillId="2" borderId="0" xfId="0" applyFont="1" applyFill="1"/>
    <xf numFmtId="0" fontId="29" fillId="2" borderId="0" xfId="0" applyFont="1" applyFill="1" applyAlignment="1">
      <alignment horizontal="left" vertical="center" indent="1"/>
    </xf>
    <xf numFmtId="0" fontId="2" fillId="0" borderId="10" xfId="1" applyFont="1" applyBorder="1" applyAlignment="1">
      <alignment horizontal="left"/>
    </xf>
    <xf numFmtId="0" fontId="3" fillId="6" borderId="75" xfId="2" applyFill="1" applyBorder="1" applyAlignment="1">
      <alignment horizontal="center" vertical="center" wrapText="1"/>
    </xf>
    <xf numFmtId="0" fontId="3" fillId="0" borderId="0" xfId="2" applyAlignment="1">
      <alignment horizontal="center" vertical="center" wrapText="1"/>
    </xf>
    <xf numFmtId="0" fontId="17" fillId="8" borderId="0" xfId="1" applyFont="1" applyFill="1"/>
    <xf numFmtId="0" fontId="17" fillId="0" borderId="0" xfId="0" applyFont="1"/>
    <xf numFmtId="0" fontId="17" fillId="0" borderId="44" xfId="0" applyFont="1" applyBorder="1"/>
    <xf numFmtId="0" fontId="17" fillId="0" borderId="44" xfId="1" applyFont="1" applyBorder="1"/>
    <xf numFmtId="0" fontId="17" fillId="0" borderId="55" xfId="0" applyFont="1" applyBorder="1"/>
    <xf numFmtId="2" fontId="2" fillId="0" borderId="0" xfId="0" applyNumberFormat="1" applyFont="1"/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>
      <alignment horizontal="center" vertical="center" wrapText="1"/>
    </xf>
    <xf numFmtId="0" fontId="0" fillId="2" borderId="4" xfId="0" applyFill="1" applyBorder="1"/>
    <xf numFmtId="4" fontId="2" fillId="2" borderId="6" xfId="0" applyNumberFormat="1" applyFont="1" applyFill="1" applyBorder="1" applyAlignment="1">
      <alignment horizontal="right" vertical="center"/>
    </xf>
    <xf numFmtId="0" fontId="0" fillId="2" borderId="9" xfId="0" applyFill="1" applyBorder="1"/>
    <xf numFmtId="0" fontId="24" fillId="0" borderId="1" xfId="0" applyFont="1" applyBorder="1" applyAlignment="1">
      <alignment horizontal="left"/>
    </xf>
    <xf numFmtId="4" fontId="4" fillId="0" borderId="58" xfId="8" applyNumberFormat="1" applyFont="1" applyBorder="1" applyAlignment="1">
      <alignment horizontal="right" vertical="center" indent="1"/>
    </xf>
    <xf numFmtId="3" fontId="4" fillId="0" borderId="63" xfId="8" applyNumberFormat="1" applyFont="1" applyBorder="1" applyAlignment="1">
      <alignment horizontal="right" vertical="center" indent="1"/>
    </xf>
    <xf numFmtId="4" fontId="4" fillId="0" borderId="54" xfId="8" applyNumberFormat="1" applyFont="1" applyBorder="1" applyAlignment="1">
      <alignment horizontal="right" vertical="center" indent="1"/>
    </xf>
    <xf numFmtId="0" fontId="8" fillId="3" borderId="11" xfId="0" applyFont="1" applyFill="1" applyBorder="1" applyAlignment="1">
      <alignment horizontal="left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64" xfId="0" applyFont="1" applyFill="1" applyBorder="1" applyAlignment="1">
      <alignment vertical="center"/>
    </xf>
    <xf numFmtId="14" fontId="0" fillId="3" borderId="0" xfId="0" applyNumberFormat="1" applyFill="1"/>
    <xf numFmtId="0" fontId="8" fillId="0" borderId="64" xfId="0" applyNumberFormat="1" applyFont="1" applyFill="1" applyBorder="1" applyAlignment="1" applyProtection="1">
      <alignment horizontal="left" vertical="center"/>
      <protection locked="0"/>
    </xf>
    <xf numFmtId="4" fontId="4" fillId="3" borderId="64" xfId="8" applyNumberFormat="1" applyFont="1" applyFill="1" applyBorder="1" applyAlignment="1">
      <alignment horizontal="right" vertical="center" indent="1"/>
    </xf>
    <xf numFmtId="3" fontId="4" fillId="3" borderId="64" xfId="8" applyNumberFormat="1" applyFont="1" applyFill="1" applyBorder="1" applyAlignment="1">
      <alignment horizontal="right" vertical="center" indent="1"/>
    </xf>
    <xf numFmtId="165" fontId="2" fillId="3" borderId="64" xfId="0" applyNumberFormat="1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14" fontId="8" fillId="3" borderId="16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left" vertical="top" wrapText="1"/>
    </xf>
    <xf numFmtId="0" fontId="11" fillId="2" borderId="0" xfId="1" applyFont="1" applyFill="1" applyAlignment="1">
      <alignment horizontal="left" vertical="top" wrapText="1"/>
    </xf>
    <xf numFmtId="0" fontId="5" fillId="2" borderId="0" xfId="1" applyFont="1" applyFill="1" applyAlignment="1">
      <alignment horizontal="left" vertical="top" wrapText="1"/>
    </xf>
    <xf numFmtId="0" fontId="2" fillId="2" borderId="59" xfId="0" applyFont="1" applyFill="1" applyBorder="1" applyAlignment="1">
      <alignment horizontal="left" vertical="center"/>
    </xf>
    <xf numFmtId="0" fontId="2" fillId="2" borderId="60" xfId="0" applyFont="1" applyFill="1" applyBorder="1" applyAlignment="1">
      <alignment horizontal="left" vertical="center"/>
    </xf>
    <xf numFmtId="0" fontId="2" fillId="6" borderId="61" xfId="0" applyFont="1" applyFill="1" applyBorder="1" applyAlignment="1">
      <alignment horizontal="left" vertical="center" indent="1"/>
    </xf>
    <xf numFmtId="0" fontId="2" fillId="6" borderId="65" xfId="0" applyFont="1" applyFill="1" applyBorder="1" applyAlignment="1">
      <alignment horizontal="left" vertical="center" indent="1"/>
    </xf>
    <xf numFmtId="0" fontId="2" fillId="0" borderId="43" xfId="0" applyFont="1" applyBorder="1" applyAlignment="1">
      <alignment horizontal="left" vertical="center" wrapText="1"/>
    </xf>
    <xf numFmtId="0" fontId="2" fillId="6" borderId="40" xfId="0" applyFont="1" applyFill="1" applyBorder="1" applyAlignment="1">
      <alignment horizontal="left" vertical="center" indent="1"/>
    </xf>
    <xf numFmtId="0" fontId="2" fillId="6" borderId="39" xfId="0" applyFont="1" applyFill="1" applyBorder="1" applyAlignment="1">
      <alignment horizontal="left" vertical="center" indent="1"/>
    </xf>
    <xf numFmtId="0" fontId="2" fillId="6" borderId="56" xfId="0" applyFont="1" applyFill="1" applyBorder="1" applyAlignment="1">
      <alignment horizontal="left" vertical="center" indent="1"/>
    </xf>
    <xf numFmtId="0" fontId="2" fillId="6" borderId="57" xfId="0" applyFont="1" applyFill="1" applyBorder="1" applyAlignment="1">
      <alignment horizontal="left" vertical="center" indent="1"/>
    </xf>
    <xf numFmtId="0" fontId="2" fillId="6" borderId="59" xfId="1" applyFont="1" applyFill="1" applyBorder="1" applyAlignment="1">
      <alignment horizontal="center" vertical="center"/>
    </xf>
    <xf numFmtId="0" fontId="2" fillId="6" borderId="60" xfId="1" applyFont="1" applyFill="1" applyBorder="1" applyAlignment="1">
      <alignment horizontal="center" vertical="center"/>
    </xf>
    <xf numFmtId="0" fontId="2" fillId="6" borderId="62" xfId="0" applyFont="1" applyFill="1" applyBorder="1" applyAlignment="1">
      <alignment horizontal="left" vertical="center" indent="1"/>
    </xf>
    <xf numFmtId="0" fontId="2" fillId="2" borderId="5" xfId="0" applyFont="1" applyFill="1" applyBorder="1" applyAlignment="1">
      <alignment horizontal="left" vertical="center" indent="1"/>
    </xf>
    <xf numFmtId="0" fontId="2" fillId="2" borderId="6" xfId="0" applyFont="1" applyFill="1" applyBorder="1" applyAlignment="1">
      <alignment horizontal="left" vertical="center" indent="1"/>
    </xf>
    <xf numFmtId="0" fontId="2" fillId="2" borderId="2" xfId="0" applyFont="1" applyFill="1" applyBorder="1" applyAlignment="1">
      <alignment horizontal="left" vertical="center" indent="1"/>
    </xf>
    <xf numFmtId="0" fontId="2" fillId="2" borderId="4" xfId="0" applyFont="1" applyFill="1" applyBorder="1" applyAlignment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1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1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T319"/>
  <sheetViews>
    <sheetView showGridLines="0" tabSelected="1" topLeftCell="A3" zoomScale="90" zoomScaleNormal="90" workbookViewId="0">
      <selection activeCell="U18" sqref="U18"/>
    </sheetView>
  </sheetViews>
  <sheetFormatPr defaultColWidth="9.140625" defaultRowHeight="15" x14ac:dyDescent="0.25"/>
  <cols>
    <col min="1" max="1" width="2.7109375" style="84" customWidth="1"/>
    <col min="2" max="2" width="5.7109375" style="84" customWidth="1"/>
    <col min="3" max="3" width="11.140625" style="84" customWidth="1"/>
    <col min="4" max="4" width="30.85546875" style="84" customWidth="1"/>
    <col min="5" max="5" width="29.140625" style="84" customWidth="1"/>
    <col min="6" max="6" width="21" style="84" customWidth="1"/>
    <col min="7" max="7" width="15.7109375" style="84" hidden="1" customWidth="1"/>
    <col min="8" max="8" width="110.28515625" style="84" hidden="1" customWidth="1"/>
    <col min="9" max="9" width="0.85546875" style="84" hidden="1" customWidth="1"/>
    <col min="10" max="10" width="9.140625" style="84" hidden="1" customWidth="1"/>
    <col min="11" max="11" width="4.5703125" style="84" customWidth="1"/>
    <col min="12" max="12" width="15.5703125" style="84" hidden="1" customWidth="1"/>
    <col min="13" max="18" width="9.140625" style="84" hidden="1" customWidth="1"/>
    <col min="19" max="19" width="5.140625" style="84" hidden="1" customWidth="1"/>
    <col min="20" max="20" width="9.140625" style="84" hidden="1" customWidth="1"/>
    <col min="21" max="16384" width="9.140625" style="84"/>
  </cols>
  <sheetData>
    <row r="2" spans="2:20" x14ac:dyDescent="0.25">
      <c r="B2" s="90"/>
      <c r="C2" s="91" t="s">
        <v>574</v>
      </c>
      <c r="D2" s="92"/>
      <c r="E2" s="92"/>
      <c r="F2" s="92"/>
      <c r="G2" s="92"/>
      <c r="H2" s="92"/>
      <c r="I2" s="93"/>
      <c r="J2" s="92"/>
      <c r="K2" s="94"/>
      <c r="L2" s="83"/>
      <c r="M2" s="83"/>
      <c r="N2" s="83"/>
    </row>
    <row r="3" spans="2:20" ht="49.5" customHeight="1" x14ac:dyDescent="0.25">
      <c r="B3" s="95"/>
      <c r="C3" s="199" t="s">
        <v>703</v>
      </c>
      <c r="D3" s="200"/>
      <c r="E3" s="200"/>
      <c r="F3" s="200"/>
      <c r="G3" s="1"/>
      <c r="H3" s="1"/>
      <c r="I3" s="9"/>
      <c r="J3" s="1"/>
      <c r="K3" s="96"/>
      <c r="L3" s="83"/>
      <c r="M3" s="83"/>
      <c r="N3" s="83"/>
    </row>
    <row r="4" spans="2:20" x14ac:dyDescent="0.25">
      <c r="B4" s="95"/>
      <c r="C4" s="10" t="s">
        <v>0</v>
      </c>
      <c r="D4" s="11"/>
      <c r="E4" s="11"/>
      <c r="F4" s="1"/>
      <c r="G4" s="1"/>
      <c r="H4" s="1"/>
      <c r="I4" s="9"/>
      <c r="J4" s="1"/>
      <c r="K4" s="96"/>
      <c r="L4" s="83"/>
      <c r="M4" s="83"/>
      <c r="N4" s="83"/>
    </row>
    <row r="5" spans="2:20" x14ac:dyDescent="0.25">
      <c r="B5" s="95"/>
      <c r="C5" s="12" t="s">
        <v>1</v>
      </c>
      <c r="D5" s="11"/>
      <c r="E5" s="11"/>
      <c r="F5" s="1"/>
      <c r="G5" s="1"/>
      <c r="H5" s="1"/>
      <c r="I5" s="9"/>
      <c r="J5" s="1"/>
      <c r="K5" s="96"/>
      <c r="L5" s="83"/>
      <c r="M5" s="83" t="s">
        <v>3</v>
      </c>
      <c r="N5" s="83"/>
    </row>
    <row r="6" spans="2:20" x14ac:dyDescent="0.25">
      <c r="B6" s="95"/>
      <c r="C6" s="13" t="s">
        <v>2</v>
      </c>
      <c r="D6" s="13"/>
      <c r="E6" s="14"/>
      <c r="F6" s="1"/>
      <c r="G6" s="1"/>
      <c r="H6" s="1"/>
      <c r="I6" s="9"/>
      <c r="J6" s="1"/>
      <c r="K6" s="96"/>
      <c r="L6" s="83"/>
      <c r="M6" s="83" t="s">
        <v>4</v>
      </c>
      <c r="N6" s="83"/>
    </row>
    <row r="7" spans="2:20" x14ac:dyDescent="0.25">
      <c r="B7" s="95"/>
      <c r="C7" s="13"/>
      <c r="D7" s="13"/>
      <c r="E7" s="14"/>
      <c r="F7" s="1"/>
      <c r="G7" s="1"/>
      <c r="H7" s="1"/>
      <c r="I7" s="9"/>
      <c r="J7" s="1"/>
      <c r="K7" s="96"/>
      <c r="L7" s="83"/>
      <c r="M7" s="83"/>
      <c r="N7" s="83"/>
    </row>
    <row r="8" spans="2:20" x14ac:dyDescent="0.25">
      <c r="B8" s="95"/>
      <c r="C8" s="140" t="s">
        <v>622</v>
      </c>
      <c r="D8" s="141"/>
      <c r="E8" s="142"/>
      <c r="F8" s="143"/>
      <c r="G8" s="1"/>
      <c r="H8" s="1"/>
      <c r="I8" s="9"/>
      <c r="J8" s="1"/>
      <c r="K8" s="96"/>
      <c r="L8" s="83"/>
      <c r="M8" s="83"/>
      <c r="N8" s="83"/>
    </row>
    <row r="9" spans="2:20" ht="15" customHeight="1" x14ac:dyDescent="0.25">
      <c r="B9" s="95"/>
      <c r="C9" s="144" t="s">
        <v>569</v>
      </c>
      <c r="D9" s="141"/>
      <c r="E9" s="142"/>
      <c r="F9" s="145" t="s">
        <v>704</v>
      </c>
      <c r="G9" s="1"/>
      <c r="H9" s="1"/>
      <c r="I9" s="9"/>
      <c r="J9" s="1"/>
      <c r="K9" s="96"/>
      <c r="L9" s="83"/>
      <c r="M9" s="83"/>
      <c r="N9" s="83"/>
    </row>
    <row r="10" spans="2:20" ht="15" customHeight="1" x14ac:dyDescent="0.25">
      <c r="B10" s="95"/>
      <c r="C10" s="146" t="s">
        <v>623</v>
      </c>
      <c r="D10" s="146"/>
      <c r="E10" s="141"/>
      <c r="F10" s="147"/>
      <c r="G10" s="7"/>
      <c r="H10" s="7"/>
      <c r="I10" s="8"/>
      <c r="J10" s="7"/>
      <c r="K10" s="96"/>
      <c r="L10" s="83"/>
      <c r="M10" s="83"/>
      <c r="N10" s="83"/>
    </row>
    <row r="11" spans="2:20" ht="15" customHeight="1" x14ac:dyDescent="0.25">
      <c r="B11" s="95"/>
      <c r="C11" s="1"/>
      <c r="D11" s="1"/>
      <c r="E11" s="19"/>
      <c r="F11" s="1"/>
      <c r="G11" s="7"/>
      <c r="H11" s="7"/>
      <c r="I11" s="8"/>
      <c r="J11" s="7"/>
      <c r="K11" s="96"/>
      <c r="L11" s="83"/>
      <c r="M11" s="83"/>
      <c r="N11" s="83"/>
    </row>
    <row r="12" spans="2:20" ht="15" customHeight="1" x14ac:dyDescent="0.25">
      <c r="B12" s="95"/>
      <c r="C12" s="15" t="s">
        <v>5</v>
      </c>
      <c r="D12" s="1"/>
      <c r="E12" s="1"/>
      <c r="F12" s="1"/>
      <c r="G12" s="7"/>
      <c r="H12" s="7"/>
      <c r="I12" s="8"/>
      <c r="J12" s="7"/>
      <c r="K12" s="96"/>
      <c r="L12" s="83"/>
      <c r="M12" s="83"/>
      <c r="N12" s="83"/>
    </row>
    <row r="13" spans="2:20" ht="15" customHeight="1" x14ac:dyDescent="0.25">
      <c r="B13" s="95"/>
      <c r="C13" s="15" t="s">
        <v>726</v>
      </c>
      <c r="D13" s="1"/>
      <c r="E13" s="1"/>
      <c r="F13" s="1"/>
      <c r="G13" s="7"/>
      <c r="H13" s="7"/>
      <c r="I13" s="8"/>
      <c r="J13" s="7"/>
      <c r="K13" s="96"/>
      <c r="L13" s="83"/>
      <c r="M13" s="83"/>
      <c r="N13" s="83"/>
    </row>
    <row r="14" spans="2:20" ht="21" customHeight="1" x14ac:dyDescent="0.25">
      <c r="B14" s="95"/>
      <c r="C14" s="15" t="s">
        <v>689</v>
      </c>
      <c r="D14" s="1"/>
      <c r="E14" s="1"/>
      <c r="F14" s="1"/>
      <c r="G14" s="7"/>
      <c r="H14" s="7"/>
      <c r="I14" s="8"/>
      <c r="J14" s="7"/>
      <c r="K14" s="96"/>
      <c r="L14" s="83"/>
      <c r="M14" s="83"/>
      <c r="N14" s="83"/>
    </row>
    <row r="15" spans="2:20" x14ac:dyDescent="0.25">
      <c r="B15" s="157"/>
      <c r="C15" s="201"/>
      <c r="D15" s="202"/>
      <c r="E15" s="188" t="s">
        <v>722</v>
      </c>
      <c r="F15" s="190" t="s">
        <v>724</v>
      </c>
      <c r="G15" s="7"/>
      <c r="H15" s="7"/>
      <c r="I15" s="8"/>
      <c r="J15" s="7"/>
      <c r="K15" s="158"/>
      <c r="L15" s="83"/>
      <c r="M15" s="83"/>
      <c r="N15" s="83"/>
    </row>
    <row r="16" spans="2:20" x14ac:dyDescent="0.25">
      <c r="B16" s="157"/>
      <c r="C16" s="188" t="str">
        <f>CONCATENATE("Gross 
Floor Area 
",IF(Setup!$F$9="SI units","(sq m)","(sq ft)"))</f>
        <v>Gross 
Floor Area 
(sq ft)</v>
      </c>
      <c r="D16" s="188"/>
      <c r="E16" s="193">
        <v>42736</v>
      </c>
      <c r="F16" s="191">
        <v>5000</v>
      </c>
      <c r="G16" s="1"/>
      <c r="H16" s="1"/>
      <c r="I16" s="9"/>
      <c r="J16" s="1"/>
      <c r="K16" s="96"/>
      <c r="L16" s="83"/>
      <c r="M16" s="83"/>
      <c r="N16" s="83"/>
      <c r="T16" s="189">
        <f ca="1">TODAY()</f>
        <v>43629</v>
      </c>
    </row>
    <row r="17" spans="2:19" x14ac:dyDescent="0.25">
      <c r="B17" s="157"/>
      <c r="C17" s="188" t="s">
        <v>723</v>
      </c>
      <c r="D17" s="188"/>
      <c r="E17" s="193">
        <v>42736</v>
      </c>
      <c r="F17" s="192">
        <v>30</v>
      </c>
      <c r="G17" s="1"/>
      <c r="H17" s="1"/>
      <c r="I17" s="9"/>
      <c r="J17" s="1"/>
      <c r="K17" s="158"/>
      <c r="L17" s="83"/>
      <c r="M17" s="83"/>
      <c r="N17" s="83"/>
    </row>
    <row r="18" spans="2:19" x14ac:dyDescent="0.25">
      <c r="B18" s="157"/>
      <c r="C18" s="188" t="s">
        <v>494</v>
      </c>
      <c r="D18" s="188"/>
      <c r="E18" s="193">
        <v>42736</v>
      </c>
      <c r="F18" s="192">
        <v>9</v>
      </c>
      <c r="G18" s="1"/>
      <c r="H18" s="1"/>
      <c r="I18" s="9"/>
      <c r="J18" s="1"/>
      <c r="K18" s="158"/>
      <c r="L18" s="83"/>
      <c r="M18" s="83"/>
      <c r="N18" s="83"/>
    </row>
    <row r="19" spans="2:19" ht="24" customHeight="1" x14ac:dyDescent="0.25">
      <c r="B19" s="95"/>
      <c r="C19" s="1"/>
      <c r="D19" s="1"/>
      <c r="E19" s="1"/>
      <c r="F19" s="159"/>
      <c r="G19" s="1"/>
      <c r="H19" s="1"/>
      <c r="I19" s="9"/>
      <c r="J19" s="1"/>
      <c r="K19" s="96"/>
      <c r="L19" s="83"/>
      <c r="M19" s="83"/>
      <c r="N19" s="83"/>
    </row>
    <row r="20" spans="2:19" ht="30" customHeight="1" x14ac:dyDescent="0.25">
      <c r="B20" s="95"/>
      <c r="C20" s="15" t="s">
        <v>624</v>
      </c>
      <c r="D20" s="1"/>
      <c r="E20" s="1"/>
      <c r="F20" s="1"/>
      <c r="G20" s="1"/>
      <c r="H20" s="1"/>
      <c r="I20" s="9"/>
      <c r="J20" s="1"/>
      <c r="K20" s="96"/>
    </row>
    <row r="21" spans="2:19" x14ac:dyDescent="0.25">
      <c r="B21" s="95"/>
      <c r="C21" s="89" t="s">
        <v>567</v>
      </c>
      <c r="D21" s="80"/>
      <c r="E21" s="81"/>
      <c r="F21" s="79" t="s">
        <v>544</v>
      </c>
      <c r="G21" s="7"/>
      <c r="H21" s="7"/>
      <c r="I21" s="8"/>
      <c r="J21" s="7"/>
      <c r="K21" s="96"/>
    </row>
    <row r="22" spans="2:19" x14ac:dyDescent="0.25">
      <c r="B22" s="95"/>
      <c r="C22" s="82" t="s">
        <v>495</v>
      </c>
      <c r="D22" s="16"/>
      <c r="E22" s="17"/>
      <c r="F22" s="1"/>
      <c r="G22" s="7"/>
      <c r="H22" s="7"/>
      <c r="I22" s="8"/>
      <c r="J22" s="7"/>
      <c r="K22" s="96"/>
    </row>
    <row r="23" spans="2:19" ht="42" customHeight="1" x14ac:dyDescent="0.25">
      <c r="B23" s="95"/>
      <c r="C23" s="1"/>
      <c r="D23" s="7"/>
      <c r="E23" s="1"/>
      <c r="F23" s="1"/>
      <c r="G23" s="7"/>
      <c r="H23" s="7"/>
      <c r="I23" s="8"/>
      <c r="J23" s="7"/>
      <c r="K23" s="96"/>
    </row>
    <row r="24" spans="2:19" x14ac:dyDescent="0.25">
      <c r="B24" s="95"/>
      <c r="C24"/>
      <c r="D24"/>
      <c r="E24"/>
      <c r="F24"/>
      <c r="G24" s="148"/>
      <c r="H24" s="148"/>
      <c r="I24" s="149"/>
      <c r="J24" s="148"/>
      <c r="K24" s="96"/>
    </row>
    <row r="25" spans="2:19" ht="21" customHeight="1" x14ac:dyDescent="0.25">
      <c r="B25" s="95"/>
      <c r="C25" s="150" t="s">
        <v>625</v>
      </c>
      <c r="D25" s="151"/>
      <c r="E25"/>
      <c r="F25"/>
      <c r="G25" s="152"/>
      <c r="H25" s="152"/>
      <c r="I25" s="152"/>
      <c r="J25" s="152"/>
      <c r="K25" s="96"/>
    </row>
    <row r="26" spans="2:19" ht="30.6" customHeight="1" x14ac:dyDescent="0.25">
      <c r="B26" s="95"/>
      <c r="C26" s="198" t="s">
        <v>573</v>
      </c>
      <c r="D26" s="198"/>
      <c r="E26" s="198"/>
      <c r="F26" s="198"/>
      <c r="G26" s="152"/>
      <c r="H26" s="152"/>
      <c r="I26" s="152"/>
      <c r="J26" s="152"/>
      <c r="K26" s="96"/>
      <c r="L26" s="86" t="s">
        <v>6</v>
      </c>
      <c r="M26" s="86" t="s">
        <v>7</v>
      </c>
      <c r="O26" s="84" t="s">
        <v>552</v>
      </c>
      <c r="Q26" s="84" t="s">
        <v>552</v>
      </c>
      <c r="S26" s="162" t="s">
        <v>607</v>
      </c>
    </row>
    <row r="27" spans="2:19" ht="11.25" customHeight="1" x14ac:dyDescent="0.25">
      <c r="B27" s="154"/>
      <c r="C27" s="153"/>
      <c r="D27" s="153"/>
      <c r="E27" s="153"/>
      <c r="F27" s="153"/>
      <c r="G27" s="152"/>
      <c r="H27" s="152"/>
      <c r="I27" s="152"/>
      <c r="J27" s="152"/>
      <c r="K27" s="156"/>
      <c r="L27" s="155" t="s">
        <v>8</v>
      </c>
      <c r="M27" s="86" t="s">
        <v>9</v>
      </c>
      <c r="O27" s="84" t="s">
        <v>544</v>
      </c>
      <c r="Q27" s="84" t="s">
        <v>544</v>
      </c>
      <c r="S27" s="86" t="s">
        <v>633</v>
      </c>
    </row>
    <row r="28" spans="2:19" ht="11.25" customHeight="1" x14ac:dyDescent="0.25">
      <c r="F28" s="85"/>
      <c r="G28" s="85"/>
      <c r="H28" s="85"/>
      <c r="I28" s="85"/>
      <c r="J28" s="85"/>
      <c r="L28" s="86" t="s">
        <v>10</v>
      </c>
      <c r="M28" s="86" t="s">
        <v>11</v>
      </c>
      <c r="O28" s="84" t="s">
        <v>562</v>
      </c>
      <c r="Q28" s="84" t="s">
        <v>562</v>
      </c>
      <c r="S28" s="86" t="s">
        <v>634</v>
      </c>
    </row>
    <row r="29" spans="2:19" ht="11.25" customHeight="1" x14ac:dyDescent="0.25">
      <c r="F29" s="85"/>
      <c r="K29" s="88"/>
      <c r="L29" s="86" t="s">
        <v>12</v>
      </c>
      <c r="M29" s="86" t="s">
        <v>13</v>
      </c>
      <c r="O29" s="84" t="s">
        <v>559</v>
      </c>
      <c r="S29" s="86" t="s">
        <v>635</v>
      </c>
    </row>
    <row r="30" spans="2:19" x14ac:dyDescent="0.25">
      <c r="F30" s="85"/>
      <c r="K30" s="88"/>
      <c r="L30" s="86" t="s">
        <v>14</v>
      </c>
      <c r="M30" s="86" t="s">
        <v>15</v>
      </c>
      <c r="O30" s="84" t="s">
        <v>561</v>
      </c>
      <c r="S30" s="86" t="s">
        <v>636</v>
      </c>
    </row>
    <row r="31" spans="2:19" x14ac:dyDescent="0.25">
      <c r="F31" s="97" t="s">
        <v>727</v>
      </c>
      <c r="K31" s="97" t="s">
        <v>725</v>
      </c>
      <c r="L31" s="86" t="s">
        <v>16</v>
      </c>
      <c r="M31" s="86" t="s">
        <v>17</v>
      </c>
      <c r="O31" s="84" t="s">
        <v>560</v>
      </c>
      <c r="S31" s="86" t="s">
        <v>637</v>
      </c>
    </row>
    <row r="32" spans="2:19" x14ac:dyDescent="0.25">
      <c r="K32" s="97" t="s">
        <v>628</v>
      </c>
      <c r="L32" s="86" t="s">
        <v>18</v>
      </c>
      <c r="M32" s="86" t="s">
        <v>19</v>
      </c>
      <c r="S32" s="86" t="s">
        <v>638</v>
      </c>
    </row>
    <row r="33" spans="11:19" x14ac:dyDescent="0.25">
      <c r="K33" s="97" t="s">
        <v>571</v>
      </c>
      <c r="L33" s="86" t="s">
        <v>20</v>
      </c>
      <c r="M33" s="86" t="s">
        <v>21</v>
      </c>
      <c r="S33" s="86" t="s">
        <v>639</v>
      </c>
    </row>
    <row r="34" spans="11:19" x14ac:dyDescent="0.25">
      <c r="K34" s="97" t="s">
        <v>572</v>
      </c>
      <c r="L34" s="86" t="s">
        <v>22</v>
      </c>
      <c r="M34" s="86" t="s">
        <v>23</v>
      </c>
      <c r="S34" s="86" t="s">
        <v>640</v>
      </c>
    </row>
    <row r="35" spans="11:19" x14ac:dyDescent="0.25">
      <c r="L35" s="86" t="s">
        <v>24</v>
      </c>
      <c r="M35" s="86" t="s">
        <v>25</v>
      </c>
      <c r="S35" s="86" t="s">
        <v>641</v>
      </c>
    </row>
    <row r="36" spans="11:19" x14ac:dyDescent="0.25">
      <c r="L36" s="86" t="s">
        <v>26</v>
      </c>
      <c r="M36" s="86" t="s">
        <v>27</v>
      </c>
      <c r="S36" s="86" t="s">
        <v>642</v>
      </c>
    </row>
    <row r="37" spans="11:19" x14ac:dyDescent="0.25">
      <c r="L37" s="86" t="s">
        <v>28</v>
      </c>
      <c r="M37" s="86" t="s">
        <v>29</v>
      </c>
      <c r="S37" s="86" t="s">
        <v>643</v>
      </c>
    </row>
    <row r="38" spans="11:19" x14ac:dyDescent="0.25">
      <c r="L38" s="86" t="s">
        <v>30</v>
      </c>
      <c r="M38" s="86" t="s">
        <v>31</v>
      </c>
      <c r="S38" s="86" t="s">
        <v>644</v>
      </c>
    </row>
    <row r="39" spans="11:19" x14ac:dyDescent="0.25">
      <c r="L39" s="86" t="s">
        <v>32</v>
      </c>
      <c r="M39" s="86" t="s">
        <v>33</v>
      </c>
      <c r="S39" s="86" t="s">
        <v>645</v>
      </c>
    </row>
    <row r="40" spans="11:19" x14ac:dyDescent="0.25">
      <c r="L40" s="86" t="s">
        <v>34</v>
      </c>
      <c r="M40" s="86" t="s">
        <v>35</v>
      </c>
      <c r="S40" s="86" t="s">
        <v>646</v>
      </c>
    </row>
    <row r="41" spans="11:19" x14ac:dyDescent="0.25">
      <c r="L41" s="86" t="s">
        <v>36</v>
      </c>
      <c r="M41" s="86" t="s">
        <v>37</v>
      </c>
      <c r="S41" s="86" t="s">
        <v>647</v>
      </c>
    </row>
    <row r="42" spans="11:19" x14ac:dyDescent="0.25">
      <c r="L42" s="86" t="s">
        <v>38</v>
      </c>
      <c r="M42" s="86" t="s">
        <v>39</v>
      </c>
      <c r="S42" s="86" t="s">
        <v>648</v>
      </c>
    </row>
    <row r="43" spans="11:19" x14ac:dyDescent="0.25">
      <c r="L43" s="86" t="s">
        <v>40</v>
      </c>
      <c r="M43" s="86" t="s">
        <v>41</v>
      </c>
      <c r="S43" s="86" t="s">
        <v>649</v>
      </c>
    </row>
    <row r="44" spans="11:19" x14ac:dyDescent="0.25">
      <c r="L44" s="86" t="s">
        <v>42</v>
      </c>
      <c r="M44" s="86" t="s">
        <v>43</v>
      </c>
      <c r="S44" s="86" t="s">
        <v>650</v>
      </c>
    </row>
    <row r="45" spans="11:19" x14ac:dyDescent="0.25">
      <c r="L45" s="86" t="s">
        <v>44</v>
      </c>
      <c r="M45" s="86" t="s">
        <v>45</v>
      </c>
      <c r="S45" s="86" t="s">
        <v>651</v>
      </c>
    </row>
    <row r="46" spans="11:19" x14ac:dyDescent="0.25">
      <c r="L46" s="86" t="s">
        <v>46</v>
      </c>
      <c r="M46" s="86" t="s">
        <v>47</v>
      </c>
      <c r="S46" s="86" t="s">
        <v>652</v>
      </c>
    </row>
    <row r="47" spans="11:19" x14ac:dyDescent="0.25">
      <c r="L47" s="86" t="s">
        <v>48</v>
      </c>
      <c r="M47" s="86" t="s">
        <v>49</v>
      </c>
      <c r="S47" s="86" t="s">
        <v>653</v>
      </c>
    </row>
    <row r="48" spans="11:19" x14ac:dyDescent="0.25">
      <c r="L48" s="86" t="s">
        <v>50</v>
      </c>
      <c r="M48" s="86" t="s">
        <v>51</v>
      </c>
      <c r="S48" s="86" t="s">
        <v>654</v>
      </c>
    </row>
    <row r="49" spans="12:19" x14ac:dyDescent="0.25">
      <c r="L49" s="86" t="s">
        <v>52</v>
      </c>
      <c r="M49" s="86" t="s">
        <v>53</v>
      </c>
      <c r="S49" s="86" t="s">
        <v>655</v>
      </c>
    </row>
    <row r="50" spans="12:19" x14ac:dyDescent="0.25">
      <c r="L50" s="86" t="s">
        <v>54</v>
      </c>
      <c r="M50" s="86" t="s">
        <v>55</v>
      </c>
      <c r="S50" s="86" t="s">
        <v>656</v>
      </c>
    </row>
    <row r="51" spans="12:19" x14ac:dyDescent="0.25">
      <c r="L51" s="86" t="s">
        <v>56</v>
      </c>
      <c r="M51" s="86" t="s">
        <v>57</v>
      </c>
      <c r="S51" s="86" t="s">
        <v>657</v>
      </c>
    </row>
    <row r="52" spans="12:19" x14ac:dyDescent="0.25">
      <c r="L52" s="86" t="s">
        <v>58</v>
      </c>
      <c r="M52" s="86" t="s">
        <v>59</v>
      </c>
      <c r="S52" s="86" t="s">
        <v>658</v>
      </c>
    </row>
    <row r="53" spans="12:19" x14ac:dyDescent="0.25">
      <c r="L53" s="86" t="s">
        <v>60</v>
      </c>
      <c r="M53" s="86" t="s">
        <v>61</v>
      </c>
      <c r="S53" s="86" t="s">
        <v>659</v>
      </c>
    </row>
    <row r="54" spans="12:19" x14ac:dyDescent="0.25">
      <c r="L54" s="86" t="s">
        <v>62</v>
      </c>
      <c r="M54" s="86" t="s">
        <v>63</v>
      </c>
      <c r="S54" s="86" t="s">
        <v>660</v>
      </c>
    </row>
    <row r="55" spans="12:19" x14ac:dyDescent="0.25">
      <c r="L55" s="86" t="s">
        <v>64</v>
      </c>
      <c r="M55" s="86" t="s">
        <v>65</v>
      </c>
      <c r="S55" s="86" t="s">
        <v>661</v>
      </c>
    </row>
    <row r="56" spans="12:19" x14ac:dyDescent="0.25">
      <c r="L56" s="86" t="s">
        <v>66</v>
      </c>
      <c r="M56" s="86" t="s">
        <v>67</v>
      </c>
      <c r="S56" s="86" t="s">
        <v>662</v>
      </c>
    </row>
    <row r="57" spans="12:19" x14ac:dyDescent="0.25">
      <c r="L57" s="86" t="s">
        <v>68</v>
      </c>
      <c r="M57" s="86" t="s">
        <v>69</v>
      </c>
      <c r="S57" s="86" t="s">
        <v>663</v>
      </c>
    </row>
    <row r="58" spans="12:19" x14ac:dyDescent="0.25">
      <c r="L58" s="86" t="s">
        <v>70</v>
      </c>
      <c r="M58" s="86" t="s">
        <v>71</v>
      </c>
      <c r="S58" s="86" t="s">
        <v>664</v>
      </c>
    </row>
    <row r="59" spans="12:19" x14ac:dyDescent="0.25">
      <c r="L59" s="86" t="s">
        <v>72</v>
      </c>
      <c r="M59" s="86" t="s">
        <v>73</v>
      </c>
      <c r="S59" s="86" t="s">
        <v>665</v>
      </c>
    </row>
    <row r="60" spans="12:19" x14ac:dyDescent="0.25">
      <c r="L60" s="86" t="s">
        <v>74</v>
      </c>
      <c r="M60" s="86" t="s">
        <v>75</v>
      </c>
      <c r="S60" s="86" t="s">
        <v>666</v>
      </c>
    </row>
    <row r="61" spans="12:19" x14ac:dyDescent="0.25">
      <c r="L61" s="86" t="s">
        <v>76</v>
      </c>
      <c r="M61" s="86" t="s">
        <v>77</v>
      </c>
      <c r="S61" s="86" t="s">
        <v>667</v>
      </c>
    </row>
    <row r="62" spans="12:19" x14ac:dyDescent="0.25">
      <c r="L62" s="86" t="s">
        <v>78</v>
      </c>
      <c r="M62" s="86" t="s">
        <v>79</v>
      </c>
      <c r="S62" s="86" t="s">
        <v>668</v>
      </c>
    </row>
    <row r="63" spans="12:19" x14ac:dyDescent="0.25">
      <c r="L63" s="86" t="s">
        <v>80</v>
      </c>
      <c r="M63" s="86" t="s">
        <v>81</v>
      </c>
      <c r="S63" s="86" t="s">
        <v>669</v>
      </c>
    </row>
    <row r="64" spans="12:19" x14ac:dyDescent="0.25">
      <c r="L64" s="86" t="s">
        <v>82</v>
      </c>
      <c r="M64" s="86" t="s">
        <v>83</v>
      </c>
      <c r="S64" s="86" t="s">
        <v>670</v>
      </c>
    </row>
    <row r="65" spans="12:19" x14ac:dyDescent="0.25">
      <c r="L65" s="86" t="s">
        <v>84</v>
      </c>
      <c r="M65" s="86" t="s">
        <v>85</v>
      </c>
      <c r="S65" s="86" t="s">
        <v>671</v>
      </c>
    </row>
    <row r="66" spans="12:19" x14ac:dyDescent="0.25">
      <c r="L66" s="86" t="s">
        <v>86</v>
      </c>
      <c r="M66" s="86" t="s">
        <v>87</v>
      </c>
      <c r="S66" s="86" t="s">
        <v>672</v>
      </c>
    </row>
    <row r="67" spans="12:19" x14ac:dyDescent="0.25">
      <c r="L67" s="86" t="s">
        <v>88</v>
      </c>
      <c r="M67" s="86" t="s">
        <v>89</v>
      </c>
      <c r="S67" s="86" t="s">
        <v>673</v>
      </c>
    </row>
    <row r="68" spans="12:19" x14ac:dyDescent="0.25">
      <c r="L68" s="86" t="s">
        <v>90</v>
      </c>
      <c r="M68" s="86" t="s">
        <v>91</v>
      </c>
      <c r="S68" s="86" t="s">
        <v>674</v>
      </c>
    </row>
    <row r="69" spans="12:19" x14ac:dyDescent="0.25">
      <c r="L69" s="86" t="s">
        <v>92</v>
      </c>
      <c r="M69" s="86" t="s">
        <v>93</v>
      </c>
      <c r="S69" s="86" t="s">
        <v>675</v>
      </c>
    </row>
    <row r="70" spans="12:19" x14ac:dyDescent="0.25">
      <c r="L70" s="86" t="s">
        <v>94</v>
      </c>
      <c r="M70" s="86" t="s">
        <v>95</v>
      </c>
      <c r="S70" s="86" t="s">
        <v>676</v>
      </c>
    </row>
    <row r="71" spans="12:19" x14ac:dyDescent="0.25">
      <c r="L71" s="86" t="s">
        <v>96</v>
      </c>
      <c r="M71" s="86" t="s">
        <v>97</v>
      </c>
      <c r="S71" s="86" t="s">
        <v>677</v>
      </c>
    </row>
    <row r="72" spans="12:19" x14ac:dyDescent="0.25">
      <c r="L72" s="86" t="s">
        <v>98</v>
      </c>
      <c r="M72" s="86" t="s">
        <v>99</v>
      </c>
      <c r="S72" s="86" t="s">
        <v>678</v>
      </c>
    </row>
    <row r="73" spans="12:19" x14ac:dyDescent="0.25">
      <c r="L73" s="86" t="s">
        <v>100</v>
      </c>
      <c r="M73" s="86" t="s">
        <v>101</v>
      </c>
      <c r="S73" s="86" t="s">
        <v>679</v>
      </c>
    </row>
    <row r="74" spans="12:19" x14ac:dyDescent="0.25">
      <c r="L74" s="86" t="s">
        <v>102</v>
      </c>
      <c r="M74" s="86" t="s">
        <v>103</v>
      </c>
      <c r="S74" s="86" t="s">
        <v>680</v>
      </c>
    </row>
    <row r="75" spans="12:19" x14ac:dyDescent="0.25">
      <c r="L75" s="86" t="s">
        <v>104</v>
      </c>
      <c r="M75" s="86" t="s">
        <v>105</v>
      </c>
      <c r="S75" s="86" t="s">
        <v>681</v>
      </c>
    </row>
    <row r="76" spans="12:19" x14ac:dyDescent="0.25">
      <c r="L76" s="86" t="s">
        <v>106</v>
      </c>
      <c r="M76" s="86" t="s">
        <v>107</v>
      </c>
      <c r="S76" s="86" t="s">
        <v>682</v>
      </c>
    </row>
    <row r="77" spans="12:19" x14ac:dyDescent="0.25">
      <c r="L77" s="86" t="s">
        <v>108</v>
      </c>
      <c r="M77" s="86" t="s">
        <v>109</v>
      </c>
      <c r="S77" s="86" t="s">
        <v>683</v>
      </c>
    </row>
    <row r="78" spans="12:19" x14ac:dyDescent="0.25">
      <c r="L78" s="86" t="s">
        <v>110</v>
      </c>
      <c r="M78" s="86" t="s">
        <v>111</v>
      </c>
      <c r="S78" s="86" t="s">
        <v>684</v>
      </c>
    </row>
    <row r="79" spans="12:19" x14ac:dyDescent="0.25">
      <c r="L79" s="86" t="s">
        <v>112</v>
      </c>
      <c r="M79" s="86" t="s">
        <v>113</v>
      </c>
      <c r="S79" s="86" t="s">
        <v>685</v>
      </c>
    </row>
    <row r="80" spans="12:19" x14ac:dyDescent="0.25">
      <c r="L80" s="86" t="s">
        <v>114</v>
      </c>
      <c r="M80" s="86" t="s">
        <v>115</v>
      </c>
      <c r="S80" s="86" t="s">
        <v>686</v>
      </c>
    </row>
    <row r="81" spans="12:19" x14ac:dyDescent="0.25">
      <c r="L81" s="86" t="s">
        <v>116</v>
      </c>
      <c r="M81" s="86" t="s">
        <v>117</v>
      </c>
      <c r="S81" s="86" t="s">
        <v>687</v>
      </c>
    </row>
    <row r="82" spans="12:19" x14ac:dyDescent="0.25">
      <c r="L82" s="86" t="s">
        <v>118</v>
      </c>
      <c r="M82" s="86" t="s">
        <v>119</v>
      </c>
      <c r="S82" s="86" t="s">
        <v>688</v>
      </c>
    </row>
    <row r="83" spans="12:19" x14ac:dyDescent="0.25">
      <c r="L83" s="86" t="s">
        <v>120</v>
      </c>
      <c r="M83" s="86" t="s">
        <v>121</v>
      </c>
    </row>
    <row r="84" spans="12:19" x14ac:dyDescent="0.25">
      <c r="L84" s="86" t="s">
        <v>122</v>
      </c>
      <c r="M84" s="86" t="s">
        <v>123</v>
      </c>
    </row>
    <row r="85" spans="12:19" x14ac:dyDescent="0.25">
      <c r="L85" s="86" t="s">
        <v>124</v>
      </c>
      <c r="M85" s="86" t="s">
        <v>125</v>
      </c>
    </row>
    <row r="86" spans="12:19" x14ac:dyDescent="0.25">
      <c r="L86" s="86" t="s">
        <v>126</v>
      </c>
      <c r="M86" s="86" t="s">
        <v>127</v>
      </c>
    </row>
    <row r="87" spans="12:19" x14ac:dyDescent="0.25">
      <c r="L87" s="86" t="s">
        <v>128</v>
      </c>
      <c r="M87" s="86" t="s">
        <v>129</v>
      </c>
    </row>
    <row r="88" spans="12:19" x14ac:dyDescent="0.25">
      <c r="L88" s="86" t="s">
        <v>130</v>
      </c>
      <c r="M88" s="86" t="s">
        <v>131</v>
      </c>
    </row>
    <row r="89" spans="12:19" x14ac:dyDescent="0.25">
      <c r="L89" s="86" t="s">
        <v>132</v>
      </c>
      <c r="M89" s="86" t="s">
        <v>133</v>
      </c>
    </row>
    <row r="90" spans="12:19" x14ac:dyDescent="0.25">
      <c r="L90" s="86" t="s">
        <v>134</v>
      </c>
      <c r="M90" s="86" t="s">
        <v>135</v>
      </c>
    </row>
    <row r="91" spans="12:19" x14ac:dyDescent="0.25">
      <c r="L91" s="86" t="s">
        <v>136</v>
      </c>
      <c r="M91" s="86" t="s">
        <v>137</v>
      </c>
    </row>
    <row r="92" spans="12:19" x14ac:dyDescent="0.25">
      <c r="L92" s="86" t="s">
        <v>138</v>
      </c>
      <c r="M92" s="86" t="s">
        <v>139</v>
      </c>
    </row>
    <row r="93" spans="12:19" x14ac:dyDescent="0.25">
      <c r="L93" s="86" t="s">
        <v>140</v>
      </c>
      <c r="M93" s="86" t="s">
        <v>141</v>
      </c>
    </row>
    <row r="94" spans="12:19" x14ac:dyDescent="0.25">
      <c r="L94" s="86" t="s">
        <v>142</v>
      </c>
      <c r="M94" s="86" t="s">
        <v>143</v>
      </c>
    </row>
    <row r="95" spans="12:19" x14ac:dyDescent="0.25">
      <c r="L95" s="86" t="s">
        <v>144</v>
      </c>
      <c r="M95" s="86" t="s">
        <v>145</v>
      </c>
    </row>
    <row r="96" spans="12:19" x14ac:dyDescent="0.25">
      <c r="L96" s="86" t="s">
        <v>146</v>
      </c>
      <c r="M96" s="86" t="s">
        <v>147</v>
      </c>
    </row>
    <row r="97" spans="12:13" x14ac:dyDescent="0.25">
      <c r="L97" s="86" t="s">
        <v>148</v>
      </c>
      <c r="M97" s="86" t="s">
        <v>149</v>
      </c>
    </row>
    <row r="98" spans="12:13" x14ac:dyDescent="0.25">
      <c r="L98" s="86" t="s">
        <v>150</v>
      </c>
      <c r="M98" s="86" t="s">
        <v>151</v>
      </c>
    </row>
    <row r="99" spans="12:13" x14ac:dyDescent="0.25">
      <c r="L99" s="86" t="s">
        <v>152</v>
      </c>
      <c r="M99" s="86" t="s">
        <v>153</v>
      </c>
    </row>
    <row r="100" spans="12:13" x14ac:dyDescent="0.25">
      <c r="L100" s="86" t="s">
        <v>154</v>
      </c>
      <c r="M100" s="86" t="s">
        <v>155</v>
      </c>
    </row>
    <row r="101" spans="12:13" x14ac:dyDescent="0.25">
      <c r="L101" s="86" t="s">
        <v>156</v>
      </c>
      <c r="M101" s="86" t="s">
        <v>157</v>
      </c>
    </row>
    <row r="102" spans="12:13" x14ac:dyDescent="0.25">
      <c r="L102" s="86" t="s">
        <v>158</v>
      </c>
      <c r="M102" s="86" t="s">
        <v>159</v>
      </c>
    </row>
    <row r="103" spans="12:13" x14ac:dyDescent="0.25">
      <c r="L103" s="86" t="s">
        <v>160</v>
      </c>
      <c r="M103" s="86" t="s">
        <v>161</v>
      </c>
    </row>
    <row r="104" spans="12:13" x14ac:dyDescent="0.25">
      <c r="L104" s="86" t="s">
        <v>162</v>
      </c>
      <c r="M104" s="86" t="s">
        <v>163</v>
      </c>
    </row>
    <row r="105" spans="12:13" x14ac:dyDescent="0.25">
      <c r="L105" s="86" t="s">
        <v>164</v>
      </c>
      <c r="M105" s="86" t="s">
        <v>165</v>
      </c>
    </row>
    <row r="106" spans="12:13" x14ac:dyDescent="0.25">
      <c r="L106" s="86" t="s">
        <v>166</v>
      </c>
      <c r="M106" s="86" t="s">
        <v>167</v>
      </c>
    </row>
    <row r="107" spans="12:13" x14ac:dyDescent="0.25">
      <c r="L107" s="86" t="s">
        <v>168</v>
      </c>
      <c r="M107" s="86" t="s">
        <v>169</v>
      </c>
    </row>
    <row r="108" spans="12:13" x14ac:dyDescent="0.25">
      <c r="L108" s="86" t="s">
        <v>170</v>
      </c>
      <c r="M108" s="86" t="s">
        <v>171</v>
      </c>
    </row>
    <row r="109" spans="12:13" x14ac:dyDescent="0.25">
      <c r="L109" s="86" t="s">
        <v>172</v>
      </c>
      <c r="M109" s="86" t="s">
        <v>173</v>
      </c>
    </row>
    <row r="110" spans="12:13" x14ac:dyDescent="0.25">
      <c r="L110" s="86" t="s">
        <v>174</v>
      </c>
      <c r="M110" s="86" t="s">
        <v>175</v>
      </c>
    </row>
    <row r="111" spans="12:13" x14ac:dyDescent="0.25">
      <c r="L111" s="86" t="s">
        <v>176</v>
      </c>
      <c r="M111" s="86" t="s">
        <v>177</v>
      </c>
    </row>
    <row r="112" spans="12:13" x14ac:dyDescent="0.25">
      <c r="L112" s="86" t="s">
        <v>178</v>
      </c>
      <c r="M112" s="86" t="s">
        <v>179</v>
      </c>
    </row>
    <row r="113" spans="12:13" x14ac:dyDescent="0.25">
      <c r="L113" s="86" t="s">
        <v>180</v>
      </c>
      <c r="M113" s="86" t="s">
        <v>181</v>
      </c>
    </row>
    <row r="114" spans="12:13" x14ac:dyDescent="0.25">
      <c r="L114" s="86" t="s">
        <v>182</v>
      </c>
      <c r="M114" s="86" t="s">
        <v>183</v>
      </c>
    </row>
    <row r="115" spans="12:13" x14ac:dyDescent="0.25">
      <c r="L115" s="86" t="s">
        <v>184</v>
      </c>
      <c r="M115" s="86" t="s">
        <v>185</v>
      </c>
    </row>
    <row r="116" spans="12:13" x14ac:dyDescent="0.25">
      <c r="L116" s="86" t="s">
        <v>186</v>
      </c>
      <c r="M116" s="86" t="s">
        <v>187</v>
      </c>
    </row>
    <row r="117" spans="12:13" x14ac:dyDescent="0.25">
      <c r="L117" s="86" t="s">
        <v>188</v>
      </c>
      <c r="M117" s="86" t="s">
        <v>189</v>
      </c>
    </row>
    <row r="118" spans="12:13" x14ac:dyDescent="0.25">
      <c r="L118" s="86" t="s">
        <v>190</v>
      </c>
      <c r="M118" s="86" t="s">
        <v>191</v>
      </c>
    </row>
    <row r="119" spans="12:13" x14ac:dyDescent="0.25">
      <c r="L119" s="86" t="s">
        <v>192</v>
      </c>
      <c r="M119" s="86" t="s">
        <v>193</v>
      </c>
    </row>
    <row r="120" spans="12:13" x14ac:dyDescent="0.25">
      <c r="L120" s="86" t="s">
        <v>194</v>
      </c>
      <c r="M120" s="86" t="s">
        <v>195</v>
      </c>
    </row>
    <row r="121" spans="12:13" x14ac:dyDescent="0.25">
      <c r="L121" s="86" t="s">
        <v>196</v>
      </c>
      <c r="M121" s="86" t="s">
        <v>197</v>
      </c>
    </row>
    <row r="122" spans="12:13" x14ac:dyDescent="0.25">
      <c r="L122" s="86" t="s">
        <v>198</v>
      </c>
      <c r="M122" s="86" t="s">
        <v>199</v>
      </c>
    </row>
    <row r="123" spans="12:13" x14ac:dyDescent="0.25">
      <c r="L123" s="86" t="s">
        <v>200</v>
      </c>
      <c r="M123" s="86" t="s">
        <v>201</v>
      </c>
    </row>
    <row r="124" spans="12:13" x14ac:dyDescent="0.25">
      <c r="L124" s="86" t="s">
        <v>202</v>
      </c>
      <c r="M124" s="86" t="s">
        <v>203</v>
      </c>
    </row>
    <row r="125" spans="12:13" x14ac:dyDescent="0.25">
      <c r="L125" s="86" t="s">
        <v>204</v>
      </c>
      <c r="M125" s="86" t="s">
        <v>205</v>
      </c>
    </row>
    <row r="126" spans="12:13" x14ac:dyDescent="0.25">
      <c r="L126" s="86" t="s">
        <v>206</v>
      </c>
      <c r="M126" s="86" t="s">
        <v>207</v>
      </c>
    </row>
    <row r="127" spans="12:13" x14ac:dyDescent="0.25">
      <c r="L127" s="86" t="s">
        <v>208</v>
      </c>
      <c r="M127" s="86" t="s">
        <v>209</v>
      </c>
    </row>
    <row r="128" spans="12:13" x14ac:dyDescent="0.25">
      <c r="L128" s="86" t="s">
        <v>210</v>
      </c>
      <c r="M128" s="86" t="s">
        <v>211</v>
      </c>
    </row>
    <row r="129" spans="12:13" x14ac:dyDescent="0.25">
      <c r="L129" s="86" t="s">
        <v>212</v>
      </c>
      <c r="M129" s="86" t="s">
        <v>213</v>
      </c>
    </row>
    <row r="130" spans="12:13" x14ac:dyDescent="0.25">
      <c r="L130" s="86" t="s">
        <v>214</v>
      </c>
      <c r="M130" s="86" t="s">
        <v>215</v>
      </c>
    </row>
    <row r="131" spans="12:13" x14ac:dyDescent="0.25">
      <c r="L131" s="86" t="s">
        <v>216</v>
      </c>
      <c r="M131" s="86" t="s">
        <v>217</v>
      </c>
    </row>
    <row r="132" spans="12:13" x14ac:dyDescent="0.25">
      <c r="L132" s="86" t="s">
        <v>218</v>
      </c>
      <c r="M132" s="86" t="s">
        <v>219</v>
      </c>
    </row>
    <row r="133" spans="12:13" x14ac:dyDescent="0.25">
      <c r="L133" s="86" t="s">
        <v>220</v>
      </c>
      <c r="M133" s="86" t="s">
        <v>221</v>
      </c>
    </row>
    <row r="134" spans="12:13" x14ac:dyDescent="0.25">
      <c r="L134" s="86" t="s">
        <v>222</v>
      </c>
      <c r="M134" s="86" t="s">
        <v>223</v>
      </c>
    </row>
    <row r="135" spans="12:13" x14ac:dyDescent="0.25">
      <c r="L135" s="86" t="s">
        <v>224</v>
      </c>
      <c r="M135" s="86" t="s">
        <v>225</v>
      </c>
    </row>
    <row r="136" spans="12:13" x14ac:dyDescent="0.25">
      <c r="L136" s="86" t="s">
        <v>226</v>
      </c>
      <c r="M136" s="86" t="s">
        <v>227</v>
      </c>
    </row>
    <row r="137" spans="12:13" x14ac:dyDescent="0.25">
      <c r="L137" s="86" t="s">
        <v>228</v>
      </c>
      <c r="M137" s="86" t="s">
        <v>229</v>
      </c>
    </row>
    <row r="138" spans="12:13" x14ac:dyDescent="0.25">
      <c r="L138" s="86" t="s">
        <v>230</v>
      </c>
      <c r="M138" s="86" t="s">
        <v>231</v>
      </c>
    </row>
    <row r="139" spans="12:13" x14ac:dyDescent="0.25">
      <c r="L139" s="86" t="s">
        <v>232</v>
      </c>
      <c r="M139" s="86" t="s">
        <v>233</v>
      </c>
    </row>
    <row r="140" spans="12:13" x14ac:dyDescent="0.25">
      <c r="L140" s="86" t="s">
        <v>234</v>
      </c>
      <c r="M140" s="86" t="s">
        <v>235</v>
      </c>
    </row>
    <row r="141" spans="12:13" x14ac:dyDescent="0.25">
      <c r="L141" s="86" t="s">
        <v>236</v>
      </c>
      <c r="M141" s="86" t="s">
        <v>237</v>
      </c>
    </row>
    <row r="142" spans="12:13" x14ac:dyDescent="0.25">
      <c r="L142" s="86" t="s">
        <v>238</v>
      </c>
      <c r="M142" s="86" t="s">
        <v>239</v>
      </c>
    </row>
    <row r="143" spans="12:13" x14ac:dyDescent="0.25">
      <c r="L143" s="86" t="s">
        <v>240</v>
      </c>
      <c r="M143" s="86" t="s">
        <v>241</v>
      </c>
    </row>
    <row r="144" spans="12:13" x14ac:dyDescent="0.25">
      <c r="L144" s="86" t="s">
        <v>242</v>
      </c>
      <c r="M144" s="86" t="s">
        <v>243</v>
      </c>
    </row>
    <row r="145" spans="12:13" x14ac:dyDescent="0.25">
      <c r="L145" s="86" t="s">
        <v>244</v>
      </c>
      <c r="M145" s="86" t="s">
        <v>245</v>
      </c>
    </row>
    <row r="146" spans="12:13" x14ac:dyDescent="0.25">
      <c r="L146" s="86" t="s">
        <v>246</v>
      </c>
      <c r="M146" s="86" t="s">
        <v>247</v>
      </c>
    </row>
    <row r="147" spans="12:13" x14ac:dyDescent="0.25">
      <c r="L147" s="86" t="s">
        <v>248</v>
      </c>
      <c r="M147" s="86" t="s">
        <v>249</v>
      </c>
    </row>
    <row r="148" spans="12:13" x14ac:dyDescent="0.25">
      <c r="L148" s="86" t="s">
        <v>250</v>
      </c>
      <c r="M148" s="86" t="s">
        <v>251</v>
      </c>
    </row>
    <row r="149" spans="12:13" x14ac:dyDescent="0.25">
      <c r="L149" s="86" t="s">
        <v>252</v>
      </c>
      <c r="M149" s="86" t="s">
        <v>253</v>
      </c>
    </row>
    <row r="150" spans="12:13" x14ac:dyDescent="0.25">
      <c r="L150" s="86" t="s">
        <v>254</v>
      </c>
      <c r="M150" s="86" t="s">
        <v>255</v>
      </c>
    </row>
    <row r="151" spans="12:13" x14ac:dyDescent="0.25">
      <c r="L151" s="86" t="s">
        <v>256</v>
      </c>
      <c r="M151" s="86" t="s">
        <v>257</v>
      </c>
    </row>
    <row r="152" spans="12:13" x14ac:dyDescent="0.25">
      <c r="L152" s="86" t="s">
        <v>258</v>
      </c>
      <c r="M152" s="86" t="s">
        <v>259</v>
      </c>
    </row>
    <row r="153" spans="12:13" x14ac:dyDescent="0.25">
      <c r="L153" s="86" t="s">
        <v>260</v>
      </c>
      <c r="M153" s="86" t="s">
        <v>261</v>
      </c>
    </row>
    <row r="154" spans="12:13" x14ac:dyDescent="0.25">
      <c r="L154" s="86" t="s">
        <v>262</v>
      </c>
      <c r="M154" s="86" t="s">
        <v>263</v>
      </c>
    </row>
    <row r="155" spans="12:13" x14ac:dyDescent="0.25">
      <c r="L155" s="86" t="s">
        <v>264</v>
      </c>
      <c r="M155" s="86" t="s">
        <v>265</v>
      </c>
    </row>
    <row r="156" spans="12:13" x14ac:dyDescent="0.25">
      <c r="L156" s="86" t="s">
        <v>266</v>
      </c>
      <c r="M156" s="86" t="s">
        <v>267</v>
      </c>
    </row>
    <row r="157" spans="12:13" x14ac:dyDescent="0.25">
      <c r="L157" s="86" t="s">
        <v>268</v>
      </c>
      <c r="M157" s="86" t="s">
        <v>269</v>
      </c>
    </row>
    <row r="158" spans="12:13" x14ac:dyDescent="0.25">
      <c r="L158" s="86" t="s">
        <v>270</v>
      </c>
      <c r="M158" s="86" t="s">
        <v>271</v>
      </c>
    </row>
    <row r="159" spans="12:13" x14ac:dyDescent="0.25">
      <c r="L159" s="86" t="s">
        <v>272</v>
      </c>
      <c r="M159" s="86" t="s">
        <v>273</v>
      </c>
    </row>
    <row r="160" spans="12:13" x14ac:dyDescent="0.25">
      <c r="L160" s="86" t="s">
        <v>274</v>
      </c>
      <c r="M160" s="86" t="s">
        <v>275</v>
      </c>
    </row>
    <row r="161" spans="12:13" x14ac:dyDescent="0.25">
      <c r="L161" s="86" t="s">
        <v>276</v>
      </c>
      <c r="M161" s="86" t="s">
        <v>277</v>
      </c>
    </row>
    <row r="162" spans="12:13" x14ac:dyDescent="0.25">
      <c r="L162" s="86" t="s">
        <v>278</v>
      </c>
      <c r="M162" s="86" t="s">
        <v>279</v>
      </c>
    </row>
    <row r="163" spans="12:13" x14ac:dyDescent="0.25">
      <c r="L163" s="86" t="s">
        <v>280</v>
      </c>
      <c r="M163" s="86" t="s">
        <v>281</v>
      </c>
    </row>
    <row r="164" spans="12:13" x14ac:dyDescent="0.25">
      <c r="L164" s="86" t="s">
        <v>282</v>
      </c>
      <c r="M164" s="86" t="s">
        <v>283</v>
      </c>
    </row>
    <row r="165" spans="12:13" x14ac:dyDescent="0.25">
      <c r="L165" s="86" t="s">
        <v>284</v>
      </c>
      <c r="M165" s="86" t="s">
        <v>285</v>
      </c>
    </row>
    <row r="166" spans="12:13" x14ac:dyDescent="0.25">
      <c r="L166" s="86" t="s">
        <v>286</v>
      </c>
      <c r="M166" s="86" t="s">
        <v>287</v>
      </c>
    </row>
    <row r="167" spans="12:13" x14ac:dyDescent="0.25">
      <c r="L167" s="86" t="s">
        <v>288</v>
      </c>
      <c r="M167" s="86" t="s">
        <v>289</v>
      </c>
    </row>
    <row r="168" spans="12:13" x14ac:dyDescent="0.25">
      <c r="L168" s="86" t="s">
        <v>290</v>
      </c>
      <c r="M168" s="86" t="s">
        <v>291</v>
      </c>
    </row>
    <row r="169" spans="12:13" x14ac:dyDescent="0.25">
      <c r="L169" s="86" t="s">
        <v>292</v>
      </c>
      <c r="M169" s="86" t="s">
        <v>293</v>
      </c>
    </row>
    <row r="170" spans="12:13" x14ac:dyDescent="0.25">
      <c r="L170" s="86" t="s">
        <v>294</v>
      </c>
      <c r="M170" s="86" t="s">
        <v>295</v>
      </c>
    </row>
    <row r="171" spans="12:13" x14ac:dyDescent="0.25">
      <c r="L171" s="86" t="s">
        <v>296</v>
      </c>
      <c r="M171" s="86" t="s">
        <v>297</v>
      </c>
    </row>
    <row r="172" spans="12:13" x14ac:dyDescent="0.25">
      <c r="L172" s="86" t="s">
        <v>298</v>
      </c>
      <c r="M172" s="86" t="s">
        <v>299</v>
      </c>
    </row>
    <row r="173" spans="12:13" x14ac:dyDescent="0.25">
      <c r="L173" s="86" t="s">
        <v>300</v>
      </c>
      <c r="M173" s="86" t="s">
        <v>301</v>
      </c>
    </row>
    <row r="174" spans="12:13" x14ac:dyDescent="0.25">
      <c r="L174" s="86" t="s">
        <v>302</v>
      </c>
      <c r="M174" s="86" t="s">
        <v>303</v>
      </c>
    </row>
    <row r="175" spans="12:13" x14ac:dyDescent="0.25">
      <c r="L175" s="86" t="s">
        <v>304</v>
      </c>
      <c r="M175" s="86" t="s">
        <v>305</v>
      </c>
    </row>
    <row r="176" spans="12:13" x14ac:dyDescent="0.25">
      <c r="L176" s="86" t="s">
        <v>306</v>
      </c>
      <c r="M176" s="86" t="s">
        <v>307</v>
      </c>
    </row>
    <row r="177" spans="12:13" x14ac:dyDescent="0.25">
      <c r="L177" s="86" t="s">
        <v>308</v>
      </c>
      <c r="M177" s="86" t="s">
        <v>309</v>
      </c>
    </row>
    <row r="178" spans="12:13" x14ac:dyDescent="0.25">
      <c r="L178" s="86" t="s">
        <v>310</v>
      </c>
      <c r="M178" s="86" t="s">
        <v>311</v>
      </c>
    </row>
    <row r="179" spans="12:13" x14ac:dyDescent="0.25">
      <c r="L179" s="86" t="s">
        <v>312</v>
      </c>
      <c r="M179" s="86" t="s">
        <v>313</v>
      </c>
    </row>
    <row r="180" spans="12:13" x14ac:dyDescent="0.25">
      <c r="L180" s="86" t="s">
        <v>314</v>
      </c>
      <c r="M180" s="86" t="s">
        <v>315</v>
      </c>
    </row>
    <row r="181" spans="12:13" x14ac:dyDescent="0.25">
      <c r="L181" s="86" t="s">
        <v>316</v>
      </c>
      <c r="M181" s="86" t="s">
        <v>317</v>
      </c>
    </row>
    <row r="182" spans="12:13" x14ac:dyDescent="0.25">
      <c r="L182" s="86" t="s">
        <v>318</v>
      </c>
      <c r="M182" s="86" t="s">
        <v>319</v>
      </c>
    </row>
    <row r="183" spans="12:13" x14ac:dyDescent="0.25">
      <c r="L183" s="86" t="s">
        <v>320</v>
      </c>
      <c r="M183" s="86" t="s">
        <v>321</v>
      </c>
    </row>
    <row r="184" spans="12:13" x14ac:dyDescent="0.25">
      <c r="L184" s="86" t="s">
        <v>322</v>
      </c>
      <c r="M184" s="86" t="s">
        <v>323</v>
      </c>
    </row>
    <row r="185" spans="12:13" x14ac:dyDescent="0.25">
      <c r="L185" s="86" t="s">
        <v>324</v>
      </c>
      <c r="M185" s="86" t="s">
        <v>325</v>
      </c>
    </row>
    <row r="186" spans="12:13" x14ac:dyDescent="0.25">
      <c r="L186" s="86" t="s">
        <v>326</v>
      </c>
      <c r="M186" s="86" t="s">
        <v>327</v>
      </c>
    </row>
    <row r="187" spans="12:13" x14ac:dyDescent="0.25">
      <c r="L187" s="86" t="s">
        <v>328</v>
      </c>
      <c r="M187" s="86" t="s">
        <v>329</v>
      </c>
    </row>
    <row r="188" spans="12:13" x14ac:dyDescent="0.25">
      <c r="L188" s="86" t="s">
        <v>330</v>
      </c>
      <c r="M188" s="86" t="s">
        <v>331</v>
      </c>
    </row>
    <row r="189" spans="12:13" x14ac:dyDescent="0.25">
      <c r="L189" s="86" t="s">
        <v>332</v>
      </c>
      <c r="M189" s="86" t="s">
        <v>333</v>
      </c>
    </row>
    <row r="190" spans="12:13" x14ac:dyDescent="0.25">
      <c r="L190" s="86" t="s">
        <v>334</v>
      </c>
      <c r="M190" s="86" t="s">
        <v>335</v>
      </c>
    </row>
    <row r="191" spans="12:13" x14ac:dyDescent="0.25">
      <c r="L191" s="86" t="s">
        <v>336</v>
      </c>
      <c r="M191" s="86" t="s">
        <v>337</v>
      </c>
    </row>
    <row r="192" spans="12:13" x14ac:dyDescent="0.25">
      <c r="L192" s="86" t="s">
        <v>338</v>
      </c>
      <c r="M192" s="86" t="s">
        <v>339</v>
      </c>
    </row>
    <row r="193" spans="12:13" x14ac:dyDescent="0.25">
      <c r="L193" s="86" t="s">
        <v>340</v>
      </c>
      <c r="M193" s="86" t="s">
        <v>341</v>
      </c>
    </row>
    <row r="194" spans="12:13" x14ac:dyDescent="0.25">
      <c r="L194" s="86" t="s">
        <v>342</v>
      </c>
      <c r="M194" s="86" t="s">
        <v>343</v>
      </c>
    </row>
    <row r="195" spans="12:13" x14ac:dyDescent="0.25">
      <c r="L195" s="86" t="s">
        <v>344</v>
      </c>
      <c r="M195" s="86" t="s">
        <v>345</v>
      </c>
    </row>
    <row r="196" spans="12:13" x14ac:dyDescent="0.25">
      <c r="L196" s="86" t="s">
        <v>346</v>
      </c>
      <c r="M196" s="86" t="s">
        <v>347</v>
      </c>
    </row>
    <row r="197" spans="12:13" x14ac:dyDescent="0.25">
      <c r="L197" s="86" t="s">
        <v>348</v>
      </c>
      <c r="M197" s="86" t="s">
        <v>349</v>
      </c>
    </row>
    <row r="198" spans="12:13" x14ac:dyDescent="0.25">
      <c r="L198" s="86" t="s">
        <v>350</v>
      </c>
      <c r="M198" s="86" t="s">
        <v>351</v>
      </c>
    </row>
    <row r="199" spans="12:13" x14ac:dyDescent="0.25">
      <c r="L199" s="86" t="s">
        <v>352</v>
      </c>
      <c r="M199" s="86" t="s">
        <v>353</v>
      </c>
    </row>
    <row r="200" spans="12:13" x14ac:dyDescent="0.25">
      <c r="L200" s="86" t="s">
        <v>354</v>
      </c>
      <c r="M200" s="86" t="s">
        <v>355</v>
      </c>
    </row>
    <row r="201" spans="12:13" x14ac:dyDescent="0.25">
      <c r="L201" s="86" t="s">
        <v>356</v>
      </c>
      <c r="M201" s="86" t="s">
        <v>357</v>
      </c>
    </row>
    <row r="202" spans="12:13" x14ac:dyDescent="0.25">
      <c r="L202" s="86" t="s">
        <v>358</v>
      </c>
      <c r="M202" s="86" t="s">
        <v>359</v>
      </c>
    </row>
    <row r="203" spans="12:13" x14ac:dyDescent="0.25">
      <c r="L203" s="86" t="s">
        <v>360</v>
      </c>
      <c r="M203" s="86" t="s">
        <v>361</v>
      </c>
    </row>
    <row r="204" spans="12:13" x14ac:dyDescent="0.25">
      <c r="L204" s="86" t="s">
        <v>362</v>
      </c>
      <c r="M204" s="86" t="s">
        <v>363</v>
      </c>
    </row>
    <row r="205" spans="12:13" x14ac:dyDescent="0.25">
      <c r="L205" s="86" t="s">
        <v>364</v>
      </c>
      <c r="M205" s="86" t="s">
        <v>365</v>
      </c>
    </row>
    <row r="206" spans="12:13" x14ac:dyDescent="0.25">
      <c r="L206" s="86" t="s">
        <v>366</v>
      </c>
      <c r="M206" s="86" t="s">
        <v>367</v>
      </c>
    </row>
    <row r="207" spans="12:13" x14ac:dyDescent="0.25">
      <c r="L207" s="86" t="s">
        <v>368</v>
      </c>
      <c r="M207" s="86" t="s">
        <v>369</v>
      </c>
    </row>
    <row r="208" spans="12:13" x14ac:dyDescent="0.25">
      <c r="L208" s="86" t="s">
        <v>370</v>
      </c>
      <c r="M208" s="86" t="s">
        <v>371</v>
      </c>
    </row>
    <row r="209" spans="12:13" x14ac:dyDescent="0.25">
      <c r="L209" s="86" t="s">
        <v>372</v>
      </c>
      <c r="M209" s="86" t="s">
        <v>373</v>
      </c>
    </row>
    <row r="210" spans="12:13" x14ac:dyDescent="0.25">
      <c r="L210" s="86" t="s">
        <v>374</v>
      </c>
      <c r="M210" s="86" t="s">
        <v>375</v>
      </c>
    </row>
    <row r="211" spans="12:13" x14ac:dyDescent="0.25">
      <c r="L211" s="86" t="s">
        <v>376</v>
      </c>
      <c r="M211" s="86" t="s">
        <v>377</v>
      </c>
    </row>
    <row r="212" spans="12:13" x14ac:dyDescent="0.25">
      <c r="L212" s="86" t="s">
        <v>378</v>
      </c>
      <c r="M212" s="86" t="s">
        <v>379</v>
      </c>
    </row>
    <row r="213" spans="12:13" x14ac:dyDescent="0.25">
      <c r="L213" s="86" t="s">
        <v>380</v>
      </c>
      <c r="M213" s="86" t="s">
        <v>381</v>
      </c>
    </row>
    <row r="214" spans="12:13" x14ac:dyDescent="0.25">
      <c r="L214" s="86" t="s">
        <v>382</v>
      </c>
      <c r="M214" s="86" t="s">
        <v>383</v>
      </c>
    </row>
    <row r="215" spans="12:13" x14ac:dyDescent="0.25">
      <c r="L215" s="86" t="s">
        <v>384</v>
      </c>
      <c r="M215" s="86" t="s">
        <v>385</v>
      </c>
    </row>
    <row r="216" spans="12:13" x14ac:dyDescent="0.25">
      <c r="L216" s="86" t="s">
        <v>386</v>
      </c>
      <c r="M216" s="86" t="s">
        <v>387</v>
      </c>
    </row>
    <row r="217" spans="12:13" x14ac:dyDescent="0.25">
      <c r="L217" s="86" t="s">
        <v>388</v>
      </c>
      <c r="M217" s="86" t="s">
        <v>389</v>
      </c>
    </row>
    <row r="218" spans="12:13" x14ac:dyDescent="0.25">
      <c r="L218" s="86" t="s">
        <v>390</v>
      </c>
      <c r="M218" s="86" t="s">
        <v>391</v>
      </c>
    </row>
    <row r="219" spans="12:13" x14ac:dyDescent="0.25">
      <c r="L219" s="86" t="s">
        <v>392</v>
      </c>
      <c r="M219" s="86" t="s">
        <v>393</v>
      </c>
    </row>
    <row r="220" spans="12:13" x14ac:dyDescent="0.25">
      <c r="L220" s="86" t="s">
        <v>394</v>
      </c>
      <c r="M220" s="86" t="s">
        <v>395</v>
      </c>
    </row>
    <row r="221" spans="12:13" x14ac:dyDescent="0.25">
      <c r="L221" s="86" t="s">
        <v>396</v>
      </c>
      <c r="M221" s="86" t="s">
        <v>397</v>
      </c>
    </row>
    <row r="222" spans="12:13" x14ac:dyDescent="0.25">
      <c r="L222" s="86" t="s">
        <v>398</v>
      </c>
      <c r="M222" s="86" t="s">
        <v>399</v>
      </c>
    </row>
    <row r="223" spans="12:13" x14ac:dyDescent="0.25">
      <c r="L223" s="86" t="s">
        <v>400</v>
      </c>
      <c r="M223" s="86" t="s">
        <v>401</v>
      </c>
    </row>
    <row r="224" spans="12:13" x14ac:dyDescent="0.25">
      <c r="L224" s="86" t="s">
        <v>402</v>
      </c>
      <c r="M224" s="86" t="s">
        <v>403</v>
      </c>
    </row>
    <row r="225" spans="12:13" x14ac:dyDescent="0.25">
      <c r="L225" s="86" t="s">
        <v>404</v>
      </c>
      <c r="M225" s="86" t="s">
        <v>405</v>
      </c>
    </row>
    <row r="226" spans="12:13" x14ac:dyDescent="0.25">
      <c r="L226" s="86" t="s">
        <v>406</v>
      </c>
      <c r="M226" s="86" t="s">
        <v>407</v>
      </c>
    </row>
    <row r="227" spans="12:13" x14ac:dyDescent="0.25">
      <c r="L227" s="86" t="s">
        <v>408</v>
      </c>
      <c r="M227" s="86" t="s">
        <v>409</v>
      </c>
    </row>
    <row r="228" spans="12:13" x14ac:dyDescent="0.25">
      <c r="L228" s="86" t="s">
        <v>410</v>
      </c>
      <c r="M228" s="86" t="s">
        <v>411</v>
      </c>
    </row>
    <row r="229" spans="12:13" x14ac:dyDescent="0.25">
      <c r="L229" s="86" t="s">
        <v>412</v>
      </c>
      <c r="M229" s="86" t="s">
        <v>413</v>
      </c>
    </row>
    <row r="230" spans="12:13" x14ac:dyDescent="0.25">
      <c r="L230" s="86" t="s">
        <v>414</v>
      </c>
      <c r="M230" s="86" t="s">
        <v>415</v>
      </c>
    </row>
    <row r="231" spans="12:13" x14ac:dyDescent="0.25">
      <c r="L231" s="86" t="s">
        <v>416</v>
      </c>
      <c r="M231" s="86" t="s">
        <v>417</v>
      </c>
    </row>
    <row r="232" spans="12:13" x14ac:dyDescent="0.25">
      <c r="L232" s="86" t="s">
        <v>418</v>
      </c>
      <c r="M232" s="86" t="s">
        <v>419</v>
      </c>
    </row>
    <row r="233" spans="12:13" x14ac:dyDescent="0.25">
      <c r="L233" s="86" t="s">
        <v>420</v>
      </c>
      <c r="M233" s="86" t="s">
        <v>421</v>
      </c>
    </row>
    <row r="234" spans="12:13" x14ac:dyDescent="0.25">
      <c r="L234" s="86" t="s">
        <v>422</v>
      </c>
      <c r="M234" s="86" t="s">
        <v>423</v>
      </c>
    </row>
    <row r="235" spans="12:13" x14ac:dyDescent="0.25">
      <c r="L235" s="86" t="s">
        <v>424</v>
      </c>
      <c r="M235" s="86" t="s">
        <v>425</v>
      </c>
    </row>
    <row r="236" spans="12:13" x14ac:dyDescent="0.25">
      <c r="L236" s="86" t="s">
        <v>426</v>
      </c>
      <c r="M236" s="86" t="s">
        <v>427</v>
      </c>
    </row>
    <row r="237" spans="12:13" x14ac:dyDescent="0.25">
      <c r="L237" s="86" t="s">
        <v>428</v>
      </c>
      <c r="M237" s="86" t="s">
        <v>429</v>
      </c>
    </row>
    <row r="238" spans="12:13" x14ac:dyDescent="0.25">
      <c r="L238" s="86" t="s">
        <v>430</v>
      </c>
      <c r="M238" s="86" t="s">
        <v>431</v>
      </c>
    </row>
    <row r="239" spans="12:13" x14ac:dyDescent="0.25">
      <c r="L239" s="86" t="s">
        <v>432</v>
      </c>
      <c r="M239" s="86" t="s">
        <v>433</v>
      </c>
    </row>
    <row r="240" spans="12:13" x14ac:dyDescent="0.25">
      <c r="L240" s="86" t="s">
        <v>434</v>
      </c>
      <c r="M240" s="86" t="s">
        <v>435</v>
      </c>
    </row>
    <row r="241" spans="12:13" x14ac:dyDescent="0.25">
      <c r="L241" s="86" t="s">
        <v>436</v>
      </c>
      <c r="M241" s="86" t="s">
        <v>437</v>
      </c>
    </row>
    <row r="242" spans="12:13" x14ac:dyDescent="0.25">
      <c r="L242" s="86" t="s">
        <v>438</v>
      </c>
      <c r="M242" s="86" t="s">
        <v>439</v>
      </c>
    </row>
    <row r="243" spans="12:13" x14ac:dyDescent="0.25">
      <c r="L243" s="86" t="s">
        <v>440</v>
      </c>
      <c r="M243" s="86" t="s">
        <v>441</v>
      </c>
    </row>
    <row r="244" spans="12:13" x14ac:dyDescent="0.25">
      <c r="L244" s="86" t="s">
        <v>442</v>
      </c>
      <c r="M244" s="86" t="s">
        <v>443</v>
      </c>
    </row>
    <row r="245" spans="12:13" x14ac:dyDescent="0.25">
      <c r="L245" s="86" t="s">
        <v>444</v>
      </c>
      <c r="M245" s="86" t="s">
        <v>445</v>
      </c>
    </row>
    <row r="246" spans="12:13" x14ac:dyDescent="0.25">
      <c r="L246" s="86" t="s">
        <v>446</v>
      </c>
      <c r="M246" s="86" t="s">
        <v>447</v>
      </c>
    </row>
    <row r="247" spans="12:13" x14ac:dyDescent="0.25">
      <c r="L247" s="86" t="s">
        <v>448</v>
      </c>
      <c r="M247" s="86" t="s">
        <v>449</v>
      </c>
    </row>
    <row r="248" spans="12:13" x14ac:dyDescent="0.25">
      <c r="L248" s="86" t="s">
        <v>450</v>
      </c>
      <c r="M248" s="86" t="s">
        <v>451</v>
      </c>
    </row>
    <row r="249" spans="12:13" x14ac:dyDescent="0.25">
      <c r="L249" s="86" t="s">
        <v>452</v>
      </c>
      <c r="M249" s="86" t="s">
        <v>453</v>
      </c>
    </row>
    <row r="250" spans="12:13" x14ac:dyDescent="0.25">
      <c r="L250" s="86" t="s">
        <v>454</v>
      </c>
      <c r="M250" s="86" t="s">
        <v>455</v>
      </c>
    </row>
    <row r="251" spans="12:13" x14ac:dyDescent="0.25">
      <c r="L251" s="86" t="s">
        <v>456</v>
      </c>
      <c r="M251" s="86" t="s">
        <v>457</v>
      </c>
    </row>
    <row r="252" spans="12:13" x14ac:dyDescent="0.25">
      <c r="L252" s="86" t="s">
        <v>458</v>
      </c>
      <c r="M252" s="86" t="s">
        <v>459</v>
      </c>
    </row>
    <row r="253" spans="12:13" x14ac:dyDescent="0.25">
      <c r="L253" s="86" t="s">
        <v>460</v>
      </c>
      <c r="M253" s="86" t="s">
        <v>461</v>
      </c>
    </row>
    <row r="254" spans="12:13" x14ac:dyDescent="0.25">
      <c r="L254" s="86" t="s">
        <v>462</v>
      </c>
      <c r="M254" s="86" t="s">
        <v>463</v>
      </c>
    </row>
    <row r="255" spans="12:13" x14ac:dyDescent="0.25">
      <c r="L255" s="86" t="s">
        <v>464</v>
      </c>
      <c r="M255" s="86" t="s">
        <v>465</v>
      </c>
    </row>
    <row r="256" spans="12:13" x14ac:dyDescent="0.25">
      <c r="L256" s="86" t="s">
        <v>466</v>
      </c>
      <c r="M256" s="86" t="s">
        <v>467</v>
      </c>
    </row>
    <row r="257" spans="12:13" x14ac:dyDescent="0.25">
      <c r="L257" s="86" t="s">
        <v>468</v>
      </c>
      <c r="M257" s="86" t="s">
        <v>469</v>
      </c>
    </row>
    <row r="258" spans="12:13" x14ac:dyDescent="0.25">
      <c r="L258" s="86" t="s">
        <v>470</v>
      </c>
      <c r="M258" s="86" t="s">
        <v>471</v>
      </c>
    </row>
    <row r="259" spans="12:13" x14ac:dyDescent="0.25">
      <c r="L259" s="86" t="s">
        <v>472</v>
      </c>
      <c r="M259" s="86" t="s">
        <v>473</v>
      </c>
    </row>
    <row r="260" spans="12:13" x14ac:dyDescent="0.25">
      <c r="L260" s="86" t="s">
        <v>474</v>
      </c>
      <c r="M260" s="86" t="s">
        <v>475</v>
      </c>
    </row>
    <row r="261" spans="12:13" x14ac:dyDescent="0.25">
      <c r="L261" s="86" t="s">
        <v>476</v>
      </c>
      <c r="M261" s="86" t="s">
        <v>477</v>
      </c>
    </row>
    <row r="262" spans="12:13" x14ac:dyDescent="0.25">
      <c r="L262" s="86" t="s">
        <v>478</v>
      </c>
      <c r="M262" s="86" t="s">
        <v>479</v>
      </c>
    </row>
    <row r="263" spans="12:13" x14ac:dyDescent="0.25">
      <c r="L263" s="86" t="s">
        <v>480</v>
      </c>
      <c r="M263" s="86" t="s">
        <v>481</v>
      </c>
    </row>
    <row r="264" spans="12:13" x14ac:dyDescent="0.25">
      <c r="L264" s="86" t="s">
        <v>482</v>
      </c>
      <c r="M264" s="86" t="s">
        <v>483</v>
      </c>
    </row>
    <row r="265" spans="12:13" x14ac:dyDescent="0.25">
      <c r="L265" s="86" t="s">
        <v>484</v>
      </c>
      <c r="M265" s="86" t="s">
        <v>485</v>
      </c>
    </row>
    <row r="266" spans="12:13" x14ac:dyDescent="0.25">
      <c r="L266" s="86" t="s">
        <v>486</v>
      </c>
      <c r="M266" s="86" t="s">
        <v>487</v>
      </c>
    </row>
    <row r="267" spans="12:13" x14ac:dyDescent="0.25">
      <c r="L267" s="86" t="s">
        <v>488</v>
      </c>
      <c r="M267" s="86" t="s">
        <v>489</v>
      </c>
    </row>
    <row r="268" spans="12:13" x14ac:dyDescent="0.25">
      <c r="L268" s="86" t="s">
        <v>490</v>
      </c>
      <c r="M268" s="86" t="s">
        <v>491</v>
      </c>
    </row>
    <row r="269" spans="12:13" x14ac:dyDescent="0.25">
      <c r="L269" s="86" t="s">
        <v>492</v>
      </c>
      <c r="M269" s="86" t="s">
        <v>493</v>
      </c>
    </row>
    <row r="271" spans="12:13" x14ac:dyDescent="0.25">
      <c r="L271" s="87" t="s">
        <v>496</v>
      </c>
    </row>
    <row r="272" spans="12:13" x14ac:dyDescent="0.25">
      <c r="L272" s="86" t="s">
        <v>497</v>
      </c>
    </row>
    <row r="273" spans="12:12" x14ac:dyDescent="0.25">
      <c r="L273" s="86" t="s">
        <v>498</v>
      </c>
    </row>
    <row r="274" spans="12:12" x14ac:dyDescent="0.25">
      <c r="L274" s="86" t="s">
        <v>499</v>
      </c>
    </row>
    <row r="275" spans="12:12" x14ac:dyDescent="0.25">
      <c r="L275" s="86" t="s">
        <v>500</v>
      </c>
    </row>
    <row r="276" spans="12:12" x14ac:dyDescent="0.25">
      <c r="L276" s="86" t="s">
        <v>501</v>
      </c>
    </row>
    <row r="277" spans="12:12" x14ac:dyDescent="0.25">
      <c r="L277" s="86" t="s">
        <v>502</v>
      </c>
    </row>
    <row r="278" spans="12:12" x14ac:dyDescent="0.25">
      <c r="L278" s="86" t="s">
        <v>503</v>
      </c>
    </row>
    <row r="279" spans="12:12" x14ac:dyDescent="0.25">
      <c r="L279" s="86" t="s">
        <v>504</v>
      </c>
    </row>
    <row r="280" spans="12:12" x14ac:dyDescent="0.25">
      <c r="L280" s="86" t="s">
        <v>505</v>
      </c>
    </row>
    <row r="281" spans="12:12" x14ac:dyDescent="0.25">
      <c r="L281" s="86" t="s">
        <v>506</v>
      </c>
    </row>
    <row r="282" spans="12:12" x14ac:dyDescent="0.25">
      <c r="L282" s="86" t="s">
        <v>507</v>
      </c>
    </row>
    <row r="283" spans="12:12" x14ac:dyDescent="0.25">
      <c r="L283" s="86" t="s">
        <v>508</v>
      </c>
    </row>
    <row r="284" spans="12:12" x14ac:dyDescent="0.25">
      <c r="L284" s="86" t="s">
        <v>509</v>
      </c>
    </row>
    <row r="285" spans="12:12" x14ac:dyDescent="0.25">
      <c r="L285" s="86" t="s">
        <v>510</v>
      </c>
    </row>
    <row r="286" spans="12:12" x14ac:dyDescent="0.25">
      <c r="L286" s="86" t="s">
        <v>511</v>
      </c>
    </row>
    <row r="287" spans="12:12" x14ac:dyDescent="0.25">
      <c r="L287" s="86" t="s">
        <v>512</v>
      </c>
    </row>
    <row r="288" spans="12:12" x14ac:dyDescent="0.25">
      <c r="L288" s="86" t="s">
        <v>513</v>
      </c>
    </row>
    <row r="289" spans="12:12" x14ac:dyDescent="0.25">
      <c r="L289" s="86" t="s">
        <v>514</v>
      </c>
    </row>
    <row r="290" spans="12:12" x14ac:dyDescent="0.25">
      <c r="L290" s="86" t="s">
        <v>515</v>
      </c>
    </row>
    <row r="291" spans="12:12" x14ac:dyDescent="0.25">
      <c r="L291" s="86" t="s">
        <v>516</v>
      </c>
    </row>
    <row r="292" spans="12:12" x14ac:dyDescent="0.25">
      <c r="L292" s="86" t="s">
        <v>517</v>
      </c>
    </row>
    <row r="293" spans="12:12" x14ac:dyDescent="0.25">
      <c r="L293" s="86" t="s">
        <v>518</v>
      </c>
    </row>
    <row r="294" spans="12:12" x14ac:dyDescent="0.25">
      <c r="L294" s="86" t="s">
        <v>519</v>
      </c>
    </row>
    <row r="295" spans="12:12" x14ac:dyDescent="0.25">
      <c r="L295" s="86" t="s">
        <v>520</v>
      </c>
    </row>
    <row r="296" spans="12:12" x14ac:dyDescent="0.25">
      <c r="L296" s="86" t="s">
        <v>521</v>
      </c>
    </row>
    <row r="297" spans="12:12" x14ac:dyDescent="0.25">
      <c r="L297" s="86" t="s">
        <v>522</v>
      </c>
    </row>
    <row r="298" spans="12:12" x14ac:dyDescent="0.25">
      <c r="L298" s="86" t="s">
        <v>523</v>
      </c>
    </row>
    <row r="300" spans="12:12" x14ac:dyDescent="0.25">
      <c r="L300" s="87" t="s">
        <v>524</v>
      </c>
    </row>
    <row r="301" spans="12:12" x14ac:dyDescent="0.25">
      <c r="L301" s="86" t="s">
        <v>525</v>
      </c>
    </row>
    <row r="302" spans="12:12" x14ac:dyDescent="0.25">
      <c r="L302" s="86" t="s">
        <v>526</v>
      </c>
    </row>
    <row r="303" spans="12:12" x14ac:dyDescent="0.25">
      <c r="L303" s="86" t="s">
        <v>527</v>
      </c>
    </row>
    <row r="304" spans="12:12" x14ac:dyDescent="0.25">
      <c r="L304" s="86" t="s">
        <v>528</v>
      </c>
    </row>
    <row r="305" spans="12:12" x14ac:dyDescent="0.25">
      <c r="L305" s="86" t="s">
        <v>529</v>
      </c>
    </row>
    <row r="306" spans="12:12" x14ac:dyDescent="0.25">
      <c r="L306" s="86" t="s">
        <v>530</v>
      </c>
    </row>
    <row r="307" spans="12:12" x14ac:dyDescent="0.25">
      <c r="L307" s="86" t="s">
        <v>531</v>
      </c>
    </row>
    <row r="308" spans="12:12" x14ac:dyDescent="0.25">
      <c r="L308" s="86" t="s">
        <v>532</v>
      </c>
    </row>
    <row r="309" spans="12:12" x14ac:dyDescent="0.25">
      <c r="L309" s="86" t="s">
        <v>533</v>
      </c>
    </row>
    <row r="310" spans="12:12" x14ac:dyDescent="0.25">
      <c r="L310" s="86" t="s">
        <v>534</v>
      </c>
    </row>
    <row r="311" spans="12:12" x14ac:dyDescent="0.25">
      <c r="L311" s="86" t="s">
        <v>535</v>
      </c>
    </row>
    <row r="312" spans="12:12" x14ac:dyDescent="0.25">
      <c r="L312" s="86" t="s">
        <v>536</v>
      </c>
    </row>
    <row r="313" spans="12:12" x14ac:dyDescent="0.25">
      <c r="L313" s="86" t="s">
        <v>537</v>
      </c>
    </row>
    <row r="314" spans="12:12" x14ac:dyDescent="0.25">
      <c r="L314" s="86" t="s">
        <v>538</v>
      </c>
    </row>
    <row r="315" spans="12:12" x14ac:dyDescent="0.25">
      <c r="L315" s="86" t="s">
        <v>539</v>
      </c>
    </row>
    <row r="316" spans="12:12" x14ac:dyDescent="0.25">
      <c r="L316" s="86" t="s">
        <v>540</v>
      </c>
    </row>
    <row r="317" spans="12:12" x14ac:dyDescent="0.25">
      <c r="L317" s="86" t="s">
        <v>541</v>
      </c>
    </row>
    <row r="318" spans="12:12" x14ac:dyDescent="0.25">
      <c r="L318" s="86" t="s">
        <v>542</v>
      </c>
    </row>
    <row r="319" spans="12:12" x14ac:dyDescent="0.25">
      <c r="L319" s="86" t="s">
        <v>543</v>
      </c>
    </row>
  </sheetData>
  <mergeCells count="3">
    <mergeCell ref="C26:F26"/>
    <mergeCell ref="C3:F3"/>
    <mergeCell ref="C15:D15"/>
  </mergeCells>
  <dataValidations count="8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allowBlank="1" showInputMessage="1" showErrorMessage="1" error="Year must be four digit." sqref="F15" xr:uid="{00000000-0002-0000-0000-000002000000}"/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date" operator="lessThanOrEqual" allowBlank="1" showInputMessage="1" showErrorMessage="1" errorTitle="Invalid Date" error="Please enter a valid date" sqref="E16" xr:uid="{48D7BC0A-A343-4A59-A7BB-7A49B6415B99}">
      <formula1>T16</formula1>
    </dataValidation>
    <dataValidation type="date" operator="lessThanOrEqual" allowBlank="1" showInputMessage="1" showErrorMessage="1" errorTitle="Invalid Date" error="Please enter a valid date" sqref="E17" xr:uid="{2734617D-626A-4523-B8EE-6A26CDE5FAA5}">
      <formula1>T16</formula1>
    </dataValidation>
    <dataValidation type="date" operator="lessThanOrEqual" allowBlank="1" showInputMessage="1" showErrorMessage="1" errorTitle="Invalid Date" error="Please enter a valid date" sqref="E18" xr:uid="{620F32E3-E624-4803-BEFB-EE5CD5428D2F}">
      <formula1>T16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9" x14ac:dyDescent="0.25">
      <c r="A1" s="4" t="s">
        <v>601</v>
      </c>
      <c r="B1" s="4" t="str">
        <f ca="1">MID(CELL("filename",A1),FIND("]",CELL("filename",A1))+1,256)</f>
        <v>base_w</v>
      </c>
      <c r="C1" s="1"/>
      <c r="D1" s="181" t="str">
        <f ca="1">B1</f>
        <v>base_w</v>
      </c>
      <c r="E1" s="1"/>
    </row>
    <row r="2" spans="1:9" x14ac:dyDescent="0.25">
      <c r="A2" s="4" t="s">
        <v>601</v>
      </c>
      <c r="B2" s="173" t="s">
        <v>568</v>
      </c>
      <c r="C2" s="178"/>
      <c r="D2" s="174"/>
      <c r="E2" s="1"/>
    </row>
    <row r="3" spans="1:9" x14ac:dyDescent="0.25">
      <c r="A3" s="4" t="s">
        <v>601</v>
      </c>
      <c r="B3" s="172" t="s">
        <v>697</v>
      </c>
      <c r="C3" s="9"/>
      <c r="D3" s="174" t="s">
        <v>692</v>
      </c>
      <c r="E3" s="1"/>
    </row>
    <row r="4" spans="1:9" x14ac:dyDescent="0.25">
      <c r="A4" s="4" t="s">
        <v>601</v>
      </c>
      <c r="B4" s="172" t="s">
        <v>569</v>
      </c>
      <c r="C4" s="9"/>
      <c r="D4" s="174" t="s">
        <v>528</v>
      </c>
      <c r="E4" s="1"/>
    </row>
    <row r="5" spans="1:9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9" ht="24.75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9" x14ac:dyDescent="0.25">
      <c r="A7" s="4"/>
      <c r="B7" s="38"/>
      <c r="C7" s="38"/>
      <c r="D7" s="24"/>
      <c r="E7" s="1"/>
    </row>
    <row r="8" spans="1:9" x14ac:dyDescent="0.25">
      <c r="A8" s="4"/>
      <c r="B8" s="26"/>
      <c r="C8" s="26"/>
      <c r="D8" s="29"/>
      <c r="E8" s="1"/>
    </row>
    <row r="9" spans="1:9" ht="6" customHeight="1" x14ac:dyDescent="0.25">
      <c r="A9" s="4"/>
      <c r="B9" s="26"/>
      <c r="C9" s="26"/>
      <c r="D9" s="29"/>
      <c r="E9" s="1"/>
      <c r="I9" t="s">
        <v>692</v>
      </c>
    </row>
    <row r="10" spans="1:9" ht="25.5" customHeight="1" x14ac:dyDescent="0.25">
      <c r="A10" s="4" t="s">
        <v>549</v>
      </c>
      <c r="B10" s="27"/>
      <c r="C10" s="27"/>
      <c r="D10" s="27"/>
      <c r="E10" s="1"/>
      <c r="I10" t="s">
        <v>693</v>
      </c>
    </row>
    <row r="11" spans="1:9" x14ac:dyDescent="0.25">
      <c r="I11" t="s">
        <v>694</v>
      </c>
    </row>
    <row r="15" spans="1:9" x14ac:dyDescent="0.25">
      <c r="H15" t="s">
        <v>528</v>
      </c>
    </row>
    <row r="16" spans="1:9" x14ac:dyDescent="0.25">
      <c r="H16" t="s">
        <v>531</v>
      </c>
    </row>
    <row r="17" spans="8:8" x14ac:dyDescent="0.25">
      <c r="H17" t="s">
        <v>550</v>
      </c>
    </row>
    <row r="18" spans="8:8" x14ac:dyDescent="0.25">
      <c r="H18" t="s">
        <v>551</v>
      </c>
    </row>
    <row r="19" spans="8:8" x14ac:dyDescent="0.25">
      <c r="H19" t="s">
        <v>525</v>
      </c>
    </row>
    <row r="20" spans="8:8" x14ac:dyDescent="0.25">
      <c r="H20" t="s">
        <v>530</v>
      </c>
    </row>
    <row r="21" spans="8:8" x14ac:dyDescent="0.25">
      <c r="H21" t="s">
        <v>545</v>
      </c>
    </row>
    <row r="22" spans="8:8" x14ac:dyDescent="0.25">
      <c r="H22" t="s">
        <v>564</v>
      </c>
    </row>
    <row r="23" spans="8:8" x14ac:dyDescent="0.25">
      <c r="H23" t="s">
        <v>527</v>
      </c>
    </row>
    <row r="24" spans="8:8" x14ac:dyDescent="0.25">
      <c r="H24" s="2" t="s">
        <v>546</v>
      </c>
    </row>
    <row r="25" spans="8:8" x14ac:dyDescent="0.25">
      <c r="H25" s="2" t="s">
        <v>565</v>
      </c>
    </row>
    <row r="26" spans="8:8" x14ac:dyDescent="0.25">
      <c r="H26" s="2" t="s">
        <v>566</v>
      </c>
    </row>
    <row r="27" spans="8:8" x14ac:dyDescent="0.25">
      <c r="H27" t="s">
        <v>695</v>
      </c>
    </row>
    <row r="28" spans="8:8" x14ac:dyDescent="0.25">
      <c r="H28" t="s">
        <v>696</v>
      </c>
    </row>
    <row r="29" spans="8:8" x14ac:dyDescent="0.25">
      <c r="H29" t="s">
        <v>690</v>
      </c>
    </row>
    <row r="30" spans="8:8" x14ac:dyDescent="0.25">
      <c r="H30"/>
    </row>
    <row r="31" spans="8:8" x14ac:dyDescent="0.25">
      <c r="H31"/>
    </row>
    <row r="32" spans="8:8" x14ac:dyDescent="0.25">
      <c r="H32"/>
    </row>
    <row r="33" spans="8:8" x14ac:dyDescent="0.25">
      <c r="H33"/>
    </row>
    <row r="34" spans="8:8" x14ac:dyDescent="0.25">
      <c r="H34"/>
    </row>
    <row r="35" spans="8:8" x14ac:dyDescent="0.25">
      <c r="H35"/>
    </row>
    <row r="36" spans="8:8" x14ac:dyDescent="0.25">
      <c r="H36"/>
    </row>
    <row r="37" spans="8:8" x14ac:dyDescent="0.25">
      <c r="H37"/>
    </row>
    <row r="38" spans="8:8" x14ac:dyDescent="0.25">
      <c r="H38"/>
    </row>
    <row r="39" spans="8:8" x14ac:dyDescent="0.25">
      <c r="H39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10" ht="15" customHeight="1" x14ac:dyDescent="0.25">
      <c r="A1" s="4" t="s">
        <v>601</v>
      </c>
      <c r="B1" s="4" t="str">
        <f ca="1">MID(CELL("filename",A1),FIND("]",CELL("filename",A1))+1,256)</f>
        <v>base_e</v>
      </c>
      <c r="C1" s="1"/>
      <c r="D1" s="4" t="str">
        <f ca="1">B1</f>
        <v>base_e</v>
      </c>
      <c r="E1" s="1"/>
    </row>
    <row r="2" spans="1:10" x14ac:dyDescent="0.25">
      <c r="A2" s="4" t="s">
        <v>601</v>
      </c>
      <c r="B2" s="173" t="s">
        <v>568</v>
      </c>
      <c r="C2" s="178"/>
      <c r="D2" s="174"/>
      <c r="E2" s="1"/>
    </row>
    <row r="3" spans="1:10" x14ac:dyDescent="0.25">
      <c r="A3" s="4" t="s">
        <v>601</v>
      </c>
      <c r="B3" s="172" t="s">
        <v>697</v>
      </c>
      <c r="C3" s="9"/>
      <c r="D3" s="174" t="s">
        <v>691</v>
      </c>
      <c r="E3" s="1"/>
    </row>
    <row r="4" spans="1:10" x14ac:dyDescent="0.25">
      <c r="A4" s="4" t="s">
        <v>601</v>
      </c>
      <c r="B4" s="172" t="s">
        <v>569</v>
      </c>
      <c r="C4" s="9"/>
      <c r="D4" s="174" t="s">
        <v>533</v>
      </c>
      <c r="E4" s="1"/>
    </row>
    <row r="5" spans="1:10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10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10" x14ac:dyDescent="0.25">
      <c r="A7" s="5"/>
      <c r="B7" s="38"/>
      <c r="C7" s="38"/>
      <c r="D7" s="25"/>
      <c r="E7" s="1"/>
    </row>
    <row r="8" spans="1:10" ht="12.75" customHeight="1" x14ac:dyDescent="0.25">
      <c r="A8" s="4"/>
      <c r="B8" s="26"/>
      <c r="C8" s="26"/>
      <c r="D8" s="29"/>
      <c r="E8" s="1"/>
      <c r="J8" s="2" t="s">
        <v>552</v>
      </c>
    </row>
    <row r="9" spans="1:10" ht="13.5" hidden="1" customHeight="1" x14ac:dyDescent="0.25">
      <c r="A9" s="4"/>
      <c r="B9" s="27"/>
      <c r="C9" s="27"/>
      <c r="D9" s="27"/>
      <c r="E9" s="1"/>
      <c r="J9" t="s">
        <v>691</v>
      </c>
    </row>
    <row r="10" spans="1:10" ht="25.5" customHeight="1" x14ac:dyDescent="0.25">
      <c r="A10" s="4" t="s">
        <v>549</v>
      </c>
      <c r="B10" s="27"/>
      <c r="C10" s="27"/>
      <c r="D10" s="27"/>
      <c r="E10" s="1"/>
      <c r="J10" s="2" t="s">
        <v>699</v>
      </c>
    </row>
    <row r="15" spans="1:10" x14ac:dyDescent="0.25">
      <c r="G15" s="2" t="s">
        <v>533</v>
      </c>
    </row>
    <row r="16" spans="1:10" x14ac:dyDescent="0.25">
      <c r="G16" s="2" t="s">
        <v>540</v>
      </c>
    </row>
    <row r="17" spans="7:7" x14ac:dyDescent="0.25">
      <c r="G17" s="2" t="s">
        <v>555</v>
      </c>
    </row>
    <row r="18" spans="7:7" x14ac:dyDescent="0.25">
      <c r="G18" s="2" t="s">
        <v>529</v>
      </c>
    </row>
    <row r="19" spans="7:7" x14ac:dyDescent="0.25">
      <c r="G19" s="2" t="s">
        <v>553</v>
      </c>
    </row>
    <row r="21" spans="7:7" x14ac:dyDescent="0.25">
      <c r="G21" s="2" t="s">
        <v>552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base_f</v>
      </c>
      <c r="C1" s="1"/>
      <c r="D1" s="4" t="str">
        <f ca="1">B1</f>
        <v>base_f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74"/>
      <c r="E2" s="1"/>
    </row>
    <row r="3" spans="1:24" ht="29.25" customHeight="1" x14ac:dyDescent="0.25">
      <c r="A3" s="4" t="s">
        <v>601</v>
      </c>
      <c r="B3" s="172" t="s">
        <v>570</v>
      </c>
      <c r="C3" s="179"/>
      <c r="D3" s="175" t="s">
        <v>516</v>
      </c>
      <c r="E3" s="1"/>
    </row>
    <row r="4" spans="1:24" ht="15.75" customHeight="1" x14ac:dyDescent="0.25">
      <c r="A4" s="4" t="s">
        <v>601</v>
      </c>
      <c r="B4" s="172" t="s">
        <v>569</v>
      </c>
      <c r="C4" s="9"/>
      <c r="D4" s="176" t="s">
        <v>533</v>
      </c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>CONCATENATE("Period Consumption 
","(",D4,")")</f>
        <v>Period Consumption 
(kWh)</v>
      </c>
      <c r="E6" s="1"/>
    </row>
    <row r="7" spans="1:24" x14ac:dyDescent="0.25">
      <c r="A7" s="4"/>
      <c r="B7" s="38"/>
      <c r="C7" s="38"/>
      <c r="D7" s="25"/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5"/>
  <sheetViews>
    <sheetView showGridLines="0" zoomScale="90" zoomScaleNormal="90" workbookViewId="0">
      <selection activeCell="G28" sqref="G28"/>
    </sheetView>
  </sheetViews>
  <sheetFormatPr defaultColWidth="9.140625" defaultRowHeight="12.75" x14ac:dyDescent="0.2"/>
  <cols>
    <col min="1" max="1" width="2.7109375" style="166" customWidth="1"/>
    <col min="2" max="2" width="38.5703125" style="111" customWidth="1"/>
    <col min="3" max="3" width="45.7109375" style="111" customWidth="1"/>
    <col min="4" max="4" width="15.7109375" style="111" customWidth="1"/>
    <col min="5" max="5" width="14.7109375" style="111" customWidth="1"/>
    <col min="6" max="6" width="19.85546875" style="111" customWidth="1"/>
    <col min="7" max="9" width="14.7109375" style="111" customWidth="1"/>
    <col min="10" max="11" width="9.140625" style="111" hidden="1" customWidth="1"/>
    <col min="12" max="12" width="9.140625" style="111" customWidth="1"/>
    <col min="13" max="13" width="16.7109375" style="111" customWidth="1"/>
    <col min="14" max="16384" width="9.140625" style="111"/>
  </cols>
  <sheetData>
    <row r="1" spans="1:12" s="108" customFormat="1" ht="15" customHeight="1" x14ac:dyDescent="0.2">
      <c r="A1" s="165"/>
      <c r="B1" s="107"/>
      <c r="C1" s="107"/>
      <c r="D1" s="107"/>
      <c r="E1" s="107"/>
      <c r="F1" s="107"/>
      <c r="G1" s="107"/>
      <c r="H1" s="107"/>
      <c r="I1" s="107"/>
    </row>
    <row r="2" spans="1:12" s="108" customFormat="1" ht="20.25" customHeight="1" x14ac:dyDescent="0.2">
      <c r="A2" s="165"/>
      <c r="B2" s="109" t="s">
        <v>621</v>
      </c>
      <c r="C2" s="110"/>
      <c r="D2" s="110"/>
      <c r="E2" s="110"/>
      <c r="F2" s="110"/>
      <c r="G2" s="110"/>
      <c r="H2" s="110"/>
      <c r="I2" s="110"/>
    </row>
    <row r="3" spans="1:12" s="108" customFormat="1" ht="14.25" customHeight="1" x14ac:dyDescent="0.2">
      <c r="A3" s="165"/>
      <c r="B3" s="107"/>
      <c r="C3" s="107"/>
      <c r="D3" s="107"/>
      <c r="E3" s="107"/>
      <c r="F3" s="107"/>
      <c r="G3" s="107"/>
      <c r="H3" s="107"/>
      <c r="I3" s="107"/>
    </row>
    <row r="4" spans="1:12" ht="46.15" customHeight="1" x14ac:dyDescent="0.2">
      <c r="B4" s="205" t="s">
        <v>604</v>
      </c>
      <c r="C4" s="205"/>
      <c r="D4" s="205"/>
      <c r="E4" s="205"/>
      <c r="F4" s="205"/>
      <c r="G4" s="205"/>
      <c r="H4" s="205"/>
      <c r="I4" s="205"/>
    </row>
    <row r="5" spans="1:12" ht="17.45" customHeight="1" x14ac:dyDescent="0.2">
      <c r="A5" s="167"/>
      <c r="B5" s="112"/>
      <c r="C5" s="113"/>
      <c r="D5" s="113"/>
      <c r="E5" s="113"/>
      <c r="F5" s="114"/>
      <c r="G5" s="115" t="s">
        <v>605</v>
      </c>
      <c r="H5" s="116"/>
      <c r="I5" s="117"/>
      <c r="J5" s="118"/>
      <c r="K5" s="118"/>
    </row>
    <row r="6" spans="1:12" ht="44.45" customHeight="1" x14ac:dyDescent="0.2">
      <c r="A6" s="168">
        <v>19</v>
      </c>
      <c r="B6" s="119" t="s">
        <v>606</v>
      </c>
      <c r="C6" s="120" t="s">
        <v>607</v>
      </c>
      <c r="D6" s="120" t="str">
        <f>CONCATENATE("Gross 
Floor Area
",IF(Setup!$F$9="SI Units","(sq m)","(sq ft)"))</f>
        <v>Gross 
Floor Area
(sq ft)</v>
      </c>
      <c r="E6" s="120" t="s">
        <v>608</v>
      </c>
      <c r="F6" s="120" t="s">
        <v>609</v>
      </c>
      <c r="G6" s="121" t="s">
        <v>610</v>
      </c>
      <c r="H6" s="122" t="s">
        <v>611</v>
      </c>
      <c r="I6" s="123" t="s">
        <v>612</v>
      </c>
      <c r="J6" s="124" t="s">
        <v>613</v>
      </c>
      <c r="K6" s="163" t="s">
        <v>614</v>
      </c>
      <c r="L6" s="164"/>
    </row>
    <row r="7" spans="1:12" ht="15" customHeight="1" x14ac:dyDescent="0.2">
      <c r="A7" s="125"/>
      <c r="B7" s="126" t="s">
        <v>728</v>
      </c>
      <c r="C7" s="130" t="s">
        <v>635</v>
      </c>
      <c r="D7" s="128">
        <v>111</v>
      </c>
      <c r="E7" s="127">
        <v>10</v>
      </c>
      <c r="F7" s="127">
        <v>1</v>
      </c>
      <c r="G7" s="127">
        <v>2</v>
      </c>
      <c r="H7" s="131">
        <v>2</v>
      </c>
      <c r="I7" s="129">
        <v>3</v>
      </c>
      <c r="J7" s="111">
        <f t="shared" ref="J7" si="0">E7*D7</f>
        <v>1110</v>
      </c>
      <c r="K7" s="111">
        <f t="shared" ref="K7" si="1">E7/7</f>
        <v>1.4285714285714286</v>
      </c>
    </row>
    <row r="8" spans="1:12" ht="15" customHeight="1" x14ac:dyDescent="0.2">
      <c r="A8" s="125"/>
      <c r="B8" s="126" t="s">
        <v>729</v>
      </c>
      <c r="C8" s="130" t="s">
        <v>636</v>
      </c>
      <c r="D8" s="128">
        <v>20</v>
      </c>
      <c r="E8" s="127">
        <v>10</v>
      </c>
      <c r="F8" s="127">
        <v>1</v>
      </c>
      <c r="G8" s="127">
        <v>1</v>
      </c>
      <c r="H8" s="131">
        <v>11</v>
      </c>
      <c r="I8" s="129">
        <v>8</v>
      </c>
      <c r="J8" s="111">
        <f t="shared" ref="J8:J16" si="2">E8*D8</f>
        <v>200</v>
      </c>
      <c r="K8" s="111">
        <f t="shared" ref="K8:K16" si="3">E8/7</f>
        <v>1.4285714285714286</v>
      </c>
    </row>
    <row r="9" spans="1:12" ht="15" customHeight="1" x14ac:dyDescent="0.2">
      <c r="A9" s="125"/>
      <c r="B9" s="126" t="s">
        <v>730</v>
      </c>
      <c r="C9" s="130" t="s">
        <v>638</v>
      </c>
      <c r="D9" s="128">
        <v>20</v>
      </c>
      <c r="E9" s="127">
        <v>20</v>
      </c>
      <c r="F9" s="127">
        <v>23</v>
      </c>
      <c r="G9" s="127">
        <v>22</v>
      </c>
      <c r="H9" s="131">
        <v>3</v>
      </c>
      <c r="I9" s="129">
        <v>23</v>
      </c>
      <c r="J9" s="111">
        <f t="shared" si="2"/>
        <v>400</v>
      </c>
      <c r="K9" s="111">
        <f t="shared" si="3"/>
        <v>2.8571428571428572</v>
      </c>
    </row>
    <row r="10" spans="1:12" ht="15" customHeight="1" x14ac:dyDescent="0.2">
      <c r="A10" s="125"/>
      <c r="B10" s="126" t="s">
        <v>731</v>
      </c>
      <c r="C10" s="130" t="s">
        <v>640</v>
      </c>
      <c r="D10" s="128">
        <v>22</v>
      </c>
      <c r="E10" s="127">
        <v>33</v>
      </c>
      <c r="F10" s="127">
        <v>33</v>
      </c>
      <c r="G10" s="127">
        <v>33</v>
      </c>
      <c r="H10" s="131">
        <v>3</v>
      </c>
      <c r="I10" s="129">
        <v>21</v>
      </c>
      <c r="J10" s="111">
        <f t="shared" si="2"/>
        <v>726</v>
      </c>
      <c r="K10" s="111">
        <f t="shared" si="3"/>
        <v>4.7142857142857144</v>
      </c>
    </row>
    <row r="11" spans="1:12" ht="15" customHeight="1" x14ac:dyDescent="0.2">
      <c r="A11" s="125"/>
      <c r="B11" s="126" t="s">
        <v>732</v>
      </c>
      <c r="C11" s="130" t="s">
        <v>663</v>
      </c>
      <c r="D11" s="128">
        <v>1111</v>
      </c>
      <c r="E11" s="127">
        <v>1</v>
      </c>
      <c r="F11" s="127">
        <v>1</v>
      </c>
      <c r="G11" s="127">
        <v>1</v>
      </c>
      <c r="H11" s="131">
        <v>1</v>
      </c>
      <c r="I11" s="129">
        <v>7</v>
      </c>
      <c r="J11" s="111">
        <f t="shared" si="2"/>
        <v>1111</v>
      </c>
      <c r="K11" s="111">
        <f t="shared" si="3"/>
        <v>0.14285714285714285</v>
      </c>
    </row>
    <row r="12" spans="1:12" ht="15" customHeight="1" x14ac:dyDescent="0.2">
      <c r="A12" s="125"/>
      <c r="B12" s="126"/>
      <c r="C12" s="130"/>
      <c r="D12" s="128"/>
      <c r="E12" s="127">
        <v>10</v>
      </c>
      <c r="F12" s="127"/>
      <c r="G12" s="127"/>
      <c r="H12" s="131"/>
      <c r="I12" s="129">
        <v>0</v>
      </c>
      <c r="J12" s="111">
        <f t="shared" si="2"/>
        <v>0</v>
      </c>
      <c r="K12" s="111">
        <f t="shared" si="3"/>
        <v>1.4285714285714286</v>
      </c>
    </row>
    <row r="13" spans="1:12" ht="15" customHeight="1" x14ac:dyDescent="0.2">
      <c r="A13" s="125"/>
      <c r="B13" s="126"/>
      <c r="C13" s="130"/>
      <c r="D13" s="128"/>
      <c r="E13" s="127"/>
      <c r="F13" s="127"/>
      <c r="G13" s="127"/>
      <c r="H13" s="131"/>
      <c r="I13" s="129" t="str">
        <f t="shared" ref="I13:I16" si="4">IFERROR((G13/K13)*H13," ")</f>
        <v xml:space="preserve"> </v>
      </c>
      <c r="J13" s="111">
        <f t="shared" si="2"/>
        <v>0</v>
      </c>
      <c r="K13" s="111">
        <f t="shared" si="3"/>
        <v>0</v>
      </c>
    </row>
    <row r="14" spans="1:12" ht="15" customHeight="1" x14ac:dyDescent="0.2">
      <c r="A14" s="125"/>
      <c r="B14" s="126"/>
      <c r="C14" s="130"/>
      <c r="D14" s="128"/>
      <c r="E14" s="127"/>
      <c r="F14" s="127"/>
      <c r="G14" s="127"/>
      <c r="H14" s="131"/>
      <c r="I14" s="129" t="str">
        <f t="shared" si="4"/>
        <v xml:space="preserve"> </v>
      </c>
      <c r="J14" s="111">
        <f t="shared" si="2"/>
        <v>0</v>
      </c>
      <c r="K14" s="111">
        <f t="shared" si="3"/>
        <v>0</v>
      </c>
    </row>
    <row r="15" spans="1:12" ht="15" customHeight="1" x14ac:dyDescent="0.2">
      <c r="A15" s="125"/>
      <c r="B15" s="126"/>
      <c r="C15" s="130"/>
      <c r="D15" s="128"/>
      <c r="E15" s="127"/>
      <c r="F15" s="127"/>
      <c r="G15" s="127"/>
      <c r="H15" s="131"/>
      <c r="I15" s="129" t="str">
        <f t="shared" si="4"/>
        <v xml:space="preserve"> </v>
      </c>
      <c r="J15" s="111">
        <f t="shared" si="2"/>
        <v>0</v>
      </c>
      <c r="K15" s="111">
        <f t="shared" si="3"/>
        <v>0</v>
      </c>
    </row>
    <row r="16" spans="1:12" ht="15" customHeight="1" x14ac:dyDescent="0.2">
      <c r="A16" s="125"/>
      <c r="B16" s="126"/>
      <c r="C16" s="130"/>
      <c r="D16" s="128"/>
      <c r="E16" s="127"/>
      <c r="F16" s="127"/>
      <c r="G16" s="127"/>
      <c r="H16" s="131"/>
      <c r="I16" s="129" t="str">
        <f t="shared" si="4"/>
        <v xml:space="preserve"> </v>
      </c>
      <c r="J16" s="111">
        <f t="shared" si="2"/>
        <v>0</v>
      </c>
      <c r="K16" s="111">
        <f t="shared" si="3"/>
        <v>0</v>
      </c>
    </row>
    <row r="17" spans="1:11" ht="15" customHeight="1" x14ac:dyDescent="0.2">
      <c r="A17" s="125"/>
      <c r="B17" s="126"/>
      <c r="C17" s="130"/>
      <c r="D17" s="128"/>
      <c r="E17" s="127"/>
      <c r="F17" s="127"/>
      <c r="G17" s="127"/>
      <c r="H17" s="131"/>
      <c r="I17" s="129" t="str">
        <f t="shared" ref="I17:I18" si="5">IFERROR((G17/K17)*H17," ")</f>
        <v xml:space="preserve"> </v>
      </c>
      <c r="J17" s="111">
        <f t="shared" ref="J17:J18" si="6">E17*D17</f>
        <v>0</v>
      </c>
      <c r="K17" s="111">
        <f t="shared" ref="K17:K18" si="7">E17/7</f>
        <v>0</v>
      </c>
    </row>
    <row r="18" spans="1:11" ht="15" customHeight="1" x14ac:dyDescent="0.2">
      <c r="A18" s="125"/>
      <c r="B18" s="126"/>
      <c r="C18" s="130"/>
      <c r="D18" s="128"/>
      <c r="E18" s="127"/>
      <c r="F18" s="127"/>
      <c r="G18" s="127"/>
      <c r="H18" s="131"/>
      <c r="I18" s="129" t="str">
        <f t="shared" si="5"/>
        <v xml:space="preserve"> </v>
      </c>
      <c r="J18" s="111">
        <f t="shared" si="6"/>
        <v>0</v>
      </c>
      <c r="K18" s="111">
        <f t="shared" si="7"/>
        <v>0</v>
      </c>
    </row>
    <row r="19" spans="1:11" ht="20.25" customHeight="1" x14ac:dyDescent="0.2">
      <c r="A19" s="125" t="s">
        <v>549</v>
      </c>
      <c r="B19" s="206" t="s">
        <v>615</v>
      </c>
      <c r="C19" s="207"/>
      <c r="D19" s="184">
        <f>IFERROR(SUM(D7:D18)," ")</f>
        <v>1284</v>
      </c>
      <c r="E19" s="132">
        <f>SUM(E7:E18)</f>
        <v>84</v>
      </c>
      <c r="F19" s="132">
        <f>SUM(F7:F18)+J22</f>
        <v>74.125</v>
      </c>
      <c r="G19" s="132">
        <f>SUM(G7:G18)</f>
        <v>59</v>
      </c>
      <c r="H19" s="132">
        <f>SUM(H7:H18)</f>
        <v>20</v>
      </c>
      <c r="I19" s="133">
        <f>SUM(I7:I18)</f>
        <v>62</v>
      </c>
    </row>
    <row r="20" spans="1:11" ht="33.75" customHeight="1" x14ac:dyDescent="0.2"/>
    <row r="22" spans="1:11" x14ac:dyDescent="0.2">
      <c r="A22" s="169"/>
      <c r="B22" s="208" t="str">
        <f>CONCATENATE("Gross 
Floor Area 
",IF(Setup!$F$9="SI Units","(sq m)","(sq ft)"))</f>
        <v>Gross 
Floor Area 
(sq ft)</v>
      </c>
      <c r="C22" s="209"/>
      <c r="D22" s="182">
        <f>IFERROR(D19," ")</f>
        <v>1284</v>
      </c>
      <c r="F22" s="134"/>
      <c r="G22" s="210" t="s">
        <v>616</v>
      </c>
      <c r="H22" s="211"/>
      <c r="J22" s="170">
        <f>(G24*H24)/8</f>
        <v>15.125</v>
      </c>
    </row>
    <row r="23" spans="1:11" ht="38.25" x14ac:dyDescent="0.2">
      <c r="A23" s="169"/>
      <c r="B23" s="203" t="s">
        <v>617</v>
      </c>
      <c r="C23" s="212"/>
      <c r="D23" s="183">
        <f>IFERROR(SUM(J7:J18)/D19," ")</f>
        <v>2.7624610591900312</v>
      </c>
      <c r="G23" s="135" t="s">
        <v>618</v>
      </c>
      <c r="H23" s="135" t="s">
        <v>619</v>
      </c>
    </row>
    <row r="24" spans="1:11" x14ac:dyDescent="0.2">
      <c r="A24" s="169"/>
      <c r="B24" s="203" t="s">
        <v>620</v>
      </c>
      <c r="C24" s="204"/>
      <c r="D24" s="136">
        <f>IFERROR((F19+I19)," ")</f>
        <v>136.125</v>
      </c>
      <c r="G24" s="137">
        <v>11</v>
      </c>
      <c r="H24" s="138">
        <v>11</v>
      </c>
    </row>
    <row r="25" spans="1:11" x14ac:dyDescent="0.2">
      <c r="C25" s="139"/>
      <c r="D25" s="139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6" x14ac:dyDescent="0.25">
      <c r="A1" s="4" t="s">
        <v>601</v>
      </c>
      <c r="B1" s="1"/>
      <c r="C1" s="1"/>
      <c r="D1" s="1"/>
      <c r="E1" s="1"/>
    </row>
    <row r="2" spans="1:6" x14ac:dyDescent="0.25">
      <c r="A2" s="4" t="s">
        <v>601</v>
      </c>
      <c r="B2" s="215" t="s">
        <v>568</v>
      </c>
      <c r="C2" s="216"/>
      <c r="D2" s="35" t="s">
        <v>603</v>
      </c>
      <c r="E2" s="1"/>
    </row>
    <row r="3" spans="1:6" x14ac:dyDescent="0.25">
      <c r="A3" s="4" t="s">
        <v>601</v>
      </c>
      <c r="B3" s="213" t="s">
        <v>697</v>
      </c>
      <c r="C3" s="214"/>
      <c r="D3" s="35" t="s">
        <v>561</v>
      </c>
      <c r="E3" s="1"/>
    </row>
    <row r="4" spans="1:6" ht="15" customHeight="1" x14ac:dyDescent="0.25">
      <c r="A4" s="4" t="s">
        <v>601</v>
      </c>
      <c r="B4" s="20" t="s">
        <v>569</v>
      </c>
      <c r="C4" s="22"/>
      <c r="D4" s="35" t="s">
        <v>580</v>
      </c>
      <c r="E4" s="1"/>
    </row>
    <row r="5" spans="1:6" ht="20.45" customHeight="1" x14ac:dyDescent="0.25">
      <c r="A5" s="4"/>
      <c r="B5" s="161" t="s">
        <v>631</v>
      </c>
      <c r="C5" s="106"/>
      <c r="D5" s="160"/>
      <c r="E5" s="1"/>
    </row>
    <row r="6" spans="1:6" ht="48" customHeight="1" x14ac:dyDescent="0.25">
      <c r="A6" s="4">
        <v>34</v>
      </c>
      <c r="B6" s="3" t="s">
        <v>547</v>
      </c>
      <c r="C6" s="3" t="s">
        <v>548</v>
      </c>
      <c r="D6" s="3" t="str">
        <f>CONCATENATE("Average 95th Percentile 
CO2 Reading 
","(",D4,")")</f>
        <v>Average 95th Percentile 
CO2 Reading 
(ppm)</v>
      </c>
      <c r="E6" s="1"/>
      <c r="F6" s="39"/>
    </row>
    <row r="7" spans="1:6" x14ac:dyDescent="0.25">
      <c r="A7" s="40">
        <f>IFERROR(IF(D7="",1,0),1)</f>
        <v>0</v>
      </c>
      <c r="B7" s="55">
        <f t="shared" ref="B7:B31" si="0">INDEX(Dates,1,E7)</f>
        <v>44012</v>
      </c>
      <c r="C7" s="55">
        <f t="shared" ref="C7" si="1">B7</f>
        <v>44012</v>
      </c>
      <c r="D7" s="56">
        <f t="shared" ref="D7:D31" si="2">HLOOKUP(B7,ReadingTable,2,FALSE)</f>
        <v>0.62</v>
      </c>
      <c r="E7" s="71">
        <f>IF(E6="",7,E6+1)</f>
        <v>7</v>
      </c>
    </row>
    <row r="8" spans="1:6" x14ac:dyDescent="0.25">
      <c r="A8" s="40">
        <f t="shared" ref="A8:A31" si="3">IFERROR(IF(D8="",1,0),1)</f>
        <v>0</v>
      </c>
      <c r="B8" s="55">
        <f t="shared" si="0"/>
        <v>43982</v>
      </c>
      <c r="C8" s="55">
        <f t="shared" ref="C8:C31" si="4">B8</f>
        <v>43982</v>
      </c>
      <c r="D8" s="56">
        <f t="shared" si="2"/>
        <v>0.19</v>
      </c>
      <c r="E8" s="71">
        <f t="shared" ref="E8:E31" si="5">IF(E7="",7,E7+1)</f>
        <v>8</v>
      </c>
    </row>
    <row r="9" spans="1:6" x14ac:dyDescent="0.25">
      <c r="A9" s="40">
        <f t="shared" si="3"/>
        <v>0</v>
      </c>
      <c r="B9" s="55">
        <f t="shared" si="0"/>
        <v>43951</v>
      </c>
      <c r="C9" s="55">
        <f t="shared" si="4"/>
        <v>43951</v>
      </c>
      <c r="D9" s="56">
        <f t="shared" si="2"/>
        <v>0.44</v>
      </c>
      <c r="E9" s="71">
        <f t="shared" si="5"/>
        <v>9</v>
      </c>
    </row>
    <row r="10" spans="1:6" x14ac:dyDescent="0.25">
      <c r="A10" s="40">
        <f t="shared" si="3"/>
        <v>0</v>
      </c>
      <c r="B10" s="55">
        <f t="shared" si="0"/>
        <v>43921</v>
      </c>
      <c r="C10" s="55">
        <f t="shared" si="4"/>
        <v>43921</v>
      </c>
      <c r="D10" s="56">
        <f t="shared" si="2"/>
        <v>0.73</v>
      </c>
      <c r="E10" s="71">
        <f t="shared" si="5"/>
        <v>10</v>
      </c>
    </row>
    <row r="11" spans="1:6" x14ac:dyDescent="0.25">
      <c r="A11" s="40">
        <f t="shared" si="3"/>
        <v>0</v>
      </c>
      <c r="B11" s="55">
        <f t="shared" si="0"/>
        <v>43889</v>
      </c>
      <c r="C11" s="55">
        <f t="shared" si="4"/>
        <v>43889</v>
      </c>
      <c r="D11" s="56">
        <f t="shared" si="2"/>
        <v>0.99</v>
      </c>
      <c r="E11" s="71">
        <f t="shared" si="5"/>
        <v>11</v>
      </c>
    </row>
    <row r="12" spans="1:6" x14ac:dyDescent="0.25">
      <c r="A12" s="40">
        <f t="shared" si="3"/>
        <v>0</v>
      </c>
      <c r="B12" s="55">
        <f t="shared" si="0"/>
        <v>43861</v>
      </c>
      <c r="C12" s="55">
        <f t="shared" si="4"/>
        <v>43861</v>
      </c>
      <c r="D12" s="56">
        <f t="shared" si="2"/>
        <v>0.11</v>
      </c>
      <c r="E12" s="71">
        <f t="shared" si="5"/>
        <v>12</v>
      </c>
    </row>
    <row r="13" spans="1:6" x14ac:dyDescent="0.25">
      <c r="A13" s="40">
        <f t="shared" si="3"/>
        <v>0</v>
      </c>
      <c r="B13" s="55">
        <f t="shared" si="0"/>
        <v>43830</v>
      </c>
      <c r="C13" s="55">
        <f t="shared" si="4"/>
        <v>43830</v>
      </c>
      <c r="D13" s="56">
        <f t="shared" si="2"/>
        <v>0.25</v>
      </c>
      <c r="E13" s="71">
        <f t="shared" si="5"/>
        <v>13</v>
      </c>
    </row>
    <row r="14" spans="1:6" x14ac:dyDescent="0.25">
      <c r="A14" s="40">
        <f t="shared" si="3"/>
        <v>0</v>
      </c>
      <c r="B14" s="55">
        <f t="shared" si="0"/>
        <v>43799</v>
      </c>
      <c r="C14" s="55">
        <f t="shared" si="4"/>
        <v>43799</v>
      </c>
      <c r="D14" s="56">
        <f t="shared" si="2"/>
        <v>0.25</v>
      </c>
      <c r="E14" s="71">
        <f t="shared" si="5"/>
        <v>14</v>
      </c>
    </row>
    <row r="15" spans="1:6" x14ac:dyDescent="0.25">
      <c r="A15" s="40">
        <f t="shared" si="3"/>
        <v>0</v>
      </c>
      <c r="B15" s="55">
        <f t="shared" si="0"/>
        <v>43769</v>
      </c>
      <c r="C15" s="55">
        <f t="shared" si="4"/>
        <v>43769</v>
      </c>
      <c r="D15" s="56">
        <f t="shared" si="2"/>
        <v>0.33</v>
      </c>
      <c r="E15" s="71">
        <f t="shared" si="5"/>
        <v>15</v>
      </c>
    </row>
    <row r="16" spans="1:6" x14ac:dyDescent="0.25">
      <c r="A16" s="40">
        <f t="shared" si="3"/>
        <v>0</v>
      </c>
      <c r="B16" s="55">
        <f t="shared" si="0"/>
        <v>43738</v>
      </c>
      <c r="C16" s="55">
        <f t="shared" si="4"/>
        <v>43738</v>
      </c>
      <c r="D16" s="56">
        <f t="shared" si="2"/>
        <v>0.19</v>
      </c>
      <c r="E16" s="71">
        <f t="shared" si="5"/>
        <v>16</v>
      </c>
    </row>
    <row r="17" spans="1:5" x14ac:dyDescent="0.25">
      <c r="A17" s="40">
        <f t="shared" si="3"/>
        <v>0</v>
      </c>
      <c r="B17" s="55">
        <f t="shared" si="0"/>
        <v>43708</v>
      </c>
      <c r="C17" s="55">
        <f t="shared" si="4"/>
        <v>43708</v>
      </c>
      <c r="D17" s="56">
        <f t="shared" si="2"/>
        <v>0.5</v>
      </c>
      <c r="E17" s="71">
        <f t="shared" si="5"/>
        <v>17</v>
      </c>
    </row>
    <row r="18" spans="1:5" x14ac:dyDescent="0.25">
      <c r="A18" s="40">
        <f t="shared" si="3"/>
        <v>0</v>
      </c>
      <c r="B18" s="55">
        <f t="shared" si="0"/>
        <v>43677</v>
      </c>
      <c r="C18" s="55">
        <f t="shared" si="4"/>
        <v>43677</v>
      </c>
      <c r="D18" s="56">
        <f t="shared" si="2"/>
        <v>0.5</v>
      </c>
      <c r="E18" s="71">
        <f t="shared" si="5"/>
        <v>18</v>
      </c>
    </row>
    <row r="19" spans="1:5" x14ac:dyDescent="0.25">
      <c r="A19" s="40">
        <f t="shared" si="3"/>
        <v>0</v>
      </c>
      <c r="B19" s="55">
        <f t="shared" si="0"/>
        <v>43646</v>
      </c>
      <c r="C19" s="55">
        <f t="shared" si="4"/>
        <v>43646</v>
      </c>
      <c r="D19" s="56">
        <f t="shared" si="2"/>
        <v>0.5</v>
      </c>
      <c r="E19" s="71">
        <f t="shared" si="5"/>
        <v>19</v>
      </c>
    </row>
    <row r="20" spans="1:5" x14ac:dyDescent="0.25">
      <c r="A20" s="40">
        <f t="shared" si="3"/>
        <v>0</v>
      </c>
      <c r="B20" s="55">
        <f t="shared" si="0"/>
        <v>43616</v>
      </c>
      <c r="C20" s="55">
        <f t="shared" si="4"/>
        <v>43616</v>
      </c>
      <c r="D20" s="56">
        <f t="shared" si="2"/>
        <v>0.19</v>
      </c>
      <c r="E20" s="71">
        <f t="shared" si="5"/>
        <v>20</v>
      </c>
    </row>
    <row r="21" spans="1:5" x14ac:dyDescent="0.25">
      <c r="A21" s="40">
        <f t="shared" si="3"/>
        <v>0</v>
      </c>
      <c r="B21" s="55">
        <f t="shared" si="0"/>
        <v>43585</v>
      </c>
      <c r="C21" s="55">
        <f t="shared" si="4"/>
        <v>43585</v>
      </c>
      <c r="D21" s="56">
        <f t="shared" si="2"/>
        <v>0.44</v>
      </c>
      <c r="E21" s="71">
        <f t="shared" si="5"/>
        <v>21</v>
      </c>
    </row>
    <row r="22" spans="1:5" x14ac:dyDescent="0.25">
      <c r="A22" s="40">
        <f t="shared" si="3"/>
        <v>0</v>
      </c>
      <c r="B22" s="55">
        <f t="shared" si="0"/>
        <v>43555</v>
      </c>
      <c r="C22" s="55">
        <f t="shared" si="4"/>
        <v>43555</v>
      </c>
      <c r="D22" s="56">
        <f t="shared" si="2"/>
        <v>0.73</v>
      </c>
      <c r="E22" s="71">
        <f t="shared" si="5"/>
        <v>22</v>
      </c>
    </row>
    <row r="23" spans="1:5" x14ac:dyDescent="0.25">
      <c r="A23" s="40">
        <f t="shared" si="3"/>
        <v>0</v>
      </c>
      <c r="B23" s="55">
        <f t="shared" si="0"/>
        <v>43524</v>
      </c>
      <c r="C23" s="55">
        <f t="shared" si="4"/>
        <v>43524</v>
      </c>
      <c r="D23" s="56">
        <f t="shared" si="2"/>
        <v>0.99</v>
      </c>
      <c r="E23" s="71">
        <f t="shared" si="5"/>
        <v>23</v>
      </c>
    </row>
    <row r="24" spans="1:5" x14ac:dyDescent="0.25">
      <c r="A24" s="40">
        <f t="shared" si="3"/>
        <v>0</v>
      </c>
      <c r="B24" s="55">
        <f t="shared" si="0"/>
        <v>43496</v>
      </c>
      <c r="C24" s="55">
        <f t="shared" si="4"/>
        <v>43496</v>
      </c>
      <c r="D24" s="56">
        <f t="shared" si="2"/>
        <v>0.11</v>
      </c>
      <c r="E24" s="71">
        <f t="shared" si="5"/>
        <v>24</v>
      </c>
    </row>
    <row r="25" spans="1:5" x14ac:dyDescent="0.25">
      <c r="A25" s="40">
        <f t="shared" si="3"/>
        <v>0</v>
      </c>
      <c r="B25" s="55">
        <f t="shared" si="0"/>
        <v>43465</v>
      </c>
      <c r="C25" s="55">
        <f t="shared" si="4"/>
        <v>43465</v>
      </c>
      <c r="D25" s="56">
        <f t="shared" si="2"/>
        <v>0.25</v>
      </c>
      <c r="E25" s="71">
        <f t="shared" si="5"/>
        <v>25</v>
      </c>
    </row>
    <row r="26" spans="1:5" x14ac:dyDescent="0.25">
      <c r="A26" s="40">
        <f t="shared" si="3"/>
        <v>0</v>
      </c>
      <c r="B26" s="55">
        <f t="shared" si="0"/>
        <v>43434</v>
      </c>
      <c r="C26" s="55">
        <f t="shared" si="4"/>
        <v>43434</v>
      </c>
      <c r="D26" s="56">
        <f t="shared" si="2"/>
        <v>0.25</v>
      </c>
      <c r="E26" s="71">
        <f t="shared" si="5"/>
        <v>26</v>
      </c>
    </row>
    <row r="27" spans="1:5" x14ac:dyDescent="0.25">
      <c r="A27" s="40">
        <f t="shared" si="3"/>
        <v>0</v>
      </c>
      <c r="B27" s="55">
        <f t="shared" si="0"/>
        <v>43404</v>
      </c>
      <c r="C27" s="55">
        <f t="shared" si="4"/>
        <v>43404</v>
      </c>
      <c r="D27" s="56">
        <f t="shared" si="2"/>
        <v>0.33</v>
      </c>
      <c r="E27" s="71">
        <f t="shared" si="5"/>
        <v>27</v>
      </c>
    </row>
    <row r="28" spans="1:5" x14ac:dyDescent="0.25">
      <c r="A28" s="40">
        <f t="shared" si="3"/>
        <v>0</v>
      </c>
      <c r="B28" s="55">
        <f t="shared" si="0"/>
        <v>43373</v>
      </c>
      <c r="C28" s="55">
        <f t="shared" si="4"/>
        <v>43373</v>
      </c>
      <c r="D28" s="56">
        <f t="shared" si="2"/>
        <v>0.19</v>
      </c>
      <c r="E28" s="71">
        <f t="shared" si="5"/>
        <v>28</v>
      </c>
    </row>
    <row r="29" spans="1:5" x14ac:dyDescent="0.25">
      <c r="A29" s="40">
        <f t="shared" si="3"/>
        <v>0</v>
      </c>
      <c r="B29" s="55">
        <f t="shared" si="0"/>
        <v>43343</v>
      </c>
      <c r="C29" s="55">
        <f t="shared" si="4"/>
        <v>43343</v>
      </c>
      <c r="D29" s="56">
        <f t="shared" si="2"/>
        <v>0.5</v>
      </c>
      <c r="E29" s="71">
        <f t="shared" si="5"/>
        <v>29</v>
      </c>
    </row>
    <row r="30" spans="1:5" x14ac:dyDescent="0.25">
      <c r="A30" s="40">
        <f t="shared" si="3"/>
        <v>0</v>
      </c>
      <c r="B30" s="55">
        <f t="shared" si="0"/>
        <v>43312</v>
      </c>
      <c r="C30" s="55">
        <f t="shared" si="4"/>
        <v>43312</v>
      </c>
      <c r="D30" s="56">
        <f t="shared" si="2"/>
        <v>0.5</v>
      </c>
      <c r="E30" s="71">
        <f t="shared" si="5"/>
        <v>30</v>
      </c>
    </row>
    <row r="31" spans="1:5" x14ac:dyDescent="0.25">
      <c r="A31" s="40">
        <f t="shared" si="3"/>
        <v>0</v>
      </c>
      <c r="B31" s="55">
        <f t="shared" si="0"/>
        <v>43281</v>
      </c>
      <c r="C31" s="55">
        <f t="shared" si="4"/>
        <v>43281</v>
      </c>
      <c r="D31" s="56">
        <f t="shared" si="2"/>
        <v>0.5</v>
      </c>
      <c r="E31" s="71">
        <f t="shared" si="5"/>
        <v>31</v>
      </c>
    </row>
    <row r="32" spans="1:5" x14ac:dyDescent="0.25">
      <c r="A32" s="4" t="s">
        <v>549</v>
      </c>
      <c r="B32" s="1"/>
      <c r="C32" s="1"/>
      <c r="D32" s="1"/>
      <c r="E32" s="1"/>
    </row>
    <row r="33" spans="1:5" x14ac:dyDescent="0.25">
      <c r="A33" s="4"/>
      <c r="B33" s="1"/>
      <c r="C33" s="1"/>
      <c r="D33" s="1"/>
      <c r="E33" s="1"/>
    </row>
    <row r="34" spans="1:5" ht="36.6" customHeight="1" x14ac:dyDescent="0.25">
      <c r="A34" s="4" t="s">
        <v>549</v>
      </c>
      <c r="B34" s="27"/>
      <c r="C34" s="27"/>
      <c r="D34" s="27"/>
      <c r="E34" s="1"/>
    </row>
  </sheetData>
  <sheetProtection algorithmName="SHA-512" hashValue="8nj6TsfGe1stG7ZxAnqMb0t6UY0ujy7LGfJ8PCpXQCgGD9SBj9pJabUyBLPsHR5isCaER6ubANLcWn4WrWe9wg==" saltValue="gPdLDUBh6aZFagujAYkCV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27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6" ht="36" customHeight="1" x14ac:dyDescent="0.25">
      <c r="A1" s="41" t="s">
        <v>601</v>
      </c>
      <c r="B1" s="43" t="s">
        <v>629</v>
      </c>
    </row>
    <row r="2" spans="1:6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583</v>
      </c>
      <c r="F2" s="48" t="s">
        <v>593</v>
      </c>
    </row>
    <row r="3" spans="1:6" x14ac:dyDescent="0.25">
      <c r="B3" s="78" t="s">
        <v>733</v>
      </c>
      <c r="C3" s="196">
        <v>43983</v>
      </c>
      <c r="D3" s="98">
        <v>44012</v>
      </c>
      <c r="E3" s="104">
        <v>0.375</v>
      </c>
      <c r="F3" s="99">
        <v>0.62</v>
      </c>
    </row>
    <row r="4" spans="1:6" x14ac:dyDescent="0.25">
      <c r="B4" s="78" t="s">
        <v>734</v>
      </c>
      <c r="C4" s="196">
        <v>43952</v>
      </c>
      <c r="D4" s="98">
        <v>43982</v>
      </c>
      <c r="E4" s="104">
        <v>0.41666666666666669</v>
      </c>
      <c r="F4" s="99">
        <v>0.19</v>
      </c>
    </row>
    <row r="5" spans="1:6" x14ac:dyDescent="0.25">
      <c r="B5" s="78" t="s">
        <v>735</v>
      </c>
      <c r="C5" s="196">
        <v>43922</v>
      </c>
      <c r="D5" s="98">
        <v>43951</v>
      </c>
      <c r="E5" s="104">
        <v>0.45833333333333331</v>
      </c>
      <c r="F5" s="99">
        <v>0.44</v>
      </c>
    </row>
    <row r="6" spans="1:6" x14ac:dyDescent="0.25">
      <c r="B6" s="78" t="s">
        <v>736</v>
      </c>
      <c r="C6" s="196">
        <v>43891</v>
      </c>
      <c r="D6" s="98">
        <v>43921</v>
      </c>
      <c r="E6" s="104">
        <v>0.10416666666666667</v>
      </c>
      <c r="F6" s="99">
        <v>0.73</v>
      </c>
    </row>
    <row r="7" spans="1:6" x14ac:dyDescent="0.25">
      <c r="B7" s="78" t="s">
        <v>737</v>
      </c>
      <c r="C7" s="196">
        <v>43862</v>
      </c>
      <c r="D7" s="98">
        <v>43889</v>
      </c>
      <c r="E7" s="104">
        <v>0.14583333333333334</v>
      </c>
      <c r="F7" s="99">
        <v>0.99</v>
      </c>
    </row>
    <row r="8" spans="1:6" x14ac:dyDescent="0.25">
      <c r="B8" s="78" t="s">
        <v>734</v>
      </c>
      <c r="C8" s="196">
        <v>43831</v>
      </c>
      <c r="D8" s="98">
        <v>43861</v>
      </c>
      <c r="E8" s="104">
        <v>8.3333333333333329E-2</v>
      </c>
      <c r="F8" s="99">
        <v>0.11</v>
      </c>
    </row>
    <row r="9" spans="1:6" x14ac:dyDescent="0.25">
      <c r="B9" s="78" t="s">
        <v>735</v>
      </c>
      <c r="C9" s="196">
        <v>43800</v>
      </c>
      <c r="D9" s="98">
        <v>43830</v>
      </c>
      <c r="E9" s="104">
        <v>0.125</v>
      </c>
      <c r="F9" s="99">
        <v>0.25</v>
      </c>
    </row>
    <row r="10" spans="1:6" x14ac:dyDescent="0.25">
      <c r="B10" s="78" t="s">
        <v>733</v>
      </c>
      <c r="C10" s="196">
        <v>43770</v>
      </c>
      <c r="D10" s="98">
        <v>43799</v>
      </c>
      <c r="E10" s="104">
        <v>0.33333333333333331</v>
      </c>
      <c r="F10" s="99">
        <v>0.25</v>
      </c>
    </row>
    <row r="11" spans="1:6" x14ac:dyDescent="0.25">
      <c r="B11" s="78" t="s">
        <v>738</v>
      </c>
      <c r="C11" s="196">
        <v>43739</v>
      </c>
      <c r="D11" s="98">
        <v>43769</v>
      </c>
      <c r="E11" s="104">
        <v>0.30555555555555552</v>
      </c>
      <c r="F11" s="99">
        <v>0.33</v>
      </c>
    </row>
    <row r="12" spans="1:6" x14ac:dyDescent="0.25">
      <c r="B12" s="78" t="s">
        <v>739</v>
      </c>
      <c r="C12" s="196">
        <v>43709</v>
      </c>
      <c r="D12" s="98">
        <v>43738</v>
      </c>
      <c r="E12" s="104">
        <v>0.26458333333333334</v>
      </c>
      <c r="F12" s="99">
        <v>0.19</v>
      </c>
    </row>
    <row r="13" spans="1:6" x14ac:dyDescent="0.25">
      <c r="B13" s="78" t="s">
        <v>740</v>
      </c>
      <c r="C13" s="196">
        <v>43678</v>
      </c>
      <c r="D13" s="98">
        <v>43708</v>
      </c>
      <c r="E13" s="104">
        <v>0.5083333333333333</v>
      </c>
      <c r="F13" s="99">
        <v>0.5</v>
      </c>
    </row>
    <row r="14" spans="1:6" x14ac:dyDescent="0.25">
      <c r="B14" s="78" t="s">
        <v>741</v>
      </c>
      <c r="C14" s="196">
        <v>43647</v>
      </c>
      <c r="D14" s="98">
        <v>43677</v>
      </c>
      <c r="E14" s="104">
        <v>5.486111111111111E-2</v>
      </c>
      <c r="F14" s="99">
        <v>0.5</v>
      </c>
    </row>
    <row r="15" spans="1:6" x14ac:dyDescent="0.25">
      <c r="B15" s="78" t="s">
        <v>742</v>
      </c>
      <c r="C15" s="196">
        <v>43617</v>
      </c>
      <c r="D15" s="98">
        <v>43646</v>
      </c>
      <c r="E15" s="104">
        <v>0.38194444444444442</v>
      </c>
      <c r="F15" s="99">
        <v>0.5</v>
      </c>
    </row>
    <row r="16" spans="1:6" x14ac:dyDescent="0.25">
      <c r="B16" s="78" t="s">
        <v>733</v>
      </c>
      <c r="C16" s="196">
        <v>43586</v>
      </c>
      <c r="D16" s="98">
        <v>43616</v>
      </c>
      <c r="E16" s="104">
        <v>0.375</v>
      </c>
      <c r="F16" s="99">
        <v>0.19</v>
      </c>
    </row>
    <row r="17" spans="1:31" x14ac:dyDescent="0.25">
      <c r="B17" s="78" t="s">
        <v>734</v>
      </c>
      <c r="C17" s="196">
        <v>43556</v>
      </c>
      <c r="D17" s="98">
        <v>43585</v>
      </c>
      <c r="E17" s="104">
        <v>0.41666666666666669</v>
      </c>
      <c r="F17" s="99">
        <v>0.44</v>
      </c>
    </row>
    <row r="18" spans="1:31" x14ac:dyDescent="0.25">
      <c r="B18" s="78" t="s">
        <v>735</v>
      </c>
      <c r="C18" s="196">
        <v>43525</v>
      </c>
      <c r="D18" s="98">
        <v>43555</v>
      </c>
      <c r="E18" s="104">
        <v>0.45833333333333331</v>
      </c>
      <c r="F18" s="99">
        <v>0.73</v>
      </c>
    </row>
    <row r="19" spans="1:31" x14ac:dyDescent="0.25">
      <c r="B19" s="78" t="s">
        <v>736</v>
      </c>
      <c r="C19" s="196">
        <v>43497</v>
      </c>
      <c r="D19" s="98">
        <v>43524</v>
      </c>
      <c r="E19" s="104">
        <v>0.10416666666666667</v>
      </c>
      <c r="F19" s="99">
        <v>0.99</v>
      </c>
    </row>
    <row r="20" spans="1:31" x14ac:dyDescent="0.25">
      <c r="B20" s="78" t="s">
        <v>737</v>
      </c>
      <c r="C20" s="196">
        <v>43466</v>
      </c>
      <c r="D20" s="98">
        <v>43496</v>
      </c>
      <c r="E20" s="104">
        <v>0.14583333333333334</v>
      </c>
      <c r="F20" s="99">
        <v>0.11</v>
      </c>
    </row>
    <row r="21" spans="1:31" x14ac:dyDescent="0.25">
      <c r="B21" s="78" t="s">
        <v>734</v>
      </c>
      <c r="C21" s="196">
        <v>43435</v>
      </c>
      <c r="D21" s="98">
        <v>43465</v>
      </c>
      <c r="E21" s="104">
        <v>8.3333333333333329E-2</v>
      </c>
      <c r="F21" s="99">
        <v>0.25</v>
      </c>
    </row>
    <row r="22" spans="1:31" x14ac:dyDescent="0.25">
      <c r="B22" s="78" t="s">
        <v>735</v>
      </c>
      <c r="C22" s="196">
        <v>43405</v>
      </c>
      <c r="D22" s="98">
        <v>43434</v>
      </c>
      <c r="E22" s="104">
        <v>0.125</v>
      </c>
      <c r="F22" s="99">
        <v>0.25</v>
      </c>
    </row>
    <row r="23" spans="1:31" x14ac:dyDescent="0.25">
      <c r="B23" s="78" t="s">
        <v>733</v>
      </c>
      <c r="C23" s="196">
        <v>43374</v>
      </c>
      <c r="D23" s="98">
        <v>43404</v>
      </c>
      <c r="E23" s="104">
        <v>0.33333333333333331</v>
      </c>
      <c r="F23" s="99">
        <v>0.33</v>
      </c>
    </row>
    <row r="24" spans="1:31" x14ac:dyDescent="0.25">
      <c r="B24" s="78" t="s">
        <v>738</v>
      </c>
      <c r="C24" s="196">
        <v>43344</v>
      </c>
      <c r="D24" s="98">
        <v>43373</v>
      </c>
      <c r="E24" s="104">
        <v>0.30555555555555552</v>
      </c>
      <c r="F24" s="99">
        <v>0.19</v>
      </c>
    </row>
    <row r="25" spans="1:31" x14ac:dyDescent="0.25">
      <c r="B25" s="78" t="s">
        <v>739</v>
      </c>
      <c r="C25" s="196">
        <v>43313</v>
      </c>
      <c r="D25" s="98">
        <v>43343</v>
      </c>
      <c r="E25" s="104">
        <v>0.26458333333333334</v>
      </c>
      <c r="F25" s="99">
        <v>0.5</v>
      </c>
    </row>
    <row r="26" spans="1:31" x14ac:dyDescent="0.25">
      <c r="B26" s="78" t="s">
        <v>740</v>
      </c>
      <c r="C26" s="196">
        <v>43282</v>
      </c>
      <c r="D26" s="98">
        <v>43312</v>
      </c>
      <c r="E26" s="104">
        <v>0.5083333333333333</v>
      </c>
      <c r="F26" s="99">
        <v>0.5</v>
      </c>
    </row>
    <row r="27" spans="1:31" x14ac:dyDescent="0.25">
      <c r="B27" s="78" t="s">
        <v>737</v>
      </c>
      <c r="C27" s="196">
        <v>43252</v>
      </c>
      <c r="D27" s="98">
        <v>43281</v>
      </c>
      <c r="E27" s="104">
        <v>0.26458333333333334</v>
      </c>
      <c r="F27" s="99">
        <v>0.5</v>
      </c>
    </row>
    <row r="28" spans="1:31" ht="39" customHeight="1" x14ac:dyDescent="0.25"/>
    <row r="29" spans="1:31" s="62" customFormat="1" ht="51" customHeight="1" x14ac:dyDescent="0.2">
      <c r="A29" s="41" t="s">
        <v>591</v>
      </c>
      <c r="B29" s="43" t="s">
        <v>585</v>
      </c>
      <c r="F29" s="63"/>
      <c r="G29" s="72">
        <f t="shared" ref="G29:AE29" si="0">IF(G31="",1,0)</f>
        <v>0</v>
      </c>
      <c r="H29" s="72">
        <f t="shared" si="0"/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</row>
    <row r="30" spans="1:31" ht="21" customHeight="1" x14ac:dyDescent="0.25">
      <c r="A30" s="41" t="s">
        <v>601</v>
      </c>
      <c r="B30" s="217" t="s">
        <v>581</v>
      </c>
      <c r="C30" s="64"/>
      <c r="D30" s="64"/>
      <c r="E30" s="64"/>
      <c r="F30" s="65"/>
      <c r="G30" s="50" t="s">
        <v>582</v>
      </c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</row>
    <row r="31" spans="1:31" ht="15" customHeight="1" x14ac:dyDescent="0.25">
      <c r="A31" s="41" t="s">
        <v>601</v>
      </c>
      <c r="B31" s="218"/>
      <c r="C31" s="66"/>
      <c r="D31" s="66"/>
      <c r="E31" s="66"/>
      <c r="F31" s="67"/>
      <c r="G31" s="171">
        <f t="array" ref="G31">IFERROR(INDEX($D$3:$D$28, MATCH(0,IF(ISBLANK($D$3:$D$28),1,COUNTIF($F$31:F31, $D$3:$D$28)), 0)),"")</f>
        <v>44012</v>
      </c>
      <c r="H31" s="171">
        <f t="array" ref="H31">IFERROR(INDEX($D$3:$D$28, MATCH(0,IF(ISBLANK($D$3:$D$28),1,COUNTIF($F$31:G31, $D$3:$D$28)), 0)),"")</f>
        <v>43982</v>
      </c>
      <c r="I31" s="171">
        <f t="array" ref="I31">IFERROR(INDEX($D$3:$D$28, MATCH(0,IF(ISBLANK($D$3:$D$28),1,COUNTIF($F$31:H31, $D$3:$D$28)), 0)),"")</f>
        <v>43951</v>
      </c>
      <c r="J31" s="171">
        <f t="array" ref="J31">IFERROR(INDEX($D$3:$D$28, MATCH(0,IF(ISBLANK($D$3:$D$28),1,COUNTIF($F$31:I31, $D$3:$D$28)), 0)),"")</f>
        <v>43921</v>
      </c>
      <c r="K31" s="171">
        <f t="array" ref="K31">IFERROR(INDEX($D$3:$D$28, MATCH(0,IF(ISBLANK($D$3:$D$28),1,COUNTIF($F$31:J31, $D$3:$D$28)), 0)),"")</f>
        <v>43889</v>
      </c>
      <c r="L31" s="171">
        <f t="array" ref="L31">IFERROR(INDEX($D$3:$D$28, MATCH(0,IF(ISBLANK($D$3:$D$28),1,COUNTIF($F$31:K31, $D$3:$D$28)), 0)),"")</f>
        <v>43861</v>
      </c>
      <c r="M31" s="171">
        <f t="array" ref="M31">IFERROR(INDEX($D$3:$D$28, MATCH(0,IF(ISBLANK($D$3:$D$28),1,COUNTIF($F$31:L31, $D$3:$D$28)), 0)),"")</f>
        <v>43830</v>
      </c>
      <c r="N31" s="171">
        <f t="array" ref="N31">IFERROR(INDEX($D$3:$D$28, MATCH(0,IF(ISBLANK($D$3:$D$28),1,COUNTIF($F$31:M31, $D$3:$D$28)), 0)),"")</f>
        <v>43799</v>
      </c>
      <c r="O31" s="171">
        <f t="array" ref="O31">IFERROR(INDEX($D$3:$D$28, MATCH(0,IF(ISBLANK($D$3:$D$28),1,COUNTIF($F$31:N31, $D$3:$D$28)), 0)),"")</f>
        <v>43769</v>
      </c>
      <c r="P31" s="171">
        <f t="array" ref="P31">IFERROR(INDEX($D$3:$D$28, MATCH(0,IF(ISBLANK($D$3:$D$28),1,COUNTIF($F$31:O31, $D$3:$D$28)), 0)),"")</f>
        <v>43738</v>
      </c>
      <c r="Q31" s="171">
        <f t="array" ref="Q31">IFERROR(INDEX($D$3:$D$28, MATCH(0,IF(ISBLANK($D$3:$D$28),1,COUNTIF($F$31:P31, $D$3:$D$28)), 0)),"")</f>
        <v>43708</v>
      </c>
      <c r="R31" s="171">
        <f t="array" ref="R31">IFERROR(INDEX($D$3:$D$28, MATCH(0,IF(ISBLANK($D$3:$D$28),1,COUNTIF($F$31:Q31, $D$3:$D$28)), 0)),"")</f>
        <v>43677</v>
      </c>
      <c r="S31" s="171">
        <f t="array" ref="S31">IFERROR(INDEX($D$3:$D$28, MATCH(0,IF(ISBLANK($D$3:$D$28),1,COUNTIF($F$31:R31, $D$3:$D$28)), 0)),"")</f>
        <v>43646</v>
      </c>
      <c r="T31" s="171">
        <f t="array" ref="T31">IFERROR(INDEX($D$3:$D$28, MATCH(0,IF(ISBLANK($D$3:$D$28),1,COUNTIF($F$31:S31, $D$3:$D$28)), 0)),"")</f>
        <v>43616</v>
      </c>
      <c r="U31" s="171">
        <f t="array" ref="U31">IFERROR(INDEX($D$3:$D$28, MATCH(0,IF(ISBLANK($D$3:$D$28),1,COUNTIF($F$31:T31, $D$3:$D$28)), 0)),"")</f>
        <v>43585</v>
      </c>
      <c r="V31" s="171">
        <f t="array" ref="V31">IFERROR(INDEX($D$3:$D$28, MATCH(0,IF(ISBLANK($D$3:$D$28),1,COUNTIF($F$31:U31, $D$3:$D$28)), 0)),"")</f>
        <v>43555</v>
      </c>
      <c r="W31" s="171">
        <f t="array" ref="W31">IFERROR(INDEX($D$3:$D$28, MATCH(0,IF(ISBLANK($D$3:$D$28),1,COUNTIF($F$31:V31, $D$3:$D$28)), 0)),"")</f>
        <v>43524</v>
      </c>
      <c r="X31" s="171">
        <f t="array" ref="X31">IFERROR(INDEX($D$3:$D$28, MATCH(0,IF(ISBLANK($D$3:$D$28),1,COUNTIF($F$31:W31, $D$3:$D$28)), 0)),"")</f>
        <v>43496</v>
      </c>
      <c r="Y31" s="171">
        <f t="array" ref="Y31">IFERROR(INDEX($D$3:$D$28, MATCH(0,IF(ISBLANK($D$3:$D$28),1,COUNTIF($F$31:X31, $D$3:$D$28)), 0)),"")</f>
        <v>43465</v>
      </c>
      <c r="Z31" s="171">
        <f t="array" ref="Z31">IFERROR(INDEX($D$3:$D$28, MATCH(0,IF(ISBLANK($D$3:$D$28),1,COUNTIF($F$31:Y31, $D$3:$D$28)), 0)),"")</f>
        <v>43434</v>
      </c>
      <c r="AA31" s="171">
        <f t="array" ref="AA31">IFERROR(INDEX($D$3:$D$28, MATCH(0,IF(ISBLANK($D$3:$D$28),1,COUNTIF($F$31:Z31, $D$3:$D$28)), 0)),"")</f>
        <v>43404</v>
      </c>
      <c r="AB31" s="171">
        <f t="array" ref="AB31">IFERROR(INDEX($D$3:$D$28, MATCH(0,IF(ISBLANK($D$3:$D$28),1,COUNTIF($F$31:AA31, $D$3:$D$28)), 0)),"")</f>
        <v>43373</v>
      </c>
      <c r="AC31" s="171">
        <f t="array" ref="AC31">IFERROR(INDEX($D$3:$D$28, MATCH(0,IF(ISBLANK($D$3:$D$28),1,COUNTIF($F$31:AB31, $D$3:$D$28)), 0)),"")</f>
        <v>43343</v>
      </c>
      <c r="AD31" s="171">
        <f t="array" ref="AD31">IFERROR(INDEX($D$3:$D$28, MATCH(0,IF(ISBLANK($D$3:$D$28),1,COUNTIF($F$31:AC31, $D$3:$D$28)), 0)),"")</f>
        <v>43312</v>
      </c>
      <c r="AE31" s="171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41" t="s">
        <v>601</v>
      </c>
      <c r="B32" s="219"/>
      <c r="C32" s="68"/>
      <c r="D32" s="68"/>
      <c r="E32" s="68"/>
      <c r="F32" s="69"/>
      <c r="G32" s="74" t="s">
        <v>592</v>
      </c>
      <c r="H32" s="74" t="s">
        <v>592</v>
      </c>
      <c r="I32" s="74" t="s">
        <v>592</v>
      </c>
      <c r="J32" s="74" t="s">
        <v>592</v>
      </c>
      <c r="K32" s="74" t="s">
        <v>592</v>
      </c>
      <c r="L32" s="74" t="s">
        <v>592</v>
      </c>
      <c r="M32" s="74" t="s">
        <v>592</v>
      </c>
      <c r="N32" s="74" t="s">
        <v>592</v>
      </c>
      <c r="O32" s="74" t="s">
        <v>592</v>
      </c>
      <c r="P32" s="74" t="s">
        <v>592</v>
      </c>
      <c r="Q32" s="74" t="s">
        <v>592</v>
      </c>
      <c r="R32" s="74" t="s">
        <v>592</v>
      </c>
      <c r="S32" s="74" t="s">
        <v>592</v>
      </c>
      <c r="T32" s="74" t="s">
        <v>592</v>
      </c>
      <c r="U32" s="74" t="s">
        <v>592</v>
      </c>
      <c r="V32" s="74" t="s">
        <v>592</v>
      </c>
      <c r="W32" s="74" t="s">
        <v>592</v>
      </c>
      <c r="X32" s="74" t="s">
        <v>592</v>
      </c>
      <c r="Y32" s="74" t="s">
        <v>592</v>
      </c>
      <c r="Z32" s="74" t="s">
        <v>592</v>
      </c>
      <c r="AA32" s="74" t="s">
        <v>592</v>
      </c>
      <c r="AB32" s="74" t="s">
        <v>592</v>
      </c>
      <c r="AC32" s="74" t="s">
        <v>592</v>
      </c>
      <c r="AD32" s="74" t="s">
        <v>592</v>
      </c>
      <c r="AE32" s="74" t="s">
        <v>592</v>
      </c>
    </row>
    <row r="33" spans="1:31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61"/>
      <c r="G33" s="100">
        <f t="array" ref="G33">IFERROR(PERCENTILE(IF($B$3:$B$28=$B33,IF($D$3:$D$28=G$31,IF($F$3:$F$28&lt;&gt;"",$F$3:$F$28))),0.95),"")</f>
        <v>0.62</v>
      </c>
      <c r="H33" s="100" t="str">
        <f t="array" ref="H33">IFERROR(PERCENTILE(IF($B$3:$B$28=$B33,IF($D$3:$D$28=H$31,IF($F$3:$F$28&lt;&gt;"",$F$3:$F$28))),0.95),"")</f>
        <v/>
      </c>
      <c r="I33" s="100" t="str">
        <f t="array" ref="I33">IFERROR(PERCENTILE(IF($B$3:$B$28=$B33,IF($D$3:$D$28=I$31,IF($F$3:$F$28&lt;&gt;"",$F$3:$F$28))),0.95),"")</f>
        <v/>
      </c>
      <c r="J33" s="100" t="str">
        <f t="array" ref="J33">IFERROR(PERCENTILE(IF($B$3:$B$28=$B33,IF($D$3:$D$28=J$31,IF($F$3:$F$28&lt;&gt;"",$F$3:$F$28))),0.95),"")</f>
        <v/>
      </c>
      <c r="K33" s="100" t="str">
        <f t="array" ref="K33">IFERROR(PERCENTILE(IF($B$3:$B$28=$B33,IF($D$3:$D$28=K$31,IF($F$3:$F$28&lt;&gt;"",$F$3:$F$28))),0.95),"")</f>
        <v/>
      </c>
      <c r="L33" s="100" t="str">
        <f t="array" ref="L33">IFERROR(PERCENTILE(IF($B$3:$B$28=$B33,IF($D$3:$D$28=L$31,IF($F$3:$F$28&lt;&gt;"",$F$3:$F$28))),0.95),"")</f>
        <v/>
      </c>
      <c r="M33" s="100" t="str">
        <f t="array" ref="M33">IFERROR(PERCENTILE(IF($B$3:$B$28=$B33,IF($D$3:$D$28=M$31,IF($F$3:$F$28&lt;&gt;"",$F$3:$F$28))),0.95),"")</f>
        <v/>
      </c>
      <c r="N33" s="100">
        <f t="array" ref="N33">IFERROR(PERCENTILE(IF($B$3:$B$28=$B33,IF($D$3:$D$28=N$31,IF($F$3:$F$28&lt;&gt;"",$F$3:$F$28))),0.95),"")</f>
        <v>0.25</v>
      </c>
      <c r="O33" s="100" t="str">
        <f t="array" ref="O33">IFERROR(PERCENTILE(IF($B$3:$B$28=$B33,IF($D$3:$D$28=O$31,IF($F$3:$F$28&lt;&gt;"",$F$3:$F$28))),0.95),"")</f>
        <v/>
      </c>
      <c r="P33" s="100" t="str">
        <f t="array" ref="P33">IFERROR(PERCENTILE(IF($B$3:$B$28=$B33,IF($D$3:$D$28=P$31,IF($F$3:$F$28&lt;&gt;"",$F$3:$F$28))),0.95),"")</f>
        <v/>
      </c>
      <c r="Q33" s="100" t="str">
        <f t="array" ref="Q33">IFERROR(PERCENTILE(IF($B$3:$B$28=$B33,IF($D$3:$D$28=Q$31,IF($F$3:$F$28&lt;&gt;"",$F$3:$F$28))),0.95),"")</f>
        <v/>
      </c>
      <c r="R33" s="100" t="str">
        <f t="array" ref="R33">IFERROR(PERCENTILE(IF($B$3:$B$28=$B33,IF($D$3:$D$28=R$31,IF($F$3:$F$28&lt;&gt;"",$F$3:$F$28))),0.95),"")</f>
        <v/>
      </c>
      <c r="S33" s="100" t="str">
        <f t="array" ref="S33">IFERROR(PERCENTILE(IF($B$3:$B$28=$B33,IF($D$3:$D$28=S$31,IF($F$3:$F$28&lt;&gt;"",$F$3:$F$28))),0.95),"")</f>
        <v/>
      </c>
      <c r="T33" s="100">
        <f t="array" ref="T33">IFERROR(PERCENTILE(IF($B$3:$B$28=$B33,IF($D$3:$D$28=T$31,IF($F$3:$F$28&lt;&gt;"",$F$3:$F$28))),0.95),"")</f>
        <v>0.19</v>
      </c>
      <c r="U33" s="100" t="str">
        <f t="array" ref="U33">IFERROR(PERCENTILE(IF($B$3:$B$28=$B33,IF($D$3:$D$28=U$31,IF($F$3:$F$28&lt;&gt;"",$F$3:$F$28))),0.95),"")</f>
        <v/>
      </c>
      <c r="V33" s="100" t="str">
        <f t="array" ref="V33">IFERROR(PERCENTILE(IF($B$3:$B$28=$B33,IF($D$3:$D$28=V$31,IF($F$3:$F$28&lt;&gt;"",$F$3:$F$28))),0.95),"")</f>
        <v/>
      </c>
      <c r="W33" s="100" t="str">
        <f t="array" ref="W33">IFERROR(PERCENTILE(IF($B$3:$B$28=$B33,IF($D$3:$D$28=W$31,IF($F$3:$F$28&lt;&gt;"",$F$3:$F$28))),0.95),"")</f>
        <v/>
      </c>
      <c r="X33" s="100" t="str">
        <f t="array" ref="X33">IFERROR(PERCENTILE(IF($B$3:$B$28=$B33,IF($D$3:$D$28=X$31,IF($F$3:$F$28&lt;&gt;"",$F$3:$F$28))),0.95),"")</f>
        <v/>
      </c>
      <c r="Y33" s="100" t="str">
        <f t="array" ref="Y33">IFERROR(PERCENTILE(IF($B$3:$B$28=$B33,IF($D$3:$D$28=Y$31,IF($F$3:$F$28&lt;&gt;"",$F$3:$F$28))),0.95),"")</f>
        <v/>
      </c>
      <c r="Z33" s="100" t="str">
        <f t="array" ref="Z33">IFERROR(PERCENTILE(IF($B$3:$B$28=$B33,IF($D$3:$D$28=Z$31,IF($F$3:$F$28&lt;&gt;"",$F$3:$F$28))),0.95),"")</f>
        <v/>
      </c>
      <c r="AA33" s="100">
        <f t="array" ref="AA33">IFERROR(PERCENTILE(IF($B$3:$B$28=$B33,IF($D$3:$D$28=AA$31,IF($F$3:$F$28&lt;&gt;"",$F$3:$F$28))),0.95),"")</f>
        <v>0.33</v>
      </c>
      <c r="AB33" s="100" t="str">
        <f t="array" ref="AB33">IFERROR(PERCENTILE(IF($B$3:$B$28=$B33,IF($D$3:$D$28=AB$31,IF($F$3:$F$28&lt;&gt;"",$F$3:$F$28))),0.95),"")</f>
        <v/>
      </c>
      <c r="AC33" s="100" t="str">
        <f t="array" ref="AC33">IFERROR(PERCENTILE(IF($B$3:$B$28=$B33,IF($D$3:$D$28=AC$31,IF($F$3:$F$28&lt;&gt;"",$F$3:$F$28))),0.95),"")</f>
        <v/>
      </c>
      <c r="AD33" s="100" t="str">
        <f t="array" ref="AD33">IFERROR(PERCENTILE(IF($B$3:$B$28=$B33,IF($D$3:$D$28=AD$31,IF($F$3:$F$28&lt;&gt;"",$F$3:$F$28))),0.95),"")</f>
        <v/>
      </c>
      <c r="AE33" s="100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61"/>
      <c r="G34" s="100" t="str">
        <f t="array" ref="G34">IFERROR(PERCENTILE(IF($B$3:$B$28=$B34,IF($D$3:$D$28=G$31,IF($F$3:$F$28&lt;&gt;"",$F$3:$F$28))),0.95),"")</f>
        <v/>
      </c>
      <c r="H34" s="100">
        <f t="array" ref="H34">IFERROR(PERCENTILE(IF($B$3:$B$28=$B34,IF($D$3:$D$28=H$31,IF($F$3:$F$28&lt;&gt;"",$F$3:$F$28))),0.95),"")</f>
        <v>0.19</v>
      </c>
      <c r="I34" s="100" t="str">
        <f t="array" ref="I34">IFERROR(PERCENTILE(IF($B$3:$B$28=$B34,IF($D$3:$D$28=I$31,IF($F$3:$F$28&lt;&gt;"",$F$3:$F$28))),0.95),"")</f>
        <v/>
      </c>
      <c r="J34" s="100" t="str">
        <f t="array" ref="J34">IFERROR(PERCENTILE(IF($B$3:$B$28=$B34,IF($D$3:$D$28=J$31,IF($F$3:$F$28&lt;&gt;"",$F$3:$F$28))),0.95),"")</f>
        <v/>
      </c>
      <c r="K34" s="100" t="str">
        <f t="array" ref="K34">IFERROR(PERCENTILE(IF($B$3:$B$28=$B34,IF($D$3:$D$28=K$31,IF($F$3:$F$28&lt;&gt;"",$F$3:$F$28))),0.95),"")</f>
        <v/>
      </c>
      <c r="L34" s="100">
        <f t="array" ref="L34">IFERROR(PERCENTILE(IF($B$3:$B$28=$B34,IF($D$3:$D$28=L$31,IF($F$3:$F$28&lt;&gt;"",$F$3:$F$28))),0.95),"")</f>
        <v>0.11</v>
      </c>
      <c r="M34" s="100" t="str">
        <f t="array" ref="M34">IFERROR(PERCENTILE(IF($B$3:$B$28=$B34,IF($D$3:$D$28=M$31,IF($F$3:$F$28&lt;&gt;"",$F$3:$F$28))),0.95),"")</f>
        <v/>
      </c>
      <c r="N34" s="100" t="str">
        <f t="array" ref="N34">IFERROR(PERCENTILE(IF($B$3:$B$28=$B34,IF($D$3:$D$28=N$31,IF($F$3:$F$28&lt;&gt;"",$F$3:$F$28))),0.95),"")</f>
        <v/>
      </c>
      <c r="O34" s="100" t="str">
        <f t="array" ref="O34">IFERROR(PERCENTILE(IF($B$3:$B$28=$B34,IF($D$3:$D$28=O$31,IF($F$3:$F$28&lt;&gt;"",$F$3:$F$28))),0.95),"")</f>
        <v/>
      </c>
      <c r="P34" s="100" t="str">
        <f t="array" ref="P34">IFERROR(PERCENTILE(IF($B$3:$B$28=$B34,IF($D$3:$D$28=P$31,IF($F$3:$F$28&lt;&gt;"",$F$3:$F$28))),0.95),"")</f>
        <v/>
      </c>
      <c r="Q34" s="100" t="str">
        <f t="array" ref="Q34">IFERROR(PERCENTILE(IF($B$3:$B$28=$B34,IF($D$3:$D$28=Q$31,IF($F$3:$F$28&lt;&gt;"",$F$3:$F$28))),0.95),"")</f>
        <v/>
      </c>
      <c r="R34" s="100" t="str">
        <f t="array" ref="R34">IFERROR(PERCENTILE(IF($B$3:$B$28=$B34,IF($D$3:$D$28=R$31,IF($F$3:$F$28&lt;&gt;"",$F$3:$F$28))),0.95),"")</f>
        <v/>
      </c>
      <c r="S34" s="100" t="str">
        <f t="array" ref="S34">IFERROR(PERCENTILE(IF($B$3:$B$28=$B34,IF($D$3:$D$28=S$31,IF($F$3:$F$28&lt;&gt;"",$F$3:$F$28))),0.95),"")</f>
        <v/>
      </c>
      <c r="T34" s="100" t="str">
        <f t="array" ref="T34">IFERROR(PERCENTILE(IF($B$3:$B$28=$B34,IF($D$3:$D$28=T$31,IF($F$3:$F$28&lt;&gt;"",$F$3:$F$28))),0.95),"")</f>
        <v/>
      </c>
      <c r="U34" s="100">
        <f t="array" ref="U34">IFERROR(PERCENTILE(IF($B$3:$B$28=$B34,IF($D$3:$D$28=U$31,IF($F$3:$F$28&lt;&gt;"",$F$3:$F$28))),0.95),"")</f>
        <v>0.44</v>
      </c>
      <c r="V34" s="100" t="str">
        <f t="array" ref="V34">IFERROR(PERCENTILE(IF($B$3:$B$28=$B34,IF($D$3:$D$28=V$31,IF($F$3:$F$28&lt;&gt;"",$F$3:$F$28))),0.95),"")</f>
        <v/>
      </c>
      <c r="W34" s="100" t="str">
        <f t="array" ref="W34">IFERROR(PERCENTILE(IF($B$3:$B$28=$B34,IF($D$3:$D$28=W$31,IF($F$3:$F$28&lt;&gt;"",$F$3:$F$28))),0.95),"")</f>
        <v/>
      </c>
      <c r="X34" s="100" t="str">
        <f t="array" ref="X34">IFERROR(PERCENTILE(IF($B$3:$B$28=$B34,IF($D$3:$D$28=X$31,IF($F$3:$F$28&lt;&gt;"",$F$3:$F$28))),0.95),"")</f>
        <v/>
      </c>
      <c r="Y34" s="100">
        <f t="array" ref="Y34">IFERROR(PERCENTILE(IF($B$3:$B$28=$B34,IF($D$3:$D$28=Y$31,IF($F$3:$F$28&lt;&gt;"",$F$3:$F$28))),0.95),"")</f>
        <v>0.25</v>
      </c>
      <c r="Z34" s="100" t="str">
        <f t="array" ref="Z34">IFERROR(PERCENTILE(IF($B$3:$B$28=$B34,IF($D$3:$D$28=Z$31,IF($F$3:$F$28&lt;&gt;"",$F$3:$F$28))),0.95),"")</f>
        <v/>
      </c>
      <c r="AA34" s="100" t="str">
        <f t="array" ref="AA34">IFERROR(PERCENTILE(IF($B$3:$B$28=$B34,IF($D$3:$D$28=AA$31,IF($F$3:$F$28&lt;&gt;"",$F$3:$F$28))),0.95),"")</f>
        <v/>
      </c>
      <c r="AB34" s="100" t="str">
        <f t="array" ref="AB34">IFERROR(PERCENTILE(IF($B$3:$B$28=$B34,IF($D$3:$D$28=AB$31,IF($F$3:$F$28&lt;&gt;"",$F$3:$F$28))),0.95),"")</f>
        <v/>
      </c>
      <c r="AC34" s="100" t="str">
        <f t="array" ref="AC34">IFERROR(PERCENTILE(IF($B$3:$B$28=$B34,IF($D$3:$D$28=AC$31,IF($F$3:$F$28&lt;&gt;"",$F$3:$F$28))),0.95),"")</f>
        <v/>
      </c>
      <c r="AD34" s="100" t="str">
        <f t="array" ref="AD34">IFERROR(PERCENTILE(IF($B$3:$B$28=$B34,IF($D$3:$D$28=AD$31,IF($F$3:$F$28&lt;&gt;"",$F$3:$F$28))),0.95),"")</f>
        <v/>
      </c>
      <c r="AE34" s="100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61"/>
      <c r="G35" s="100" t="str">
        <f t="array" ref="G35">IFERROR(PERCENTILE(IF($B$3:$B$28=$B35,IF($D$3:$D$28=G$31,IF($F$3:$F$28&lt;&gt;"",$F$3:$F$28))),0.95),"")</f>
        <v/>
      </c>
      <c r="H35" s="100" t="str">
        <f t="array" ref="H35">IFERROR(PERCENTILE(IF($B$3:$B$28=$B35,IF($D$3:$D$28=H$31,IF($F$3:$F$28&lt;&gt;"",$F$3:$F$28))),0.95),"")</f>
        <v/>
      </c>
      <c r="I35" s="100">
        <f t="array" ref="I35">IFERROR(PERCENTILE(IF($B$3:$B$28=$B35,IF($D$3:$D$28=I$31,IF($F$3:$F$28&lt;&gt;"",$F$3:$F$28))),0.95),"")</f>
        <v>0.44</v>
      </c>
      <c r="J35" s="100" t="str">
        <f t="array" ref="J35">IFERROR(PERCENTILE(IF($B$3:$B$28=$B35,IF($D$3:$D$28=J$31,IF($F$3:$F$28&lt;&gt;"",$F$3:$F$28))),0.95),"")</f>
        <v/>
      </c>
      <c r="K35" s="100" t="str">
        <f t="array" ref="K35">IFERROR(PERCENTILE(IF($B$3:$B$28=$B35,IF($D$3:$D$28=K$31,IF($F$3:$F$28&lt;&gt;"",$F$3:$F$28))),0.95),"")</f>
        <v/>
      </c>
      <c r="L35" s="100" t="str">
        <f t="array" ref="L35">IFERROR(PERCENTILE(IF($B$3:$B$28=$B35,IF($D$3:$D$28=L$31,IF($F$3:$F$28&lt;&gt;"",$F$3:$F$28))),0.95),"")</f>
        <v/>
      </c>
      <c r="M35" s="100">
        <f t="array" ref="M35">IFERROR(PERCENTILE(IF($B$3:$B$28=$B35,IF($D$3:$D$28=M$31,IF($F$3:$F$28&lt;&gt;"",$F$3:$F$28))),0.95),"")</f>
        <v>0.25</v>
      </c>
      <c r="N35" s="100" t="str">
        <f t="array" ref="N35">IFERROR(PERCENTILE(IF($B$3:$B$28=$B35,IF($D$3:$D$28=N$31,IF($F$3:$F$28&lt;&gt;"",$F$3:$F$28))),0.95),"")</f>
        <v/>
      </c>
      <c r="O35" s="100" t="str">
        <f t="array" ref="O35">IFERROR(PERCENTILE(IF($B$3:$B$28=$B35,IF($D$3:$D$28=O$31,IF($F$3:$F$28&lt;&gt;"",$F$3:$F$28))),0.95),"")</f>
        <v/>
      </c>
      <c r="P35" s="100" t="str">
        <f t="array" ref="P35">IFERROR(PERCENTILE(IF($B$3:$B$28=$B35,IF($D$3:$D$28=P$31,IF($F$3:$F$28&lt;&gt;"",$F$3:$F$28))),0.95),"")</f>
        <v/>
      </c>
      <c r="Q35" s="100" t="str">
        <f t="array" ref="Q35">IFERROR(PERCENTILE(IF($B$3:$B$28=$B35,IF($D$3:$D$28=Q$31,IF($F$3:$F$28&lt;&gt;"",$F$3:$F$28))),0.95),"")</f>
        <v/>
      </c>
      <c r="R35" s="100" t="str">
        <f t="array" ref="R35">IFERROR(PERCENTILE(IF($B$3:$B$28=$B35,IF($D$3:$D$28=R$31,IF($F$3:$F$28&lt;&gt;"",$F$3:$F$28))),0.95),"")</f>
        <v/>
      </c>
      <c r="S35" s="100" t="str">
        <f t="array" ref="S35">IFERROR(PERCENTILE(IF($B$3:$B$28=$B35,IF($D$3:$D$28=S$31,IF($F$3:$F$28&lt;&gt;"",$F$3:$F$28))),0.95),"")</f>
        <v/>
      </c>
      <c r="T35" s="100" t="str">
        <f t="array" ref="T35">IFERROR(PERCENTILE(IF($B$3:$B$28=$B35,IF($D$3:$D$28=T$31,IF($F$3:$F$28&lt;&gt;"",$F$3:$F$28))),0.95),"")</f>
        <v/>
      </c>
      <c r="U35" s="100" t="str">
        <f t="array" ref="U35">IFERROR(PERCENTILE(IF($B$3:$B$28=$B35,IF($D$3:$D$28=U$31,IF($F$3:$F$28&lt;&gt;"",$F$3:$F$28))),0.95),"")</f>
        <v/>
      </c>
      <c r="V35" s="100">
        <f t="array" ref="V35">IFERROR(PERCENTILE(IF($B$3:$B$28=$B35,IF($D$3:$D$28=V$31,IF($F$3:$F$28&lt;&gt;"",$F$3:$F$28))),0.95),"")</f>
        <v>0.73</v>
      </c>
      <c r="W35" s="100" t="str">
        <f t="array" ref="W35">IFERROR(PERCENTILE(IF($B$3:$B$28=$B35,IF($D$3:$D$28=W$31,IF($F$3:$F$28&lt;&gt;"",$F$3:$F$28))),0.95),"")</f>
        <v/>
      </c>
      <c r="X35" s="100" t="str">
        <f t="array" ref="X35">IFERROR(PERCENTILE(IF($B$3:$B$28=$B35,IF($D$3:$D$28=X$31,IF($F$3:$F$28&lt;&gt;"",$F$3:$F$28))),0.95),"")</f>
        <v/>
      </c>
      <c r="Y35" s="100" t="str">
        <f t="array" ref="Y35">IFERROR(PERCENTILE(IF($B$3:$B$28=$B35,IF($D$3:$D$28=Y$31,IF($F$3:$F$28&lt;&gt;"",$F$3:$F$28))),0.95),"")</f>
        <v/>
      </c>
      <c r="Z35" s="100">
        <f t="array" ref="Z35">IFERROR(PERCENTILE(IF($B$3:$B$28=$B35,IF($D$3:$D$28=Z$31,IF($F$3:$F$28&lt;&gt;"",$F$3:$F$28))),0.95),"")</f>
        <v>0.25</v>
      </c>
      <c r="AA35" s="100" t="str">
        <f t="array" ref="AA35">IFERROR(PERCENTILE(IF($B$3:$B$28=$B35,IF($D$3:$D$28=AA$31,IF($F$3:$F$28&lt;&gt;"",$F$3:$F$28))),0.95),"")</f>
        <v/>
      </c>
      <c r="AB35" s="100" t="str">
        <f t="array" ref="AB35">IFERROR(PERCENTILE(IF($B$3:$B$28=$B35,IF($D$3:$D$28=AB$31,IF($F$3:$F$28&lt;&gt;"",$F$3:$F$28))),0.95),"")</f>
        <v/>
      </c>
      <c r="AC35" s="100" t="str">
        <f t="array" ref="AC35">IFERROR(PERCENTILE(IF($B$3:$B$28=$B35,IF($D$3:$D$28=AC$31,IF($F$3:$F$28&lt;&gt;"",$F$3:$F$28))),0.95),"")</f>
        <v/>
      </c>
      <c r="AD35" s="100" t="str">
        <f t="array" ref="AD35">IFERROR(PERCENTILE(IF($B$3:$B$28=$B35,IF($D$3:$D$28=AD$31,IF($F$3:$F$28&lt;&gt;"",$F$3:$F$28))),0.95),"")</f>
        <v/>
      </c>
      <c r="AE35" s="100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61"/>
      <c r="G36" s="100" t="str">
        <f t="array" ref="G36">IFERROR(PERCENTILE(IF($B$3:$B$28=$B36,IF($D$3:$D$28=G$31,IF($F$3:$F$28&lt;&gt;"",$F$3:$F$28))),0.95),"")</f>
        <v/>
      </c>
      <c r="H36" s="100" t="str">
        <f t="array" ref="H36">IFERROR(PERCENTILE(IF($B$3:$B$28=$B36,IF($D$3:$D$28=H$31,IF($F$3:$F$28&lt;&gt;"",$F$3:$F$28))),0.95),"")</f>
        <v/>
      </c>
      <c r="I36" s="100" t="str">
        <f t="array" ref="I36">IFERROR(PERCENTILE(IF($B$3:$B$28=$B36,IF($D$3:$D$28=I$31,IF($F$3:$F$28&lt;&gt;"",$F$3:$F$28))),0.95),"")</f>
        <v/>
      </c>
      <c r="J36" s="100">
        <f t="array" ref="J36">IFERROR(PERCENTILE(IF($B$3:$B$28=$B36,IF($D$3:$D$28=J$31,IF($F$3:$F$28&lt;&gt;"",$F$3:$F$28))),0.95),"")</f>
        <v>0.73</v>
      </c>
      <c r="K36" s="100" t="str">
        <f t="array" ref="K36">IFERROR(PERCENTILE(IF($B$3:$B$28=$B36,IF($D$3:$D$28=K$31,IF($F$3:$F$28&lt;&gt;"",$F$3:$F$28))),0.95),"")</f>
        <v/>
      </c>
      <c r="L36" s="100" t="str">
        <f t="array" ref="L36">IFERROR(PERCENTILE(IF($B$3:$B$28=$B36,IF($D$3:$D$28=L$31,IF($F$3:$F$28&lt;&gt;"",$F$3:$F$28))),0.95),"")</f>
        <v/>
      </c>
      <c r="M36" s="100" t="str">
        <f t="array" ref="M36">IFERROR(PERCENTILE(IF($B$3:$B$28=$B36,IF($D$3:$D$28=M$31,IF($F$3:$F$28&lt;&gt;"",$F$3:$F$28))),0.95),"")</f>
        <v/>
      </c>
      <c r="N36" s="100" t="str">
        <f t="array" ref="N36">IFERROR(PERCENTILE(IF($B$3:$B$28=$B36,IF($D$3:$D$28=N$31,IF($F$3:$F$28&lt;&gt;"",$F$3:$F$28))),0.95),"")</f>
        <v/>
      </c>
      <c r="O36" s="100" t="str">
        <f t="array" ref="O36">IFERROR(PERCENTILE(IF($B$3:$B$28=$B36,IF($D$3:$D$28=O$31,IF($F$3:$F$28&lt;&gt;"",$F$3:$F$28))),0.95),"")</f>
        <v/>
      </c>
      <c r="P36" s="100" t="str">
        <f t="array" ref="P36">IFERROR(PERCENTILE(IF($B$3:$B$28=$B36,IF($D$3:$D$28=P$31,IF($F$3:$F$28&lt;&gt;"",$F$3:$F$28))),0.95),"")</f>
        <v/>
      </c>
      <c r="Q36" s="100" t="str">
        <f t="array" ref="Q36">IFERROR(PERCENTILE(IF($B$3:$B$28=$B36,IF($D$3:$D$28=Q$31,IF($F$3:$F$28&lt;&gt;"",$F$3:$F$28))),0.95),"")</f>
        <v/>
      </c>
      <c r="R36" s="100" t="str">
        <f t="array" ref="R36">IFERROR(PERCENTILE(IF($B$3:$B$28=$B36,IF($D$3:$D$28=R$31,IF($F$3:$F$28&lt;&gt;"",$F$3:$F$28))),0.95),"")</f>
        <v/>
      </c>
      <c r="S36" s="100" t="str">
        <f t="array" ref="S36">IFERROR(PERCENTILE(IF($B$3:$B$28=$B36,IF($D$3:$D$28=S$31,IF($F$3:$F$28&lt;&gt;"",$F$3:$F$28))),0.95),"")</f>
        <v/>
      </c>
      <c r="T36" s="100" t="str">
        <f t="array" ref="T36">IFERROR(PERCENTILE(IF($B$3:$B$28=$B36,IF($D$3:$D$28=T$31,IF($F$3:$F$28&lt;&gt;"",$F$3:$F$28))),0.95),"")</f>
        <v/>
      </c>
      <c r="U36" s="100" t="str">
        <f t="array" ref="U36">IFERROR(PERCENTILE(IF($B$3:$B$28=$B36,IF($D$3:$D$28=U$31,IF($F$3:$F$28&lt;&gt;"",$F$3:$F$28))),0.95),"")</f>
        <v/>
      </c>
      <c r="V36" s="100" t="str">
        <f t="array" ref="V36">IFERROR(PERCENTILE(IF($B$3:$B$28=$B36,IF($D$3:$D$28=V$31,IF($F$3:$F$28&lt;&gt;"",$F$3:$F$28))),0.95),"")</f>
        <v/>
      </c>
      <c r="W36" s="100">
        <f t="array" ref="W36">IFERROR(PERCENTILE(IF($B$3:$B$28=$B36,IF($D$3:$D$28=W$31,IF($F$3:$F$28&lt;&gt;"",$F$3:$F$28))),0.95),"")</f>
        <v>0.99</v>
      </c>
      <c r="X36" s="100" t="str">
        <f t="array" ref="X36">IFERROR(PERCENTILE(IF($B$3:$B$28=$B36,IF($D$3:$D$28=X$31,IF($F$3:$F$28&lt;&gt;"",$F$3:$F$28))),0.95),"")</f>
        <v/>
      </c>
      <c r="Y36" s="100" t="str">
        <f t="array" ref="Y36">IFERROR(PERCENTILE(IF($B$3:$B$28=$B36,IF($D$3:$D$28=Y$31,IF($F$3:$F$28&lt;&gt;"",$F$3:$F$28))),0.95),"")</f>
        <v/>
      </c>
      <c r="Z36" s="100" t="str">
        <f t="array" ref="Z36">IFERROR(PERCENTILE(IF($B$3:$B$28=$B36,IF($D$3:$D$28=Z$31,IF($F$3:$F$28&lt;&gt;"",$F$3:$F$28))),0.95),"")</f>
        <v/>
      </c>
      <c r="AA36" s="100" t="str">
        <f t="array" ref="AA36">IFERROR(PERCENTILE(IF($B$3:$B$28=$B36,IF($D$3:$D$28=AA$31,IF($F$3:$F$28&lt;&gt;"",$F$3:$F$28))),0.95),"")</f>
        <v/>
      </c>
      <c r="AB36" s="100" t="str">
        <f t="array" ref="AB36">IFERROR(PERCENTILE(IF($B$3:$B$28=$B36,IF($D$3:$D$28=AB$31,IF($F$3:$F$28&lt;&gt;"",$F$3:$F$28))),0.95),"")</f>
        <v/>
      </c>
      <c r="AC36" s="100" t="str">
        <f t="array" ref="AC36">IFERROR(PERCENTILE(IF($B$3:$B$28=$B36,IF($D$3:$D$28=AC$31,IF($F$3:$F$28&lt;&gt;"",$F$3:$F$28))),0.95),"")</f>
        <v/>
      </c>
      <c r="AD36" s="100" t="str">
        <f t="array" ref="AD36">IFERROR(PERCENTILE(IF($B$3:$B$28=$B36,IF($D$3:$D$28=AD$31,IF($F$3:$F$28&lt;&gt;"",$F$3:$F$28))),0.95),"")</f>
        <v/>
      </c>
      <c r="AE36" s="100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61"/>
      <c r="G37" s="100" t="str">
        <f t="array" ref="G37">IFERROR(PERCENTILE(IF($B$3:$B$28=$B37,IF($D$3:$D$28=G$31,IF($F$3:$F$28&lt;&gt;"",$F$3:$F$28))),0.95),"")</f>
        <v/>
      </c>
      <c r="H37" s="100" t="str">
        <f t="array" ref="H37">IFERROR(PERCENTILE(IF($B$3:$B$28=$B37,IF($D$3:$D$28=H$31,IF($F$3:$F$28&lt;&gt;"",$F$3:$F$28))),0.95),"")</f>
        <v/>
      </c>
      <c r="I37" s="100" t="str">
        <f t="array" ref="I37">IFERROR(PERCENTILE(IF($B$3:$B$28=$B37,IF($D$3:$D$28=I$31,IF($F$3:$F$28&lt;&gt;"",$F$3:$F$28))),0.95),"")</f>
        <v/>
      </c>
      <c r="J37" s="100" t="str">
        <f t="array" ref="J37">IFERROR(PERCENTILE(IF($B$3:$B$28=$B37,IF($D$3:$D$28=J$31,IF($F$3:$F$28&lt;&gt;"",$F$3:$F$28))),0.95),"")</f>
        <v/>
      </c>
      <c r="K37" s="100">
        <f t="array" ref="K37">IFERROR(PERCENTILE(IF($B$3:$B$28=$B37,IF($D$3:$D$28=K$31,IF($F$3:$F$28&lt;&gt;"",$F$3:$F$28))),0.95),"")</f>
        <v>0.99</v>
      </c>
      <c r="L37" s="100" t="str">
        <f t="array" ref="L37">IFERROR(PERCENTILE(IF($B$3:$B$28=$B37,IF($D$3:$D$28=L$31,IF($F$3:$F$28&lt;&gt;"",$F$3:$F$28))),0.95),"")</f>
        <v/>
      </c>
      <c r="M37" s="100" t="str">
        <f t="array" ref="M37">IFERROR(PERCENTILE(IF($B$3:$B$28=$B37,IF($D$3:$D$28=M$31,IF($F$3:$F$28&lt;&gt;"",$F$3:$F$28))),0.95),"")</f>
        <v/>
      </c>
      <c r="N37" s="100" t="str">
        <f t="array" ref="N37">IFERROR(PERCENTILE(IF($B$3:$B$28=$B37,IF($D$3:$D$28=N$31,IF($F$3:$F$28&lt;&gt;"",$F$3:$F$28))),0.95),"")</f>
        <v/>
      </c>
      <c r="O37" s="100" t="str">
        <f t="array" ref="O37">IFERROR(PERCENTILE(IF($B$3:$B$28=$B37,IF($D$3:$D$28=O$31,IF($F$3:$F$28&lt;&gt;"",$F$3:$F$28))),0.95),"")</f>
        <v/>
      </c>
      <c r="P37" s="100" t="str">
        <f t="array" ref="P37">IFERROR(PERCENTILE(IF($B$3:$B$28=$B37,IF($D$3:$D$28=P$31,IF($F$3:$F$28&lt;&gt;"",$F$3:$F$28))),0.95),"")</f>
        <v/>
      </c>
      <c r="Q37" s="100" t="str">
        <f t="array" ref="Q37">IFERROR(PERCENTILE(IF($B$3:$B$28=$B37,IF($D$3:$D$28=Q$31,IF($F$3:$F$28&lt;&gt;"",$F$3:$F$28))),0.95),"")</f>
        <v/>
      </c>
      <c r="R37" s="100" t="str">
        <f t="array" ref="R37">IFERROR(PERCENTILE(IF($B$3:$B$28=$B37,IF($D$3:$D$28=R$31,IF($F$3:$F$28&lt;&gt;"",$F$3:$F$28))),0.95),"")</f>
        <v/>
      </c>
      <c r="S37" s="100" t="str">
        <f t="array" ref="S37">IFERROR(PERCENTILE(IF($B$3:$B$28=$B37,IF($D$3:$D$28=S$31,IF($F$3:$F$28&lt;&gt;"",$F$3:$F$28))),0.95),"")</f>
        <v/>
      </c>
      <c r="T37" s="100" t="str">
        <f t="array" ref="T37">IFERROR(PERCENTILE(IF($B$3:$B$28=$B37,IF($D$3:$D$28=T$31,IF($F$3:$F$28&lt;&gt;"",$F$3:$F$28))),0.95),"")</f>
        <v/>
      </c>
      <c r="U37" s="100" t="str">
        <f t="array" ref="U37">IFERROR(PERCENTILE(IF($B$3:$B$28=$B37,IF($D$3:$D$28=U$31,IF($F$3:$F$28&lt;&gt;"",$F$3:$F$28))),0.95),"")</f>
        <v/>
      </c>
      <c r="V37" s="100" t="str">
        <f t="array" ref="V37">IFERROR(PERCENTILE(IF($B$3:$B$28=$B37,IF($D$3:$D$28=V$31,IF($F$3:$F$28&lt;&gt;"",$F$3:$F$28))),0.95),"")</f>
        <v/>
      </c>
      <c r="W37" s="100" t="str">
        <f t="array" ref="W37">IFERROR(PERCENTILE(IF($B$3:$B$28=$B37,IF($D$3:$D$28=W$31,IF($F$3:$F$28&lt;&gt;"",$F$3:$F$28))),0.95),"")</f>
        <v/>
      </c>
      <c r="X37" s="100">
        <f t="array" ref="X37">IFERROR(PERCENTILE(IF($B$3:$B$28=$B37,IF($D$3:$D$28=X$31,IF($F$3:$F$28&lt;&gt;"",$F$3:$F$28))),0.95),"")</f>
        <v>0.11</v>
      </c>
      <c r="Y37" s="100" t="str">
        <f t="array" ref="Y37">IFERROR(PERCENTILE(IF($B$3:$B$28=$B37,IF($D$3:$D$28=Y$31,IF($F$3:$F$28&lt;&gt;"",$F$3:$F$28))),0.95),"")</f>
        <v/>
      </c>
      <c r="Z37" s="100" t="str">
        <f t="array" ref="Z37">IFERROR(PERCENTILE(IF($B$3:$B$28=$B37,IF($D$3:$D$28=Z$31,IF($F$3:$F$28&lt;&gt;"",$F$3:$F$28))),0.95),"")</f>
        <v/>
      </c>
      <c r="AA37" s="100" t="str">
        <f t="array" ref="AA37">IFERROR(PERCENTILE(IF($B$3:$B$28=$B37,IF($D$3:$D$28=AA$31,IF($F$3:$F$28&lt;&gt;"",$F$3:$F$28))),0.95),"")</f>
        <v/>
      </c>
      <c r="AB37" s="100" t="str">
        <f t="array" ref="AB37">IFERROR(PERCENTILE(IF($B$3:$B$28=$B37,IF($D$3:$D$28=AB$31,IF($F$3:$F$28&lt;&gt;"",$F$3:$F$28))),0.95),"")</f>
        <v/>
      </c>
      <c r="AC37" s="100" t="str">
        <f t="array" ref="AC37">IFERROR(PERCENTILE(IF($B$3:$B$28=$B37,IF($D$3:$D$28=AC$31,IF($F$3:$F$28&lt;&gt;"",$F$3:$F$28))),0.95),"")</f>
        <v/>
      </c>
      <c r="AD37" s="100" t="str">
        <f t="array" ref="AD37">IFERROR(PERCENTILE(IF($B$3:$B$28=$B37,IF($D$3:$D$28=AD$31,IF($F$3:$F$28&lt;&gt;"",$F$3:$F$28))),0.95),"")</f>
        <v/>
      </c>
      <c r="AE37" s="100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61"/>
      <c r="G38" s="100" t="str">
        <f t="array" ref="G38">IFERROR(PERCENTILE(IF($B$3:$B$28=$B38,IF($D$3:$D$28=G$31,IF($F$3:$F$28&lt;&gt;"",$F$3:$F$28))),0.95),"")</f>
        <v/>
      </c>
      <c r="H38" s="100" t="str">
        <f t="array" ref="H38">IFERROR(PERCENTILE(IF($B$3:$B$28=$B38,IF($D$3:$D$28=H$31,IF($F$3:$F$28&lt;&gt;"",$F$3:$F$28))),0.95),"")</f>
        <v/>
      </c>
      <c r="I38" s="100" t="str">
        <f t="array" ref="I38">IFERROR(PERCENTILE(IF($B$3:$B$28=$B38,IF($D$3:$D$28=I$31,IF($F$3:$F$28&lt;&gt;"",$F$3:$F$28))),0.95),"")</f>
        <v/>
      </c>
      <c r="J38" s="100" t="str">
        <f t="array" ref="J38">IFERROR(PERCENTILE(IF($B$3:$B$28=$B38,IF($D$3:$D$28=J$31,IF($F$3:$F$28&lt;&gt;"",$F$3:$F$28))),0.95),"")</f>
        <v/>
      </c>
      <c r="K38" s="100" t="str">
        <f t="array" ref="K38">IFERROR(PERCENTILE(IF($B$3:$B$28=$B38,IF($D$3:$D$28=K$31,IF($F$3:$F$28&lt;&gt;"",$F$3:$F$28))),0.95),"")</f>
        <v/>
      </c>
      <c r="L38" s="100" t="str">
        <f t="array" ref="L38">IFERROR(PERCENTILE(IF($B$3:$B$28=$B38,IF($D$3:$D$28=L$31,IF($F$3:$F$28&lt;&gt;"",$F$3:$F$28))),0.95),"")</f>
        <v/>
      </c>
      <c r="M38" s="100" t="str">
        <f t="array" ref="M38">IFERROR(PERCENTILE(IF($B$3:$B$28=$B38,IF($D$3:$D$28=M$31,IF($F$3:$F$28&lt;&gt;"",$F$3:$F$28))),0.95),"")</f>
        <v/>
      </c>
      <c r="N38" s="100" t="str">
        <f t="array" ref="N38">IFERROR(PERCENTILE(IF($B$3:$B$28=$B38,IF($D$3:$D$28=N$31,IF($F$3:$F$28&lt;&gt;"",$F$3:$F$28))),0.95),"")</f>
        <v/>
      </c>
      <c r="O38" s="100">
        <f t="array" ref="O38">IFERROR(PERCENTILE(IF($B$3:$B$28=$B38,IF($D$3:$D$28=O$31,IF($F$3:$F$28&lt;&gt;"",$F$3:$F$28))),0.95),"")</f>
        <v>0.33</v>
      </c>
      <c r="P38" s="100" t="str">
        <f t="array" ref="P38">IFERROR(PERCENTILE(IF($B$3:$B$28=$B38,IF($D$3:$D$28=P$31,IF($F$3:$F$28&lt;&gt;"",$F$3:$F$28))),0.95),"")</f>
        <v/>
      </c>
      <c r="Q38" s="100" t="str">
        <f t="array" ref="Q38">IFERROR(PERCENTILE(IF($B$3:$B$28=$B38,IF($D$3:$D$28=Q$31,IF($F$3:$F$28&lt;&gt;"",$F$3:$F$28))),0.95),"")</f>
        <v/>
      </c>
      <c r="R38" s="100" t="str">
        <f t="array" ref="R38">IFERROR(PERCENTILE(IF($B$3:$B$28=$B38,IF($D$3:$D$28=R$31,IF($F$3:$F$28&lt;&gt;"",$F$3:$F$28))),0.95),"")</f>
        <v/>
      </c>
      <c r="S38" s="100" t="str">
        <f t="array" ref="S38">IFERROR(PERCENTILE(IF($B$3:$B$28=$B38,IF($D$3:$D$28=S$31,IF($F$3:$F$28&lt;&gt;"",$F$3:$F$28))),0.95),"")</f>
        <v/>
      </c>
      <c r="T38" s="100" t="str">
        <f t="array" ref="T38">IFERROR(PERCENTILE(IF($B$3:$B$28=$B38,IF($D$3:$D$28=T$31,IF($F$3:$F$28&lt;&gt;"",$F$3:$F$28))),0.95),"")</f>
        <v/>
      </c>
      <c r="U38" s="100" t="str">
        <f t="array" ref="U38">IFERROR(PERCENTILE(IF($B$3:$B$28=$B38,IF($D$3:$D$28=U$31,IF($F$3:$F$28&lt;&gt;"",$F$3:$F$28))),0.95),"")</f>
        <v/>
      </c>
      <c r="V38" s="100" t="str">
        <f t="array" ref="V38">IFERROR(PERCENTILE(IF($B$3:$B$28=$B38,IF($D$3:$D$28=V$31,IF($F$3:$F$28&lt;&gt;"",$F$3:$F$28))),0.95),"")</f>
        <v/>
      </c>
      <c r="W38" s="100" t="str">
        <f t="array" ref="W38">IFERROR(PERCENTILE(IF($B$3:$B$28=$B38,IF($D$3:$D$28=W$31,IF($F$3:$F$28&lt;&gt;"",$F$3:$F$28))),0.95),"")</f>
        <v/>
      </c>
      <c r="X38" s="100" t="str">
        <f t="array" ref="X38">IFERROR(PERCENTILE(IF($B$3:$B$28=$B38,IF($D$3:$D$28=X$31,IF($F$3:$F$28&lt;&gt;"",$F$3:$F$28))),0.95),"")</f>
        <v/>
      </c>
      <c r="Y38" s="100" t="str">
        <f t="array" ref="Y38">IFERROR(PERCENTILE(IF($B$3:$B$28=$B38,IF($D$3:$D$28=Y$31,IF($F$3:$F$28&lt;&gt;"",$F$3:$F$28))),0.95),"")</f>
        <v/>
      </c>
      <c r="Z38" s="100" t="str">
        <f t="array" ref="Z38">IFERROR(PERCENTILE(IF($B$3:$B$28=$B38,IF($D$3:$D$28=Z$31,IF($F$3:$F$28&lt;&gt;"",$F$3:$F$28))),0.95),"")</f>
        <v/>
      </c>
      <c r="AA38" s="100" t="str">
        <f t="array" ref="AA38">IFERROR(PERCENTILE(IF($B$3:$B$28=$B38,IF($D$3:$D$28=AA$31,IF($F$3:$F$28&lt;&gt;"",$F$3:$F$28))),0.95),"")</f>
        <v/>
      </c>
      <c r="AB38" s="100">
        <f t="array" ref="AB38">IFERROR(PERCENTILE(IF($B$3:$B$28=$B38,IF($D$3:$D$28=AB$31,IF($F$3:$F$28&lt;&gt;"",$F$3:$F$28))),0.95),"")</f>
        <v>0.19</v>
      </c>
      <c r="AC38" s="100" t="str">
        <f t="array" ref="AC38">IFERROR(PERCENTILE(IF($B$3:$B$28=$B38,IF($D$3:$D$28=AC$31,IF($F$3:$F$28&lt;&gt;"",$F$3:$F$28))),0.95),"")</f>
        <v/>
      </c>
      <c r="AD38" s="100" t="str">
        <f t="array" ref="AD38">IFERROR(PERCENTILE(IF($B$3:$B$28=$B38,IF($D$3:$D$28=AD$31,IF($F$3:$F$28&lt;&gt;"",$F$3:$F$28))),0.95),"")</f>
        <v/>
      </c>
      <c r="AE38" s="100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61"/>
      <c r="G39" s="100" t="str">
        <f t="array" ref="G39">IFERROR(PERCENTILE(IF($B$3:$B$28=$B39,IF($D$3:$D$28=G$31,IF($F$3:$F$28&lt;&gt;"",$F$3:$F$28))),0.95),"")</f>
        <v/>
      </c>
      <c r="H39" s="100" t="str">
        <f t="array" ref="H39">IFERROR(PERCENTILE(IF($B$3:$B$28=$B39,IF($D$3:$D$28=H$31,IF($F$3:$F$28&lt;&gt;"",$F$3:$F$28))),0.95),"")</f>
        <v/>
      </c>
      <c r="I39" s="100" t="str">
        <f t="array" ref="I39">IFERROR(PERCENTILE(IF($B$3:$B$28=$B39,IF($D$3:$D$28=I$31,IF($F$3:$F$28&lt;&gt;"",$F$3:$F$28))),0.95),"")</f>
        <v/>
      </c>
      <c r="J39" s="100" t="str">
        <f t="array" ref="J39">IFERROR(PERCENTILE(IF($B$3:$B$28=$B39,IF($D$3:$D$28=J$31,IF($F$3:$F$28&lt;&gt;"",$F$3:$F$28))),0.95),"")</f>
        <v/>
      </c>
      <c r="K39" s="100" t="str">
        <f t="array" ref="K39">IFERROR(PERCENTILE(IF($B$3:$B$28=$B39,IF($D$3:$D$28=K$31,IF($F$3:$F$28&lt;&gt;"",$F$3:$F$28))),0.95),"")</f>
        <v/>
      </c>
      <c r="L39" s="100" t="str">
        <f t="array" ref="L39">IFERROR(PERCENTILE(IF($B$3:$B$28=$B39,IF($D$3:$D$28=L$31,IF($F$3:$F$28&lt;&gt;"",$F$3:$F$28))),0.95),"")</f>
        <v/>
      </c>
      <c r="M39" s="100" t="str">
        <f t="array" ref="M39">IFERROR(PERCENTILE(IF($B$3:$B$28=$B39,IF($D$3:$D$28=M$31,IF($F$3:$F$28&lt;&gt;"",$F$3:$F$28))),0.95),"")</f>
        <v/>
      </c>
      <c r="N39" s="100" t="str">
        <f t="array" ref="N39">IFERROR(PERCENTILE(IF($B$3:$B$28=$B39,IF($D$3:$D$28=N$31,IF($F$3:$F$28&lt;&gt;"",$F$3:$F$28))),0.95),"")</f>
        <v/>
      </c>
      <c r="O39" s="100" t="str">
        <f t="array" ref="O39">IFERROR(PERCENTILE(IF($B$3:$B$28=$B39,IF($D$3:$D$28=O$31,IF($F$3:$F$28&lt;&gt;"",$F$3:$F$28))),0.95),"")</f>
        <v/>
      </c>
      <c r="P39" s="100">
        <f t="array" ref="P39">IFERROR(PERCENTILE(IF($B$3:$B$28=$B39,IF($D$3:$D$28=P$31,IF($F$3:$F$28&lt;&gt;"",$F$3:$F$28))),0.95),"")</f>
        <v>0.19</v>
      </c>
      <c r="Q39" s="100" t="str">
        <f t="array" ref="Q39">IFERROR(PERCENTILE(IF($B$3:$B$28=$B39,IF($D$3:$D$28=Q$31,IF($F$3:$F$28&lt;&gt;"",$F$3:$F$28))),0.95),"")</f>
        <v/>
      </c>
      <c r="R39" s="100" t="str">
        <f t="array" ref="R39">IFERROR(PERCENTILE(IF($B$3:$B$28=$B39,IF($D$3:$D$28=R$31,IF($F$3:$F$28&lt;&gt;"",$F$3:$F$28))),0.95),"")</f>
        <v/>
      </c>
      <c r="S39" s="100" t="str">
        <f t="array" ref="S39">IFERROR(PERCENTILE(IF($B$3:$B$28=$B39,IF($D$3:$D$28=S$31,IF($F$3:$F$28&lt;&gt;"",$F$3:$F$28))),0.95),"")</f>
        <v/>
      </c>
      <c r="T39" s="100" t="str">
        <f t="array" ref="T39">IFERROR(PERCENTILE(IF($B$3:$B$28=$B39,IF($D$3:$D$28=T$31,IF($F$3:$F$28&lt;&gt;"",$F$3:$F$28))),0.95),"")</f>
        <v/>
      </c>
      <c r="U39" s="100" t="str">
        <f t="array" ref="U39">IFERROR(PERCENTILE(IF($B$3:$B$28=$B39,IF($D$3:$D$28=U$31,IF($F$3:$F$28&lt;&gt;"",$F$3:$F$28))),0.95),"")</f>
        <v/>
      </c>
      <c r="V39" s="100" t="str">
        <f t="array" ref="V39">IFERROR(PERCENTILE(IF($B$3:$B$28=$B39,IF($D$3:$D$28=V$31,IF($F$3:$F$28&lt;&gt;"",$F$3:$F$28))),0.95),"")</f>
        <v/>
      </c>
      <c r="W39" s="100" t="str">
        <f t="array" ref="W39">IFERROR(PERCENTILE(IF($B$3:$B$28=$B39,IF($D$3:$D$28=W$31,IF($F$3:$F$28&lt;&gt;"",$F$3:$F$28))),0.95),"")</f>
        <v/>
      </c>
      <c r="X39" s="100" t="str">
        <f t="array" ref="X39">IFERROR(PERCENTILE(IF($B$3:$B$28=$B39,IF($D$3:$D$28=X$31,IF($F$3:$F$28&lt;&gt;"",$F$3:$F$28))),0.95),"")</f>
        <v/>
      </c>
      <c r="Y39" s="100" t="str">
        <f t="array" ref="Y39">IFERROR(PERCENTILE(IF($B$3:$B$28=$B39,IF($D$3:$D$28=Y$31,IF($F$3:$F$28&lt;&gt;"",$F$3:$F$28))),0.95),"")</f>
        <v/>
      </c>
      <c r="Z39" s="100" t="str">
        <f t="array" ref="Z39">IFERROR(PERCENTILE(IF($B$3:$B$28=$B39,IF($D$3:$D$28=Z$31,IF($F$3:$F$28&lt;&gt;"",$F$3:$F$28))),0.95),"")</f>
        <v/>
      </c>
      <c r="AA39" s="100" t="str">
        <f t="array" ref="AA39">IFERROR(PERCENTILE(IF($B$3:$B$28=$B39,IF($D$3:$D$28=AA$31,IF($F$3:$F$28&lt;&gt;"",$F$3:$F$28))),0.95),"")</f>
        <v/>
      </c>
      <c r="AB39" s="100" t="str">
        <f t="array" ref="AB39">IFERROR(PERCENTILE(IF($B$3:$B$28=$B39,IF($D$3:$D$28=AB$31,IF($F$3:$F$28&lt;&gt;"",$F$3:$F$28))),0.95),"")</f>
        <v/>
      </c>
      <c r="AC39" s="100">
        <f t="array" ref="AC39">IFERROR(PERCENTILE(IF($B$3:$B$28=$B39,IF($D$3:$D$28=AC$31,IF($F$3:$F$28&lt;&gt;"",$F$3:$F$28))),0.95),"")</f>
        <v>0.5</v>
      </c>
      <c r="AD39" s="100" t="str">
        <f t="array" ref="AD39">IFERROR(PERCENTILE(IF($B$3:$B$28=$B39,IF($D$3:$D$28=AD$31,IF($F$3:$F$28&lt;&gt;"",$F$3:$F$28))),0.95),"")</f>
        <v/>
      </c>
      <c r="AE39" s="100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61"/>
      <c r="G40" s="100" t="str">
        <f t="array" ref="G40">IFERROR(PERCENTILE(IF($B$3:$B$28=$B40,IF($D$3:$D$28=G$31,IF($F$3:$F$28&lt;&gt;"",$F$3:$F$28))),0.95),"")</f>
        <v/>
      </c>
      <c r="H40" s="100" t="str">
        <f t="array" ref="H40">IFERROR(PERCENTILE(IF($B$3:$B$28=$B40,IF($D$3:$D$28=H$31,IF($F$3:$F$28&lt;&gt;"",$F$3:$F$28))),0.95),"")</f>
        <v/>
      </c>
      <c r="I40" s="100" t="str">
        <f t="array" ref="I40">IFERROR(PERCENTILE(IF($B$3:$B$28=$B40,IF($D$3:$D$28=I$31,IF($F$3:$F$28&lt;&gt;"",$F$3:$F$28))),0.95),"")</f>
        <v/>
      </c>
      <c r="J40" s="100" t="str">
        <f t="array" ref="J40">IFERROR(PERCENTILE(IF($B$3:$B$28=$B40,IF($D$3:$D$28=J$31,IF($F$3:$F$28&lt;&gt;"",$F$3:$F$28))),0.95),"")</f>
        <v/>
      </c>
      <c r="K40" s="100" t="str">
        <f t="array" ref="K40">IFERROR(PERCENTILE(IF($B$3:$B$28=$B40,IF($D$3:$D$28=K$31,IF($F$3:$F$28&lt;&gt;"",$F$3:$F$28))),0.95),"")</f>
        <v/>
      </c>
      <c r="L40" s="100" t="str">
        <f t="array" ref="L40">IFERROR(PERCENTILE(IF($B$3:$B$28=$B40,IF($D$3:$D$28=L$31,IF($F$3:$F$28&lt;&gt;"",$F$3:$F$28))),0.95),"")</f>
        <v/>
      </c>
      <c r="M40" s="100" t="str">
        <f t="array" ref="M40">IFERROR(PERCENTILE(IF($B$3:$B$28=$B40,IF($D$3:$D$28=M$31,IF($F$3:$F$28&lt;&gt;"",$F$3:$F$28))),0.95),"")</f>
        <v/>
      </c>
      <c r="N40" s="100" t="str">
        <f t="array" ref="N40">IFERROR(PERCENTILE(IF($B$3:$B$28=$B40,IF($D$3:$D$28=N$31,IF($F$3:$F$28&lt;&gt;"",$F$3:$F$28))),0.95),"")</f>
        <v/>
      </c>
      <c r="O40" s="100" t="str">
        <f t="array" ref="O40">IFERROR(PERCENTILE(IF($B$3:$B$28=$B40,IF($D$3:$D$28=O$31,IF($F$3:$F$28&lt;&gt;"",$F$3:$F$28))),0.95),"")</f>
        <v/>
      </c>
      <c r="P40" s="100" t="str">
        <f t="array" ref="P40">IFERROR(PERCENTILE(IF($B$3:$B$28=$B40,IF($D$3:$D$28=P$31,IF($F$3:$F$28&lt;&gt;"",$F$3:$F$28))),0.95),"")</f>
        <v/>
      </c>
      <c r="Q40" s="100">
        <f t="array" ref="Q40">IFERROR(PERCENTILE(IF($B$3:$B$28=$B40,IF($D$3:$D$28=Q$31,IF($F$3:$F$28&lt;&gt;"",$F$3:$F$28))),0.95),"")</f>
        <v>0.5</v>
      </c>
      <c r="R40" s="100" t="str">
        <f t="array" ref="R40">IFERROR(PERCENTILE(IF($B$3:$B$28=$B40,IF($D$3:$D$28=R$31,IF($F$3:$F$28&lt;&gt;"",$F$3:$F$28))),0.95),"")</f>
        <v/>
      </c>
      <c r="S40" s="100" t="str">
        <f t="array" ref="S40">IFERROR(PERCENTILE(IF($B$3:$B$28=$B40,IF($D$3:$D$28=S$31,IF($F$3:$F$28&lt;&gt;"",$F$3:$F$28))),0.95),"")</f>
        <v/>
      </c>
      <c r="T40" s="100" t="str">
        <f t="array" ref="T40">IFERROR(PERCENTILE(IF($B$3:$B$28=$B40,IF($D$3:$D$28=T$31,IF($F$3:$F$28&lt;&gt;"",$F$3:$F$28))),0.95),"")</f>
        <v/>
      </c>
      <c r="U40" s="100" t="str">
        <f t="array" ref="U40">IFERROR(PERCENTILE(IF($B$3:$B$28=$B40,IF($D$3:$D$28=U$31,IF($F$3:$F$28&lt;&gt;"",$F$3:$F$28))),0.95),"")</f>
        <v/>
      </c>
      <c r="V40" s="100" t="str">
        <f t="array" ref="V40">IFERROR(PERCENTILE(IF($B$3:$B$28=$B40,IF($D$3:$D$28=V$31,IF($F$3:$F$28&lt;&gt;"",$F$3:$F$28))),0.95),"")</f>
        <v/>
      </c>
      <c r="W40" s="100" t="str">
        <f t="array" ref="W40">IFERROR(PERCENTILE(IF($B$3:$B$28=$B40,IF($D$3:$D$28=W$31,IF($F$3:$F$28&lt;&gt;"",$F$3:$F$28))),0.95),"")</f>
        <v/>
      </c>
      <c r="X40" s="100" t="str">
        <f t="array" ref="X40">IFERROR(PERCENTILE(IF($B$3:$B$28=$B40,IF($D$3:$D$28=X$31,IF($F$3:$F$28&lt;&gt;"",$F$3:$F$28))),0.95),"")</f>
        <v/>
      </c>
      <c r="Y40" s="100" t="str">
        <f t="array" ref="Y40">IFERROR(PERCENTILE(IF($B$3:$B$28=$B40,IF($D$3:$D$28=Y$31,IF($F$3:$F$28&lt;&gt;"",$F$3:$F$28))),0.95),"")</f>
        <v/>
      </c>
      <c r="Z40" s="100" t="str">
        <f t="array" ref="Z40">IFERROR(PERCENTILE(IF($B$3:$B$28=$B40,IF($D$3:$D$28=Z$31,IF($F$3:$F$28&lt;&gt;"",$F$3:$F$28))),0.95),"")</f>
        <v/>
      </c>
      <c r="AA40" s="100" t="str">
        <f t="array" ref="AA40">IFERROR(PERCENTILE(IF($B$3:$B$28=$B40,IF($D$3:$D$28=AA$31,IF($F$3:$F$28&lt;&gt;"",$F$3:$F$28))),0.95),"")</f>
        <v/>
      </c>
      <c r="AB40" s="100" t="str">
        <f t="array" ref="AB40">IFERROR(PERCENTILE(IF($B$3:$B$28=$B40,IF($D$3:$D$28=AB$31,IF($F$3:$F$28&lt;&gt;"",$F$3:$F$28))),0.95),"")</f>
        <v/>
      </c>
      <c r="AC40" s="100" t="str">
        <f t="array" ref="AC40">IFERROR(PERCENTILE(IF($B$3:$B$28=$B40,IF($D$3:$D$28=AC$31,IF($F$3:$F$28&lt;&gt;"",$F$3:$F$28))),0.95),"")</f>
        <v/>
      </c>
      <c r="AD40" s="100">
        <f t="array" ref="AD40">IFERROR(PERCENTILE(IF($B$3:$B$28=$B40,IF($D$3:$D$28=AD$31,IF($F$3:$F$28&lt;&gt;"",$F$3:$F$28))),0.95),"")</f>
        <v>0.5</v>
      </c>
      <c r="AE40" s="100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61"/>
      <c r="G41" s="100" t="str">
        <f t="array" ref="G41">IFERROR(PERCENTILE(IF($B$3:$B$28=$B41,IF($D$3:$D$28=G$31,IF($F$3:$F$28&lt;&gt;"",$F$3:$F$28))),0.95),"")</f>
        <v/>
      </c>
      <c r="H41" s="100" t="str">
        <f t="array" ref="H41">IFERROR(PERCENTILE(IF($B$3:$B$28=$B41,IF($D$3:$D$28=H$31,IF($F$3:$F$28&lt;&gt;"",$F$3:$F$28))),0.95),"")</f>
        <v/>
      </c>
      <c r="I41" s="100" t="str">
        <f t="array" ref="I41">IFERROR(PERCENTILE(IF($B$3:$B$28=$B41,IF($D$3:$D$28=I$31,IF($F$3:$F$28&lt;&gt;"",$F$3:$F$28))),0.95),"")</f>
        <v/>
      </c>
      <c r="J41" s="100" t="str">
        <f t="array" ref="J41">IFERROR(PERCENTILE(IF($B$3:$B$28=$B41,IF($D$3:$D$28=J$31,IF($F$3:$F$28&lt;&gt;"",$F$3:$F$28))),0.95),"")</f>
        <v/>
      </c>
      <c r="K41" s="100" t="str">
        <f t="array" ref="K41">IFERROR(PERCENTILE(IF($B$3:$B$28=$B41,IF($D$3:$D$28=K$31,IF($F$3:$F$28&lt;&gt;"",$F$3:$F$28))),0.95),"")</f>
        <v/>
      </c>
      <c r="L41" s="100" t="str">
        <f t="array" ref="L41">IFERROR(PERCENTILE(IF($B$3:$B$28=$B41,IF($D$3:$D$28=L$31,IF($F$3:$F$28&lt;&gt;"",$F$3:$F$28))),0.95),"")</f>
        <v/>
      </c>
      <c r="M41" s="100" t="str">
        <f t="array" ref="M41">IFERROR(PERCENTILE(IF($B$3:$B$28=$B41,IF($D$3:$D$28=M$31,IF($F$3:$F$28&lt;&gt;"",$F$3:$F$28))),0.95),"")</f>
        <v/>
      </c>
      <c r="N41" s="100" t="str">
        <f t="array" ref="N41">IFERROR(PERCENTILE(IF($B$3:$B$28=$B41,IF($D$3:$D$28=N$31,IF($F$3:$F$28&lt;&gt;"",$F$3:$F$28))),0.95),"")</f>
        <v/>
      </c>
      <c r="O41" s="100" t="str">
        <f t="array" ref="O41">IFERROR(PERCENTILE(IF($B$3:$B$28=$B41,IF($D$3:$D$28=O$31,IF($F$3:$F$28&lt;&gt;"",$F$3:$F$28))),0.95),"")</f>
        <v/>
      </c>
      <c r="P41" s="100" t="str">
        <f t="array" ref="P41">IFERROR(PERCENTILE(IF($B$3:$B$28=$B41,IF($D$3:$D$28=P$31,IF($F$3:$F$28&lt;&gt;"",$F$3:$F$28))),0.95),"")</f>
        <v/>
      </c>
      <c r="Q41" s="100" t="str">
        <f t="array" ref="Q41">IFERROR(PERCENTILE(IF($B$3:$B$28=$B41,IF($D$3:$D$28=Q$31,IF($F$3:$F$28&lt;&gt;"",$F$3:$F$28))),0.95),"")</f>
        <v/>
      </c>
      <c r="R41" s="100">
        <f t="array" ref="R41">IFERROR(PERCENTILE(IF($B$3:$B$28=$B41,IF($D$3:$D$28=R$31,IF($F$3:$F$28&lt;&gt;"",$F$3:$F$28))),0.95),"")</f>
        <v>0.5</v>
      </c>
      <c r="S41" s="100" t="str">
        <f t="array" ref="S41">IFERROR(PERCENTILE(IF($B$3:$B$28=$B41,IF($D$3:$D$28=S$31,IF($F$3:$F$28&lt;&gt;"",$F$3:$F$28))),0.95),"")</f>
        <v/>
      </c>
      <c r="T41" s="100" t="str">
        <f t="array" ref="T41">IFERROR(PERCENTILE(IF($B$3:$B$28=$B41,IF($D$3:$D$28=T$31,IF($F$3:$F$28&lt;&gt;"",$F$3:$F$28))),0.95),"")</f>
        <v/>
      </c>
      <c r="U41" s="100" t="str">
        <f t="array" ref="U41">IFERROR(PERCENTILE(IF($B$3:$B$28=$B41,IF($D$3:$D$28=U$31,IF($F$3:$F$28&lt;&gt;"",$F$3:$F$28))),0.95),"")</f>
        <v/>
      </c>
      <c r="V41" s="100" t="str">
        <f t="array" ref="V41">IFERROR(PERCENTILE(IF($B$3:$B$28=$B41,IF($D$3:$D$28=V$31,IF($F$3:$F$28&lt;&gt;"",$F$3:$F$28))),0.95),"")</f>
        <v/>
      </c>
      <c r="W41" s="100" t="str">
        <f t="array" ref="W41">IFERROR(PERCENTILE(IF($B$3:$B$28=$B41,IF($D$3:$D$28=W$31,IF($F$3:$F$28&lt;&gt;"",$F$3:$F$28))),0.95),"")</f>
        <v/>
      </c>
      <c r="X41" s="100" t="str">
        <f t="array" ref="X41">IFERROR(PERCENTILE(IF($B$3:$B$28=$B41,IF($D$3:$D$28=X$31,IF($F$3:$F$28&lt;&gt;"",$F$3:$F$28))),0.95),"")</f>
        <v/>
      </c>
      <c r="Y41" s="100" t="str">
        <f t="array" ref="Y41">IFERROR(PERCENTILE(IF($B$3:$B$28=$B41,IF($D$3:$D$28=Y$31,IF($F$3:$F$28&lt;&gt;"",$F$3:$F$28))),0.95),"")</f>
        <v/>
      </c>
      <c r="Z41" s="100" t="str">
        <f t="array" ref="Z41">IFERROR(PERCENTILE(IF($B$3:$B$28=$B41,IF($D$3:$D$28=Z$31,IF($F$3:$F$28&lt;&gt;"",$F$3:$F$28))),0.95),"")</f>
        <v/>
      </c>
      <c r="AA41" s="100" t="str">
        <f t="array" ref="AA41">IFERROR(PERCENTILE(IF($B$3:$B$28=$B41,IF($D$3:$D$28=AA$31,IF($F$3:$F$28&lt;&gt;"",$F$3:$F$28))),0.95),"")</f>
        <v/>
      </c>
      <c r="AB41" s="100" t="str">
        <f t="array" ref="AB41">IFERROR(PERCENTILE(IF($B$3:$B$28=$B41,IF($D$3:$D$28=AB$31,IF($F$3:$F$28&lt;&gt;"",$F$3:$F$28))),0.95),"")</f>
        <v/>
      </c>
      <c r="AC41" s="100" t="str">
        <f t="array" ref="AC41">IFERROR(PERCENTILE(IF($B$3:$B$28=$B41,IF($D$3:$D$28=AC$31,IF($F$3:$F$28&lt;&gt;"",$F$3:$F$28))),0.95),"")</f>
        <v/>
      </c>
      <c r="AD41" s="100" t="str">
        <f t="array" ref="AD41">IFERROR(PERCENTILE(IF($B$3:$B$28=$B41,IF($D$3:$D$28=AD$31,IF($F$3:$F$28&lt;&gt;"",$F$3:$F$28))),0.95),"")</f>
        <v/>
      </c>
      <c r="AE41" s="100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61"/>
      <c r="G42" s="100" t="str">
        <f t="array" ref="G42">IFERROR(PERCENTILE(IF($B$3:$B$28=$B42,IF($D$3:$D$28=G$31,IF($F$3:$F$28&lt;&gt;"",$F$3:$F$28))),0.95),"")</f>
        <v/>
      </c>
      <c r="H42" s="100" t="str">
        <f t="array" ref="H42">IFERROR(PERCENTILE(IF($B$3:$B$28=$B42,IF($D$3:$D$28=H$31,IF($F$3:$F$28&lt;&gt;"",$F$3:$F$28))),0.95),"")</f>
        <v/>
      </c>
      <c r="I42" s="100" t="str">
        <f t="array" ref="I42">IFERROR(PERCENTILE(IF($B$3:$B$28=$B42,IF($D$3:$D$28=I$31,IF($F$3:$F$28&lt;&gt;"",$F$3:$F$28))),0.95),"")</f>
        <v/>
      </c>
      <c r="J42" s="100" t="str">
        <f t="array" ref="J42">IFERROR(PERCENTILE(IF($B$3:$B$28=$B42,IF($D$3:$D$28=J$31,IF($F$3:$F$28&lt;&gt;"",$F$3:$F$28))),0.95),"")</f>
        <v/>
      </c>
      <c r="K42" s="100" t="str">
        <f t="array" ref="K42">IFERROR(PERCENTILE(IF($B$3:$B$28=$B42,IF($D$3:$D$28=K$31,IF($F$3:$F$28&lt;&gt;"",$F$3:$F$28))),0.95),"")</f>
        <v/>
      </c>
      <c r="L42" s="100" t="str">
        <f t="array" ref="L42">IFERROR(PERCENTILE(IF($B$3:$B$28=$B42,IF($D$3:$D$28=L$31,IF($F$3:$F$28&lt;&gt;"",$F$3:$F$28))),0.95),"")</f>
        <v/>
      </c>
      <c r="M42" s="100" t="str">
        <f t="array" ref="M42">IFERROR(PERCENTILE(IF($B$3:$B$28=$B42,IF($D$3:$D$28=M$31,IF($F$3:$F$28&lt;&gt;"",$F$3:$F$28))),0.95),"")</f>
        <v/>
      </c>
      <c r="N42" s="100" t="str">
        <f t="array" ref="N42">IFERROR(PERCENTILE(IF($B$3:$B$28=$B42,IF($D$3:$D$28=N$31,IF($F$3:$F$28&lt;&gt;"",$F$3:$F$28))),0.95),"")</f>
        <v/>
      </c>
      <c r="O42" s="100" t="str">
        <f t="array" ref="O42">IFERROR(PERCENTILE(IF($B$3:$B$28=$B42,IF($D$3:$D$28=O$31,IF($F$3:$F$28&lt;&gt;"",$F$3:$F$28))),0.95),"")</f>
        <v/>
      </c>
      <c r="P42" s="100" t="str">
        <f t="array" ref="P42">IFERROR(PERCENTILE(IF($B$3:$B$28=$B42,IF($D$3:$D$28=P$31,IF($F$3:$F$28&lt;&gt;"",$F$3:$F$28))),0.95),"")</f>
        <v/>
      </c>
      <c r="Q42" s="100" t="str">
        <f t="array" ref="Q42">IFERROR(PERCENTILE(IF($B$3:$B$28=$B42,IF($D$3:$D$28=Q$31,IF($F$3:$F$28&lt;&gt;"",$F$3:$F$28))),0.95),"")</f>
        <v/>
      </c>
      <c r="R42" s="100" t="str">
        <f t="array" ref="R42">IFERROR(PERCENTILE(IF($B$3:$B$28=$B42,IF($D$3:$D$28=R$31,IF($F$3:$F$28&lt;&gt;"",$F$3:$F$28))),0.95),"")</f>
        <v/>
      </c>
      <c r="S42" s="100">
        <f t="array" ref="S42">IFERROR(PERCENTILE(IF($B$3:$B$28=$B42,IF($D$3:$D$28=S$31,IF($F$3:$F$28&lt;&gt;"",$F$3:$F$28))),0.95),"")</f>
        <v>0.5</v>
      </c>
      <c r="T42" s="100" t="str">
        <f t="array" ref="T42">IFERROR(PERCENTILE(IF($B$3:$B$28=$B42,IF($D$3:$D$28=T$31,IF($F$3:$F$28&lt;&gt;"",$F$3:$F$28))),0.95),"")</f>
        <v/>
      </c>
      <c r="U42" s="100" t="str">
        <f t="array" ref="U42">IFERROR(PERCENTILE(IF($B$3:$B$28=$B42,IF($D$3:$D$28=U$31,IF($F$3:$F$28&lt;&gt;"",$F$3:$F$28))),0.95),"")</f>
        <v/>
      </c>
      <c r="V42" s="100" t="str">
        <f t="array" ref="V42">IFERROR(PERCENTILE(IF($B$3:$B$28=$B42,IF($D$3:$D$28=V$31,IF($F$3:$F$28&lt;&gt;"",$F$3:$F$28))),0.95),"")</f>
        <v/>
      </c>
      <c r="W42" s="100" t="str">
        <f t="array" ref="W42">IFERROR(PERCENTILE(IF($B$3:$B$28=$B42,IF($D$3:$D$28=W$31,IF($F$3:$F$28&lt;&gt;"",$F$3:$F$28))),0.95),"")</f>
        <v/>
      </c>
      <c r="X42" s="100" t="str">
        <f t="array" ref="X42">IFERROR(PERCENTILE(IF($B$3:$B$28=$B42,IF($D$3:$D$28=X$31,IF($F$3:$F$28&lt;&gt;"",$F$3:$F$28))),0.95),"")</f>
        <v/>
      </c>
      <c r="Y42" s="100" t="str">
        <f t="array" ref="Y42">IFERROR(PERCENTILE(IF($B$3:$B$28=$B42,IF($D$3:$D$28=Y$31,IF($F$3:$F$28&lt;&gt;"",$F$3:$F$28))),0.95),"")</f>
        <v/>
      </c>
      <c r="Z42" s="100" t="str">
        <f t="array" ref="Z42">IFERROR(PERCENTILE(IF($B$3:$B$28=$B42,IF($D$3:$D$28=Z$31,IF($F$3:$F$28&lt;&gt;"",$F$3:$F$28))),0.95),"")</f>
        <v/>
      </c>
      <c r="AA42" s="100" t="str">
        <f t="array" ref="AA42">IFERROR(PERCENTILE(IF($B$3:$B$28=$B42,IF($D$3:$D$28=AA$31,IF($F$3:$F$28&lt;&gt;"",$F$3:$F$28))),0.95),"")</f>
        <v/>
      </c>
      <c r="AB42" s="100" t="str">
        <f t="array" ref="AB42">IFERROR(PERCENTILE(IF($B$3:$B$28=$B42,IF($D$3:$D$28=AB$31,IF($F$3:$F$28&lt;&gt;"",$F$3:$F$28))),0.95),"")</f>
        <v/>
      </c>
      <c r="AC42" s="100" t="str">
        <f t="array" ref="AC42">IFERROR(PERCENTILE(IF($B$3:$B$28=$B42,IF($D$3:$D$28=AC$31,IF($F$3:$F$28&lt;&gt;"",$F$3:$F$28))),0.95),"")</f>
        <v/>
      </c>
      <c r="AD42" s="100" t="str">
        <f t="array" ref="AD42">IFERROR(PERCENTILE(IF($B$3:$B$28=$B42,IF($D$3:$D$28=AD$31,IF($F$3:$F$28&lt;&gt;"",$F$3:$F$28))),0.95),"")</f>
        <v/>
      </c>
      <c r="AE42" s="100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</row>
    <row r="44" spans="1:31" ht="9" customHeight="1" x14ac:dyDescent="0.25">
      <c r="A44" s="41" t="s">
        <v>549</v>
      </c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</row>
    <row r="45" spans="1:31" ht="15" hidden="1" customHeight="1" x14ac:dyDescent="0.25">
      <c r="G45" s="75">
        <f t="shared" ref="G45:AE45" si="3">G31</f>
        <v>44012</v>
      </c>
      <c r="H45" s="75">
        <f t="shared" si="3"/>
        <v>43982</v>
      </c>
      <c r="I45" s="75">
        <f t="shared" si="3"/>
        <v>43951</v>
      </c>
      <c r="J45" s="75">
        <f t="shared" si="3"/>
        <v>43921</v>
      </c>
      <c r="K45" s="75">
        <f t="shared" si="3"/>
        <v>43889</v>
      </c>
      <c r="L45" s="75">
        <f t="shared" si="3"/>
        <v>43861</v>
      </c>
      <c r="M45" s="75">
        <f t="shared" si="3"/>
        <v>43830</v>
      </c>
      <c r="N45" s="75">
        <f t="shared" si="3"/>
        <v>43799</v>
      </c>
      <c r="O45" s="75">
        <f t="shared" si="3"/>
        <v>43769</v>
      </c>
      <c r="P45" s="75">
        <f t="shared" si="3"/>
        <v>43738</v>
      </c>
      <c r="Q45" s="75">
        <f t="shared" si="3"/>
        <v>43708</v>
      </c>
      <c r="R45" s="75">
        <f t="shared" si="3"/>
        <v>43677</v>
      </c>
      <c r="S45" s="75">
        <f t="shared" si="3"/>
        <v>43646</v>
      </c>
      <c r="T45" s="75">
        <f t="shared" si="3"/>
        <v>43616</v>
      </c>
      <c r="U45" s="75">
        <f t="shared" si="3"/>
        <v>43585</v>
      </c>
      <c r="V45" s="75">
        <f t="shared" si="3"/>
        <v>43555</v>
      </c>
      <c r="W45" s="75">
        <f t="shared" si="3"/>
        <v>43524</v>
      </c>
      <c r="X45" s="75">
        <f t="shared" si="3"/>
        <v>43496</v>
      </c>
      <c r="Y45" s="75">
        <f t="shared" si="3"/>
        <v>43465</v>
      </c>
      <c r="Z45" s="75">
        <f t="shared" si="3"/>
        <v>43434</v>
      </c>
      <c r="AA45" s="75">
        <f t="shared" si="3"/>
        <v>43404</v>
      </c>
      <c r="AB45" s="75">
        <f t="shared" si="3"/>
        <v>43373</v>
      </c>
      <c r="AC45" s="75">
        <f t="shared" si="3"/>
        <v>43343</v>
      </c>
      <c r="AD45" s="75">
        <f t="shared" si="3"/>
        <v>43312</v>
      </c>
      <c r="AE45" s="75">
        <f t="shared" si="3"/>
        <v>43281</v>
      </c>
    </row>
    <row r="46" spans="1:31" ht="20.25" customHeight="1" x14ac:dyDescent="0.25">
      <c r="B46" s="58" t="s">
        <v>586</v>
      </c>
      <c r="C46" s="59"/>
      <c r="D46" s="59"/>
      <c r="E46" s="59"/>
      <c r="F46" s="60"/>
      <c r="G46" s="102">
        <f t="shared" ref="G46:AE46" si="4">IFERROR(AVERAGE(G33:G44),0)</f>
        <v>0.62</v>
      </c>
      <c r="H46" s="102">
        <f t="shared" si="4"/>
        <v>0.19</v>
      </c>
      <c r="I46" s="102">
        <f t="shared" si="4"/>
        <v>0.44</v>
      </c>
      <c r="J46" s="102">
        <f t="shared" si="4"/>
        <v>0.73</v>
      </c>
      <c r="K46" s="102">
        <f t="shared" si="4"/>
        <v>0.99</v>
      </c>
      <c r="L46" s="102">
        <f t="shared" si="4"/>
        <v>0.11</v>
      </c>
      <c r="M46" s="102">
        <f t="shared" si="4"/>
        <v>0.25</v>
      </c>
      <c r="N46" s="102">
        <f t="shared" si="4"/>
        <v>0.25</v>
      </c>
      <c r="O46" s="102">
        <f t="shared" si="4"/>
        <v>0.33</v>
      </c>
      <c r="P46" s="102">
        <f t="shared" si="4"/>
        <v>0.19</v>
      </c>
      <c r="Q46" s="102">
        <f t="shared" si="4"/>
        <v>0.5</v>
      </c>
      <c r="R46" s="102">
        <f t="shared" si="4"/>
        <v>0.5</v>
      </c>
      <c r="S46" s="102">
        <f t="shared" si="4"/>
        <v>0.5</v>
      </c>
      <c r="T46" s="102">
        <f t="shared" si="4"/>
        <v>0.19</v>
      </c>
      <c r="U46" s="102">
        <f t="shared" si="4"/>
        <v>0.44</v>
      </c>
      <c r="V46" s="102">
        <f t="shared" si="4"/>
        <v>0.73</v>
      </c>
      <c r="W46" s="102">
        <f t="shared" si="4"/>
        <v>0.99</v>
      </c>
      <c r="X46" s="102">
        <f t="shared" si="4"/>
        <v>0.11</v>
      </c>
      <c r="Y46" s="102">
        <f t="shared" si="4"/>
        <v>0.25</v>
      </c>
      <c r="Z46" s="102">
        <f t="shared" si="4"/>
        <v>0.25</v>
      </c>
      <c r="AA46" s="102">
        <f t="shared" si="4"/>
        <v>0.33</v>
      </c>
      <c r="AB46" s="102">
        <f t="shared" si="4"/>
        <v>0.19</v>
      </c>
      <c r="AC46" s="102">
        <f t="shared" si="4"/>
        <v>0.5</v>
      </c>
      <c r="AD46" s="102">
        <f t="shared" si="4"/>
        <v>0.5</v>
      </c>
      <c r="AE46" s="102">
        <f t="shared" si="4"/>
        <v>0.5</v>
      </c>
    </row>
    <row r="47" spans="1:31" ht="24.75" customHeight="1" x14ac:dyDescent="0.25"/>
    <row r="48" spans="1:31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589</v>
      </c>
      <c r="E48" s="70"/>
    </row>
    <row r="49" spans="1:5" ht="15" hidden="1" customHeight="1" x14ac:dyDescent="0.25">
      <c r="A49" s="40">
        <f>IFERROR(IF(D49="",1,0),1)</f>
        <v>0</v>
      </c>
      <c r="B49" s="55">
        <f>INDEX(Dates,1,E49)</f>
        <v>44012</v>
      </c>
      <c r="C49" s="55">
        <f t="shared" ref="C49" si="5">B49</f>
        <v>44012</v>
      </c>
      <c r="D49" s="56">
        <f>HLOOKUP(B49,ReadingTable,2,FALSE)</f>
        <v>0.62</v>
      </c>
      <c r="E49" s="71">
        <f>IF(E48="",7,E48+1)</f>
        <v>7</v>
      </c>
    </row>
    <row r="50" spans="1:5" hidden="1" x14ac:dyDescent="0.25"/>
    <row r="51" spans="1:5" ht="24" hidden="1" x14ac:dyDescent="0.25">
      <c r="B51" s="54" t="s">
        <v>584</v>
      </c>
      <c r="C51" s="54" t="s">
        <v>590</v>
      </c>
    </row>
    <row r="52" spans="1:5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53" t="s">
        <v>595</v>
      </c>
    </row>
    <row r="55" spans="1:5" ht="15" hidden="1" x14ac:dyDescent="0.25">
      <c r="A55" s="4"/>
      <c r="B55" s="38"/>
      <c r="C55" s="38"/>
      <c r="D55" s="73"/>
      <c r="E55" s="1"/>
    </row>
  </sheetData>
  <sheetProtection algorithmName="SHA-512" hashValue="+89vp+SC8VmRo+aM/fx24C7kYegCVf9VZsw+gUYhGVzAIZhO2BDqQ1z6U3iqXa3fyOp+h/cFyXDcmUB/XLhtHw==" saltValue="DhUnTsllbKiRwHuI2nE3eA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6" customWidth="1"/>
    <col min="2" max="4" width="20.7109375" style="2" customWidth="1"/>
    <col min="5" max="5" width="3.7109375" style="2" customWidth="1"/>
    <col min="6" max="16384" width="9.140625" style="2"/>
  </cols>
  <sheetData>
    <row r="1" spans="1:5" x14ac:dyDescent="0.25">
      <c r="A1" s="4" t="s">
        <v>601</v>
      </c>
      <c r="B1" s="1"/>
      <c r="C1" s="1"/>
      <c r="D1" s="1"/>
      <c r="E1" s="1"/>
    </row>
    <row r="2" spans="1:5" x14ac:dyDescent="0.25">
      <c r="A2" s="4" t="s">
        <v>601</v>
      </c>
      <c r="B2" s="215" t="s">
        <v>568</v>
      </c>
      <c r="C2" s="216"/>
      <c r="D2" s="34" t="s">
        <v>626</v>
      </c>
      <c r="E2" s="1"/>
    </row>
    <row r="3" spans="1:5" x14ac:dyDescent="0.25">
      <c r="A3" s="4" t="s">
        <v>601</v>
      </c>
      <c r="B3" s="213" t="s">
        <v>697</v>
      </c>
      <c r="C3" s="214"/>
      <c r="D3" s="34" t="s">
        <v>627</v>
      </c>
      <c r="E3" s="1"/>
    </row>
    <row r="4" spans="1:5" x14ac:dyDescent="0.25">
      <c r="A4" s="4" t="s">
        <v>601</v>
      </c>
      <c r="B4" s="20" t="s">
        <v>569</v>
      </c>
      <c r="C4" s="22"/>
      <c r="D4" s="34" t="s">
        <v>602</v>
      </c>
      <c r="E4" s="1"/>
    </row>
    <row r="5" spans="1:5" ht="20.45" customHeight="1" x14ac:dyDescent="0.25">
      <c r="A5" s="4"/>
      <c r="B5" s="161" t="s">
        <v>632</v>
      </c>
      <c r="C5" s="106"/>
      <c r="D5" s="160"/>
      <c r="E5" s="1"/>
    </row>
    <row r="6" spans="1:5" ht="33.75" customHeight="1" x14ac:dyDescent="0.25">
      <c r="A6" s="4">
        <v>34</v>
      </c>
      <c r="B6" s="3" t="s">
        <v>547</v>
      </c>
      <c r="C6" s="3" t="s">
        <v>548</v>
      </c>
      <c r="D6" s="3" t="str">
        <f>CONCATENATE("Highest TVOC Reading 
","(",D4,")")</f>
        <v>Highest TVOC Reading 
(ug/m3)</v>
      </c>
      <c r="E6" s="1"/>
    </row>
    <row r="7" spans="1:5" ht="15" customHeight="1" x14ac:dyDescent="0.25">
      <c r="A7" s="40">
        <f>IFERROR(IF(D7="",1,0),1)</f>
        <v>0</v>
      </c>
      <c r="B7" s="55">
        <f t="shared" ref="B7:B31" si="0">INDEX(DatesVOC,1,E7)</f>
        <v>44012</v>
      </c>
      <c r="C7" s="55">
        <f t="shared" ref="C7" si="1">B7</f>
        <v>44012</v>
      </c>
      <c r="D7" s="56">
        <f t="array" ref="D7">HLOOKUP(B7,ReadingTableVOC,2,FALSE)</f>
        <v>2654</v>
      </c>
      <c r="E7" s="71">
        <f>IF(E6="",8,E6+1)</f>
        <v>8</v>
      </c>
    </row>
    <row r="8" spans="1:5" ht="15" customHeight="1" x14ac:dyDescent="0.25">
      <c r="A8" s="40">
        <f t="shared" ref="A8:A31" si="2">IFERROR(IF(D8="",1,0),1)</f>
        <v>0</v>
      </c>
      <c r="B8" s="55">
        <f t="shared" si="0"/>
        <v>43982</v>
      </c>
      <c r="C8" s="55">
        <f t="shared" ref="C8:C31" si="3">B8</f>
        <v>43982</v>
      </c>
      <c r="D8" s="56">
        <f t="array" ref="D8">HLOOKUP(B8,ReadingTableVOC,2,FALSE)</f>
        <v>1173</v>
      </c>
      <c r="E8" s="71">
        <f t="shared" ref="E8:E31" si="4">IF(E7="",8,E7+1)</f>
        <v>9</v>
      </c>
    </row>
    <row r="9" spans="1:5" ht="15" customHeight="1" x14ac:dyDescent="0.25">
      <c r="A9" s="40">
        <f t="shared" si="2"/>
        <v>0</v>
      </c>
      <c r="B9" s="55">
        <f t="shared" si="0"/>
        <v>43951</v>
      </c>
      <c r="C9" s="55">
        <f t="shared" si="3"/>
        <v>43951</v>
      </c>
      <c r="D9" s="56">
        <f t="array" ref="D9">HLOOKUP(B9,ReadingTableVOC,2,FALSE)</f>
        <v>1098</v>
      </c>
      <c r="E9" s="71">
        <f t="shared" si="4"/>
        <v>10</v>
      </c>
    </row>
    <row r="10" spans="1:5" ht="15" customHeight="1" x14ac:dyDescent="0.25">
      <c r="A10" s="40">
        <f t="shared" si="2"/>
        <v>0</v>
      </c>
      <c r="B10" s="55">
        <f t="shared" si="0"/>
        <v>43921</v>
      </c>
      <c r="C10" s="55">
        <f t="shared" si="3"/>
        <v>43921</v>
      </c>
      <c r="D10" s="56">
        <f t="array" ref="D10">HLOOKUP(B10,ReadingTableVOC,2,FALSE)</f>
        <v>986</v>
      </c>
      <c r="E10" s="71">
        <f t="shared" si="4"/>
        <v>11</v>
      </c>
    </row>
    <row r="11" spans="1:5" ht="15" customHeight="1" x14ac:dyDescent="0.25">
      <c r="A11" s="40">
        <f t="shared" si="2"/>
        <v>0</v>
      </c>
      <c r="B11" s="55">
        <f t="shared" si="0"/>
        <v>43889</v>
      </c>
      <c r="C11" s="55">
        <f t="shared" si="3"/>
        <v>43889</v>
      </c>
      <c r="D11" s="56">
        <f t="array" ref="D11">HLOOKUP(B11,ReadingTableVOC,2,FALSE)</f>
        <v>1212</v>
      </c>
      <c r="E11" s="71">
        <f t="shared" si="4"/>
        <v>12</v>
      </c>
    </row>
    <row r="12" spans="1:5" ht="15" customHeight="1" x14ac:dyDescent="0.25">
      <c r="A12" s="40">
        <f t="shared" si="2"/>
        <v>0</v>
      </c>
      <c r="B12" s="55">
        <f t="shared" si="0"/>
        <v>43861</v>
      </c>
      <c r="C12" s="55">
        <f t="shared" si="3"/>
        <v>43861</v>
      </c>
      <c r="D12" s="56">
        <f t="array" ref="D12">HLOOKUP(B12,ReadingTableVOC,2,FALSE)</f>
        <v>1993</v>
      </c>
      <c r="E12" s="71">
        <f t="shared" si="4"/>
        <v>13</v>
      </c>
    </row>
    <row r="13" spans="1:5" ht="15" customHeight="1" x14ac:dyDescent="0.25">
      <c r="A13" s="40">
        <f t="shared" si="2"/>
        <v>0</v>
      </c>
      <c r="B13" s="55">
        <f t="shared" si="0"/>
        <v>43830</v>
      </c>
      <c r="C13" s="55">
        <f t="shared" si="3"/>
        <v>43830</v>
      </c>
      <c r="D13" s="56">
        <f t="array" ref="D13">HLOOKUP(B13,ReadingTableVOC,2,FALSE)</f>
        <v>2323</v>
      </c>
      <c r="E13" s="71">
        <f t="shared" si="4"/>
        <v>14</v>
      </c>
    </row>
    <row r="14" spans="1:5" ht="15" customHeight="1" x14ac:dyDescent="0.25">
      <c r="A14" s="40">
        <f t="shared" si="2"/>
        <v>0</v>
      </c>
      <c r="B14" s="55">
        <f t="shared" si="0"/>
        <v>43799</v>
      </c>
      <c r="C14" s="55">
        <f t="shared" si="3"/>
        <v>43799</v>
      </c>
      <c r="D14" s="56">
        <f t="array" ref="D14">HLOOKUP(B14,ReadingTableVOC,2,FALSE)</f>
        <v>2566</v>
      </c>
      <c r="E14" s="71">
        <f t="shared" si="4"/>
        <v>15</v>
      </c>
    </row>
    <row r="15" spans="1:5" ht="15" customHeight="1" x14ac:dyDescent="0.25">
      <c r="A15" s="40">
        <f t="shared" si="2"/>
        <v>0</v>
      </c>
      <c r="B15" s="55">
        <f t="shared" si="0"/>
        <v>43769</v>
      </c>
      <c r="C15" s="55">
        <f t="shared" si="3"/>
        <v>43769</v>
      </c>
      <c r="D15" s="56">
        <f t="array" ref="D15">HLOOKUP(B15,ReadingTableVOC,2,FALSE)</f>
        <v>2577</v>
      </c>
      <c r="E15" s="71">
        <f t="shared" si="4"/>
        <v>16</v>
      </c>
    </row>
    <row r="16" spans="1:5" ht="15" customHeight="1" x14ac:dyDescent="0.25">
      <c r="A16" s="40">
        <f t="shared" si="2"/>
        <v>0</v>
      </c>
      <c r="B16" s="55">
        <f t="shared" si="0"/>
        <v>43738</v>
      </c>
      <c r="C16" s="55">
        <f t="shared" si="3"/>
        <v>43738</v>
      </c>
      <c r="D16" s="56">
        <f t="array" ref="D16">HLOOKUP(B16,ReadingTableVOC,2,FALSE)</f>
        <v>2756</v>
      </c>
      <c r="E16" s="71">
        <f t="shared" si="4"/>
        <v>17</v>
      </c>
    </row>
    <row r="17" spans="1:5" ht="15" customHeight="1" x14ac:dyDescent="0.25">
      <c r="A17" s="40">
        <f t="shared" si="2"/>
        <v>0</v>
      </c>
      <c r="B17" s="55">
        <f t="shared" si="0"/>
        <v>43708</v>
      </c>
      <c r="C17" s="55">
        <f t="shared" si="3"/>
        <v>43708</v>
      </c>
      <c r="D17" s="56">
        <f t="array" ref="D17">HLOOKUP(B17,ReadingTableVOC,2,FALSE)</f>
        <v>2677</v>
      </c>
      <c r="E17" s="71">
        <f t="shared" si="4"/>
        <v>18</v>
      </c>
    </row>
    <row r="18" spans="1:5" ht="15" customHeight="1" x14ac:dyDescent="0.25">
      <c r="A18" s="40">
        <f t="shared" si="2"/>
        <v>0</v>
      </c>
      <c r="B18" s="55">
        <f t="shared" si="0"/>
        <v>43677</v>
      </c>
      <c r="C18" s="55">
        <f t="shared" si="3"/>
        <v>43677</v>
      </c>
      <c r="D18" s="56">
        <f t="array" ref="D18">HLOOKUP(B18,ReadingTableVOC,2,FALSE)</f>
        <v>1232</v>
      </c>
      <c r="E18" s="71">
        <f t="shared" si="4"/>
        <v>19</v>
      </c>
    </row>
    <row r="19" spans="1:5" ht="15" customHeight="1" x14ac:dyDescent="0.25">
      <c r="A19" s="40">
        <f t="shared" si="2"/>
        <v>0</v>
      </c>
      <c r="B19" s="55">
        <f t="shared" si="0"/>
        <v>43646</v>
      </c>
      <c r="C19" s="55">
        <f t="shared" si="3"/>
        <v>43646</v>
      </c>
      <c r="D19" s="56">
        <f t="array" ref="D19">HLOOKUP(B19,ReadingTableVOC,2,FALSE)</f>
        <v>3221</v>
      </c>
      <c r="E19" s="71">
        <f t="shared" si="4"/>
        <v>20</v>
      </c>
    </row>
    <row r="20" spans="1:5" ht="15" customHeight="1" x14ac:dyDescent="0.25">
      <c r="A20" s="40">
        <f t="shared" si="2"/>
        <v>0</v>
      </c>
      <c r="B20" s="55">
        <f t="shared" si="0"/>
        <v>43616</v>
      </c>
      <c r="C20" s="55">
        <f t="shared" si="3"/>
        <v>43616</v>
      </c>
      <c r="D20" s="56">
        <f t="array" ref="D20">HLOOKUP(B20,ReadingTableVOC,2,FALSE)</f>
        <v>1173</v>
      </c>
      <c r="E20" s="71">
        <f t="shared" si="4"/>
        <v>21</v>
      </c>
    </row>
    <row r="21" spans="1:5" ht="15" customHeight="1" x14ac:dyDescent="0.25">
      <c r="A21" s="40">
        <f t="shared" si="2"/>
        <v>0</v>
      </c>
      <c r="B21" s="55">
        <f t="shared" si="0"/>
        <v>43585</v>
      </c>
      <c r="C21" s="55">
        <f t="shared" si="3"/>
        <v>43585</v>
      </c>
      <c r="D21" s="56">
        <f t="array" ref="D21">HLOOKUP(B21,ReadingTableVOC,2,FALSE)</f>
        <v>1098</v>
      </c>
      <c r="E21" s="71">
        <f t="shared" si="4"/>
        <v>22</v>
      </c>
    </row>
    <row r="22" spans="1:5" ht="15" customHeight="1" x14ac:dyDescent="0.25">
      <c r="A22" s="40">
        <f t="shared" si="2"/>
        <v>0</v>
      </c>
      <c r="B22" s="55">
        <f t="shared" si="0"/>
        <v>43555</v>
      </c>
      <c r="C22" s="55">
        <f t="shared" si="3"/>
        <v>43555</v>
      </c>
      <c r="D22" s="56">
        <f t="array" ref="D22">HLOOKUP(B22,ReadingTableVOC,2,FALSE)</f>
        <v>986</v>
      </c>
      <c r="E22" s="71">
        <f t="shared" si="4"/>
        <v>23</v>
      </c>
    </row>
    <row r="23" spans="1:5" ht="15" customHeight="1" x14ac:dyDescent="0.25">
      <c r="A23" s="40">
        <f t="shared" si="2"/>
        <v>0</v>
      </c>
      <c r="B23" s="55">
        <f t="shared" si="0"/>
        <v>43524</v>
      </c>
      <c r="C23" s="55">
        <f t="shared" si="3"/>
        <v>43524</v>
      </c>
      <c r="D23" s="56">
        <f t="array" ref="D23">HLOOKUP(B23,ReadingTableVOC,2,FALSE)</f>
        <v>1212</v>
      </c>
      <c r="E23" s="71">
        <f t="shared" si="4"/>
        <v>24</v>
      </c>
    </row>
    <row r="24" spans="1:5" ht="15" customHeight="1" x14ac:dyDescent="0.25">
      <c r="A24" s="40">
        <f t="shared" si="2"/>
        <v>0</v>
      </c>
      <c r="B24" s="55">
        <f t="shared" si="0"/>
        <v>43496</v>
      </c>
      <c r="C24" s="55">
        <f t="shared" si="3"/>
        <v>43496</v>
      </c>
      <c r="D24" s="56">
        <f t="array" ref="D24">HLOOKUP(B24,ReadingTableVOC,2,FALSE)</f>
        <v>1993</v>
      </c>
      <c r="E24" s="71">
        <f t="shared" si="4"/>
        <v>25</v>
      </c>
    </row>
    <row r="25" spans="1:5" ht="15" customHeight="1" x14ac:dyDescent="0.25">
      <c r="A25" s="40">
        <f t="shared" si="2"/>
        <v>0</v>
      </c>
      <c r="B25" s="55">
        <f t="shared" si="0"/>
        <v>43465</v>
      </c>
      <c r="C25" s="55">
        <f t="shared" si="3"/>
        <v>43465</v>
      </c>
      <c r="D25" s="56">
        <f t="array" ref="D25">HLOOKUP(B25,ReadingTableVOC,2,FALSE)</f>
        <v>2323</v>
      </c>
      <c r="E25" s="71">
        <f t="shared" si="4"/>
        <v>26</v>
      </c>
    </row>
    <row r="26" spans="1:5" ht="15" customHeight="1" x14ac:dyDescent="0.25">
      <c r="A26" s="40">
        <f t="shared" si="2"/>
        <v>0</v>
      </c>
      <c r="B26" s="55">
        <f t="shared" si="0"/>
        <v>43434</v>
      </c>
      <c r="C26" s="55">
        <f t="shared" si="3"/>
        <v>43434</v>
      </c>
      <c r="D26" s="56">
        <f t="array" ref="D26">HLOOKUP(B26,ReadingTableVOC,2,FALSE)</f>
        <v>2566</v>
      </c>
      <c r="E26" s="71">
        <f t="shared" si="4"/>
        <v>27</v>
      </c>
    </row>
    <row r="27" spans="1:5" ht="15" customHeight="1" x14ac:dyDescent="0.25">
      <c r="A27" s="40">
        <f t="shared" si="2"/>
        <v>0</v>
      </c>
      <c r="B27" s="55">
        <f t="shared" si="0"/>
        <v>43404</v>
      </c>
      <c r="C27" s="55">
        <f t="shared" si="3"/>
        <v>43404</v>
      </c>
      <c r="D27" s="56">
        <f t="array" ref="D27">HLOOKUP(B27,ReadingTableVOC,2,FALSE)</f>
        <v>2577</v>
      </c>
      <c r="E27" s="71">
        <f t="shared" si="4"/>
        <v>28</v>
      </c>
    </row>
    <row r="28" spans="1:5" ht="15" customHeight="1" x14ac:dyDescent="0.25">
      <c r="A28" s="40">
        <f t="shared" si="2"/>
        <v>0</v>
      </c>
      <c r="B28" s="55">
        <f t="shared" si="0"/>
        <v>43373</v>
      </c>
      <c r="C28" s="55">
        <f t="shared" si="3"/>
        <v>43373</v>
      </c>
      <c r="D28" s="56">
        <f t="array" ref="D28">HLOOKUP(B28,ReadingTableVOC,2,FALSE)</f>
        <v>2756</v>
      </c>
      <c r="E28" s="71">
        <f t="shared" si="4"/>
        <v>29</v>
      </c>
    </row>
    <row r="29" spans="1:5" ht="15" customHeight="1" x14ac:dyDescent="0.25">
      <c r="A29" s="40">
        <f t="shared" si="2"/>
        <v>0</v>
      </c>
      <c r="B29" s="55">
        <f t="shared" si="0"/>
        <v>43343</v>
      </c>
      <c r="C29" s="55">
        <f t="shared" si="3"/>
        <v>43343</v>
      </c>
      <c r="D29" s="56">
        <f t="array" ref="D29">HLOOKUP(B29,ReadingTableVOC,2,FALSE)</f>
        <v>2677</v>
      </c>
      <c r="E29" s="71">
        <f t="shared" si="4"/>
        <v>30</v>
      </c>
    </row>
    <row r="30" spans="1:5" ht="15" customHeight="1" x14ac:dyDescent="0.25">
      <c r="A30" s="40">
        <f t="shared" si="2"/>
        <v>0</v>
      </c>
      <c r="B30" s="55">
        <f t="shared" si="0"/>
        <v>43312</v>
      </c>
      <c r="C30" s="55">
        <f t="shared" si="3"/>
        <v>43312</v>
      </c>
      <c r="D30" s="56">
        <f t="array" ref="D30">HLOOKUP(B30,ReadingTableVOC,2,FALSE)</f>
        <v>1232</v>
      </c>
      <c r="E30" s="71">
        <f t="shared" si="4"/>
        <v>31</v>
      </c>
    </row>
    <row r="31" spans="1:5" ht="15" customHeight="1" x14ac:dyDescent="0.25">
      <c r="A31" s="40">
        <f t="shared" si="2"/>
        <v>0</v>
      </c>
      <c r="B31" s="55">
        <f t="shared" si="0"/>
        <v>43281</v>
      </c>
      <c r="C31" s="55">
        <f t="shared" si="3"/>
        <v>43281</v>
      </c>
      <c r="D31" s="56">
        <f t="array" ref="D31">HLOOKUP(B31,ReadingTableVOC,2,FALSE)</f>
        <v>3221</v>
      </c>
      <c r="E31" s="71">
        <f t="shared" si="4"/>
        <v>32</v>
      </c>
    </row>
    <row r="32" spans="1:5" ht="15" customHeight="1" x14ac:dyDescent="0.25">
      <c r="A32" s="4" t="s">
        <v>549</v>
      </c>
      <c r="B32" s="37"/>
      <c r="C32" s="37"/>
      <c r="D32" s="37"/>
      <c r="E32" s="1"/>
    </row>
    <row r="33" spans="1:5" ht="15" hidden="1" customHeight="1" x14ac:dyDescent="0.25">
      <c r="A33" s="4"/>
      <c r="B33" s="37"/>
      <c r="C33" s="37"/>
      <c r="D33" s="37"/>
      <c r="E33" s="1"/>
    </row>
    <row r="34" spans="1:5" ht="33.6" customHeight="1" x14ac:dyDescent="0.25">
      <c r="A34" s="4" t="s">
        <v>549</v>
      </c>
      <c r="B34" s="37"/>
      <c r="C34" s="37"/>
      <c r="D34" s="37"/>
      <c r="E34" s="1"/>
    </row>
  </sheetData>
  <sheetProtection algorithmName="SHA-512" hashValue="TAka+a/As6mQUaLnUMccUvSsn6CralQppU+pGn0kADw+WMtCGpac2XV9G7dBWPwX+npulXsttRMm3+5wbFcKzg==" saltValue="TY9bnqYvv5C/iOm+axa1w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41" customWidth="1"/>
    <col min="2" max="2" width="18.7109375" style="42" customWidth="1"/>
    <col min="3" max="16384" width="14.7109375" style="42"/>
  </cols>
  <sheetData>
    <row r="1" spans="1:8" ht="36" customHeight="1" x14ac:dyDescent="0.25">
      <c r="A1" s="41" t="s">
        <v>601</v>
      </c>
      <c r="B1" s="43" t="s">
        <v>630</v>
      </c>
    </row>
    <row r="2" spans="1:8" ht="33.75" customHeight="1" x14ac:dyDescent="0.25">
      <c r="A2" s="41" t="s">
        <v>601</v>
      </c>
      <c r="B2" s="44" t="s">
        <v>581</v>
      </c>
      <c r="C2" s="45" t="s">
        <v>705</v>
      </c>
      <c r="D2" s="46" t="s">
        <v>582</v>
      </c>
      <c r="E2" s="47" t="s">
        <v>596</v>
      </c>
      <c r="F2" s="76" t="s">
        <v>597</v>
      </c>
      <c r="G2" s="48" t="s">
        <v>600</v>
      </c>
    </row>
    <row r="3" spans="1:8" x14ac:dyDescent="0.25">
      <c r="B3" s="197" t="s">
        <v>733</v>
      </c>
      <c r="C3" s="196">
        <v>43983</v>
      </c>
      <c r="D3" s="98">
        <v>44012</v>
      </c>
      <c r="E3" s="104">
        <v>0.375</v>
      </c>
      <c r="F3" s="105">
        <v>0.5</v>
      </c>
      <c r="G3" s="99">
        <v>2654</v>
      </c>
    </row>
    <row r="4" spans="1:8" x14ac:dyDescent="0.25">
      <c r="B4" s="197" t="s">
        <v>734</v>
      </c>
      <c r="C4" s="196">
        <v>43952</v>
      </c>
      <c r="D4" s="98">
        <v>43982</v>
      </c>
      <c r="E4" s="104">
        <v>0.41666666666666669</v>
      </c>
      <c r="F4" s="105">
        <v>0.5</v>
      </c>
      <c r="G4" s="99">
        <v>1173</v>
      </c>
      <c r="H4" s="49"/>
    </row>
    <row r="5" spans="1:8" x14ac:dyDescent="0.25">
      <c r="B5" s="197" t="s">
        <v>735</v>
      </c>
      <c r="C5" s="196">
        <v>43922</v>
      </c>
      <c r="D5" s="98">
        <v>43951</v>
      </c>
      <c r="E5" s="104">
        <v>0.45833333333333331</v>
      </c>
      <c r="F5" s="105">
        <v>0.5</v>
      </c>
      <c r="G5" s="99">
        <v>1098</v>
      </c>
      <c r="H5" s="49"/>
    </row>
    <row r="6" spans="1:8" x14ac:dyDescent="0.25">
      <c r="B6" s="197" t="s">
        <v>736</v>
      </c>
      <c r="C6" s="196">
        <v>43891</v>
      </c>
      <c r="D6" s="98">
        <v>43921</v>
      </c>
      <c r="E6" s="104">
        <v>0.10416666666666667</v>
      </c>
      <c r="F6" s="105">
        <v>0.18958333333333333</v>
      </c>
      <c r="G6" s="99">
        <v>986</v>
      </c>
      <c r="H6" s="49"/>
    </row>
    <row r="7" spans="1:8" x14ac:dyDescent="0.25">
      <c r="B7" s="197" t="s">
        <v>737</v>
      </c>
      <c r="C7" s="196">
        <v>43862</v>
      </c>
      <c r="D7" s="98">
        <v>43889</v>
      </c>
      <c r="E7" s="104">
        <v>0.14583333333333334</v>
      </c>
      <c r="F7" s="105">
        <v>0.3298611111111111</v>
      </c>
      <c r="G7" s="99">
        <v>1212</v>
      </c>
      <c r="H7" s="49"/>
    </row>
    <row r="8" spans="1:8" x14ac:dyDescent="0.25">
      <c r="B8" s="197" t="s">
        <v>734</v>
      </c>
      <c r="C8" s="196">
        <v>43831</v>
      </c>
      <c r="D8" s="98">
        <v>43861</v>
      </c>
      <c r="E8" s="104">
        <v>8.3333333333333329E-2</v>
      </c>
      <c r="F8" s="105">
        <v>0.25</v>
      </c>
      <c r="G8" s="99">
        <v>1993</v>
      </c>
      <c r="H8" s="49"/>
    </row>
    <row r="9" spans="1:8" x14ac:dyDescent="0.25">
      <c r="B9" s="197" t="s">
        <v>735</v>
      </c>
      <c r="C9" s="196">
        <v>43800</v>
      </c>
      <c r="D9" s="98">
        <v>43830</v>
      </c>
      <c r="E9" s="104">
        <v>0.125</v>
      </c>
      <c r="F9" s="105">
        <v>0.25</v>
      </c>
      <c r="G9" s="99">
        <v>2323</v>
      </c>
      <c r="H9" s="49"/>
    </row>
    <row r="10" spans="1:8" x14ac:dyDescent="0.25">
      <c r="B10" s="197" t="s">
        <v>733</v>
      </c>
      <c r="C10" s="196">
        <v>43770</v>
      </c>
      <c r="D10" s="98">
        <v>43799</v>
      </c>
      <c r="E10" s="104">
        <v>0.29166666666666669</v>
      </c>
      <c r="F10" s="105">
        <v>0.5</v>
      </c>
      <c r="G10" s="99">
        <v>2566</v>
      </c>
      <c r="H10" s="49"/>
    </row>
    <row r="11" spans="1:8" x14ac:dyDescent="0.25">
      <c r="B11" s="197" t="s">
        <v>738</v>
      </c>
      <c r="C11" s="196">
        <v>43739</v>
      </c>
      <c r="D11" s="98">
        <v>43769</v>
      </c>
      <c r="E11" s="104">
        <v>0.45833333333333331</v>
      </c>
      <c r="F11" s="105">
        <v>0.5</v>
      </c>
      <c r="G11" s="99">
        <v>2577</v>
      </c>
      <c r="H11" s="49"/>
    </row>
    <row r="12" spans="1:8" x14ac:dyDescent="0.25">
      <c r="B12" s="197" t="s">
        <v>739</v>
      </c>
      <c r="C12" s="196">
        <v>43709</v>
      </c>
      <c r="D12" s="98">
        <v>43738</v>
      </c>
      <c r="E12" s="104">
        <v>0.10416666666666667</v>
      </c>
      <c r="F12" s="105">
        <v>0.18958333333333333</v>
      </c>
      <c r="G12" s="99">
        <v>2756</v>
      </c>
      <c r="H12" s="49"/>
    </row>
    <row r="13" spans="1:8" x14ac:dyDescent="0.25">
      <c r="B13" s="197" t="s">
        <v>740</v>
      </c>
      <c r="C13" s="196">
        <v>43678</v>
      </c>
      <c r="D13" s="98">
        <v>43708</v>
      </c>
      <c r="E13" s="104">
        <v>0.14583333333333334</v>
      </c>
      <c r="F13" s="105">
        <v>0.3298611111111111</v>
      </c>
      <c r="G13" s="99">
        <v>2677</v>
      </c>
      <c r="H13" s="49"/>
    </row>
    <row r="14" spans="1:8" x14ac:dyDescent="0.25">
      <c r="B14" s="197" t="s">
        <v>741</v>
      </c>
      <c r="C14" s="196">
        <v>43647</v>
      </c>
      <c r="D14" s="98">
        <v>43677</v>
      </c>
      <c r="E14" s="104">
        <v>8.3333333333333329E-2</v>
      </c>
      <c r="F14" s="105">
        <v>0.25</v>
      </c>
      <c r="G14" s="99">
        <v>1232</v>
      </c>
      <c r="H14" s="49"/>
    </row>
    <row r="15" spans="1:8" x14ac:dyDescent="0.25">
      <c r="B15" s="197" t="s">
        <v>742</v>
      </c>
      <c r="C15" s="196">
        <v>43617</v>
      </c>
      <c r="D15" s="98">
        <v>43646</v>
      </c>
      <c r="E15" s="104">
        <v>0.125</v>
      </c>
      <c r="F15" s="105">
        <v>0.25</v>
      </c>
      <c r="G15" s="99">
        <v>3221</v>
      </c>
      <c r="H15" s="49"/>
    </row>
    <row r="16" spans="1:8" x14ac:dyDescent="0.25">
      <c r="B16" s="197" t="s">
        <v>733</v>
      </c>
      <c r="C16" s="196">
        <v>43586</v>
      </c>
      <c r="D16" s="98">
        <v>43616</v>
      </c>
      <c r="E16" s="104">
        <v>0.375</v>
      </c>
      <c r="F16" s="105">
        <v>0.5</v>
      </c>
      <c r="G16" s="99">
        <v>1173</v>
      </c>
      <c r="H16" s="49"/>
    </row>
    <row r="17" spans="1:32" x14ac:dyDescent="0.25">
      <c r="B17" s="197" t="s">
        <v>734</v>
      </c>
      <c r="C17" s="196">
        <v>43556</v>
      </c>
      <c r="D17" s="98">
        <v>43585</v>
      </c>
      <c r="E17" s="104">
        <v>0.41666666666666669</v>
      </c>
      <c r="F17" s="105">
        <v>0.5</v>
      </c>
      <c r="G17" s="99">
        <v>1098</v>
      </c>
      <c r="H17" s="49"/>
    </row>
    <row r="18" spans="1:32" x14ac:dyDescent="0.25">
      <c r="B18" s="197" t="s">
        <v>735</v>
      </c>
      <c r="C18" s="196">
        <v>43525</v>
      </c>
      <c r="D18" s="98">
        <v>43555</v>
      </c>
      <c r="E18" s="104">
        <v>0.45833333333333331</v>
      </c>
      <c r="F18" s="105">
        <v>0.5</v>
      </c>
      <c r="G18" s="99">
        <v>986</v>
      </c>
      <c r="H18" s="49"/>
    </row>
    <row r="19" spans="1:32" x14ac:dyDescent="0.25">
      <c r="B19" s="197" t="s">
        <v>736</v>
      </c>
      <c r="C19" s="196">
        <v>43497</v>
      </c>
      <c r="D19" s="98">
        <v>43524</v>
      </c>
      <c r="E19" s="104">
        <v>0.10416666666666667</v>
      </c>
      <c r="F19" s="105">
        <v>0.18958333333333333</v>
      </c>
      <c r="G19" s="99">
        <v>1212</v>
      </c>
      <c r="H19" s="49"/>
    </row>
    <row r="20" spans="1:32" x14ac:dyDescent="0.25">
      <c r="B20" s="197" t="s">
        <v>737</v>
      </c>
      <c r="C20" s="196">
        <v>43466</v>
      </c>
      <c r="D20" s="98">
        <v>43496</v>
      </c>
      <c r="E20" s="104">
        <v>0.14583333333333334</v>
      </c>
      <c r="F20" s="105">
        <v>0.3298611111111111</v>
      </c>
      <c r="G20" s="99">
        <v>1993</v>
      </c>
      <c r="H20" s="49"/>
    </row>
    <row r="21" spans="1:32" x14ac:dyDescent="0.25">
      <c r="B21" s="197" t="s">
        <v>734</v>
      </c>
      <c r="C21" s="196">
        <v>43435</v>
      </c>
      <c r="D21" s="98">
        <v>43465</v>
      </c>
      <c r="E21" s="104">
        <v>8.3333333333333329E-2</v>
      </c>
      <c r="F21" s="105">
        <v>0.25</v>
      </c>
      <c r="G21" s="99">
        <v>2323</v>
      </c>
      <c r="H21" s="49"/>
    </row>
    <row r="22" spans="1:32" x14ac:dyDescent="0.25">
      <c r="B22" s="197" t="s">
        <v>735</v>
      </c>
      <c r="C22" s="196">
        <v>43405</v>
      </c>
      <c r="D22" s="98">
        <v>43434</v>
      </c>
      <c r="E22" s="104">
        <v>0.125</v>
      </c>
      <c r="F22" s="105">
        <v>0.25</v>
      </c>
      <c r="G22" s="99">
        <v>2566</v>
      </c>
      <c r="H22" s="49"/>
    </row>
    <row r="23" spans="1:32" x14ac:dyDescent="0.25">
      <c r="B23" s="197" t="s">
        <v>733</v>
      </c>
      <c r="C23" s="196">
        <v>43374</v>
      </c>
      <c r="D23" s="98">
        <v>43404</v>
      </c>
      <c r="E23" s="104">
        <v>0.29166666666666669</v>
      </c>
      <c r="F23" s="105">
        <v>0.5</v>
      </c>
      <c r="G23" s="99">
        <v>2577</v>
      </c>
      <c r="H23" s="49"/>
    </row>
    <row r="24" spans="1:32" x14ac:dyDescent="0.25">
      <c r="B24" s="197" t="s">
        <v>738</v>
      </c>
      <c r="C24" s="196">
        <v>43344</v>
      </c>
      <c r="D24" s="98">
        <v>43373</v>
      </c>
      <c r="E24" s="104">
        <v>0.45833333333333331</v>
      </c>
      <c r="F24" s="105">
        <v>0.5</v>
      </c>
      <c r="G24" s="99">
        <v>2756</v>
      </c>
      <c r="H24" s="49"/>
    </row>
    <row r="25" spans="1:32" x14ac:dyDescent="0.25">
      <c r="B25" s="197" t="s">
        <v>739</v>
      </c>
      <c r="C25" s="196">
        <v>43313</v>
      </c>
      <c r="D25" s="98">
        <v>43343</v>
      </c>
      <c r="E25" s="104">
        <v>0.10416666666666667</v>
      </c>
      <c r="F25" s="105">
        <v>0.18958333333333333</v>
      </c>
      <c r="G25" s="99">
        <v>2677</v>
      </c>
      <c r="H25" s="49"/>
    </row>
    <row r="26" spans="1:32" x14ac:dyDescent="0.25">
      <c r="B26" s="197" t="s">
        <v>740</v>
      </c>
      <c r="C26" s="196">
        <v>43282</v>
      </c>
      <c r="D26" s="98">
        <v>43312</v>
      </c>
      <c r="E26" s="104">
        <v>0.14583333333333334</v>
      </c>
      <c r="F26" s="105">
        <v>0.3298611111111111</v>
      </c>
      <c r="G26" s="99">
        <v>1232</v>
      </c>
      <c r="H26" s="49"/>
    </row>
    <row r="27" spans="1:32" x14ac:dyDescent="0.25">
      <c r="B27" s="197" t="s">
        <v>737</v>
      </c>
      <c r="C27" s="196">
        <v>43252</v>
      </c>
      <c r="D27" s="98">
        <v>43281</v>
      </c>
      <c r="E27" s="104">
        <v>8.3333333333333329E-2</v>
      </c>
      <c r="F27" s="105">
        <v>0.25</v>
      </c>
      <c r="G27" s="99">
        <v>3221</v>
      </c>
      <c r="H27" s="49"/>
    </row>
    <row r="28" spans="1:32" ht="39" customHeight="1" x14ac:dyDescent="0.25"/>
    <row r="29" spans="1:32" s="62" customFormat="1" ht="51" customHeight="1" x14ac:dyDescent="0.2">
      <c r="A29" s="41" t="s">
        <v>591</v>
      </c>
      <c r="B29" s="43" t="s">
        <v>585</v>
      </c>
      <c r="G29" s="63"/>
      <c r="H29" s="72">
        <f t="shared" ref="H29:AF29" si="0">IF(H31="",1,0)</f>
        <v>0</v>
      </c>
      <c r="I29" s="72">
        <f t="shared" si="0"/>
        <v>0</v>
      </c>
      <c r="J29" s="72">
        <f t="shared" si="0"/>
        <v>0</v>
      </c>
      <c r="K29" s="72">
        <f t="shared" si="0"/>
        <v>0</v>
      </c>
      <c r="L29" s="72">
        <f t="shared" si="0"/>
        <v>0</v>
      </c>
      <c r="M29" s="72">
        <f t="shared" si="0"/>
        <v>0</v>
      </c>
      <c r="N29" s="72">
        <f t="shared" si="0"/>
        <v>0</v>
      </c>
      <c r="O29" s="72">
        <f t="shared" si="0"/>
        <v>0</v>
      </c>
      <c r="P29" s="72">
        <f t="shared" si="0"/>
        <v>0</v>
      </c>
      <c r="Q29" s="72">
        <f t="shared" si="0"/>
        <v>0</v>
      </c>
      <c r="R29" s="72">
        <f t="shared" si="0"/>
        <v>0</v>
      </c>
      <c r="S29" s="72">
        <f t="shared" si="0"/>
        <v>0</v>
      </c>
      <c r="T29" s="72">
        <f t="shared" si="0"/>
        <v>0</v>
      </c>
      <c r="U29" s="72">
        <f t="shared" si="0"/>
        <v>0</v>
      </c>
      <c r="V29" s="72">
        <f t="shared" si="0"/>
        <v>0</v>
      </c>
      <c r="W29" s="72">
        <f t="shared" si="0"/>
        <v>0</v>
      </c>
      <c r="X29" s="72">
        <f t="shared" si="0"/>
        <v>0</v>
      </c>
      <c r="Y29" s="72">
        <f t="shared" si="0"/>
        <v>0</v>
      </c>
      <c r="Z29" s="72">
        <f t="shared" si="0"/>
        <v>0</v>
      </c>
      <c r="AA29" s="72">
        <f t="shared" si="0"/>
        <v>0</v>
      </c>
      <c r="AB29" s="72">
        <f t="shared" si="0"/>
        <v>0</v>
      </c>
      <c r="AC29" s="72">
        <f t="shared" si="0"/>
        <v>0</v>
      </c>
      <c r="AD29" s="72">
        <f t="shared" si="0"/>
        <v>0</v>
      </c>
      <c r="AE29" s="72">
        <f t="shared" si="0"/>
        <v>0</v>
      </c>
      <c r="AF29" s="72">
        <f t="shared" si="0"/>
        <v>0</v>
      </c>
    </row>
    <row r="30" spans="1:32" ht="21" customHeight="1" x14ac:dyDescent="0.25">
      <c r="A30" s="41" t="s">
        <v>601</v>
      </c>
      <c r="B30" s="217" t="s">
        <v>581</v>
      </c>
      <c r="C30" s="64"/>
      <c r="D30" s="64"/>
      <c r="E30" s="64"/>
      <c r="F30" s="64"/>
      <c r="G30" s="65"/>
      <c r="H30" s="50" t="s">
        <v>582</v>
      </c>
      <c r="I30" s="50" t="s">
        <v>582</v>
      </c>
      <c r="J30" s="50" t="s">
        <v>582</v>
      </c>
      <c r="K30" s="50" t="s">
        <v>582</v>
      </c>
      <c r="L30" s="50" t="s">
        <v>582</v>
      </c>
      <c r="M30" s="50" t="s">
        <v>582</v>
      </c>
      <c r="N30" s="50" t="s">
        <v>582</v>
      </c>
      <c r="O30" s="50" t="s">
        <v>582</v>
      </c>
      <c r="P30" s="50" t="s">
        <v>582</v>
      </c>
      <c r="Q30" s="50" t="s">
        <v>582</v>
      </c>
      <c r="R30" s="50" t="s">
        <v>582</v>
      </c>
      <c r="S30" s="50" t="s">
        <v>582</v>
      </c>
      <c r="T30" s="50" t="s">
        <v>582</v>
      </c>
      <c r="U30" s="50" t="s">
        <v>582</v>
      </c>
      <c r="V30" s="50" t="s">
        <v>582</v>
      </c>
      <c r="W30" s="50" t="s">
        <v>582</v>
      </c>
      <c r="X30" s="50" t="s">
        <v>582</v>
      </c>
      <c r="Y30" s="50" t="s">
        <v>582</v>
      </c>
      <c r="Z30" s="50" t="s">
        <v>582</v>
      </c>
      <c r="AA30" s="50" t="s">
        <v>582</v>
      </c>
      <c r="AB30" s="50" t="s">
        <v>582</v>
      </c>
      <c r="AC30" s="50" t="s">
        <v>582</v>
      </c>
      <c r="AD30" s="50" t="s">
        <v>582</v>
      </c>
      <c r="AE30" s="50" t="s">
        <v>582</v>
      </c>
      <c r="AF30" s="50" t="s">
        <v>582</v>
      </c>
    </row>
    <row r="31" spans="1:32" ht="15" customHeight="1" x14ac:dyDescent="0.25">
      <c r="A31" s="41" t="s">
        <v>601</v>
      </c>
      <c r="B31" s="218"/>
      <c r="C31" s="66"/>
      <c r="D31" s="66"/>
      <c r="E31" s="66"/>
      <c r="F31" s="66"/>
      <c r="G31" s="67"/>
      <c r="H31" s="171">
        <f t="array" ref="H31">IFERROR(INDEX($D$3:$D$28, MATCH(0,IF(ISBLANK($D$3:$D$28),1,COUNTIF($G$31:G31, $D$3:$D$28)), 0)),"")</f>
        <v>44012</v>
      </c>
      <c r="I31" s="171">
        <f t="array" ref="I31">IFERROR(INDEX($D$3:$D$28, MATCH(0,IF(ISBLANK($D$3:$D$28),1,COUNTIF($G$31:H31, $D$3:$D$28)), 0)),"")</f>
        <v>43982</v>
      </c>
      <c r="J31" s="171">
        <f t="array" ref="J31">IFERROR(INDEX($D$3:$D$28, MATCH(0,IF(ISBLANK($D$3:$D$28),1,COUNTIF($G$31:I31, $D$3:$D$28)), 0)),"")</f>
        <v>43951</v>
      </c>
      <c r="K31" s="171">
        <f t="array" ref="K31">IFERROR(INDEX($D$3:$D$28, MATCH(0,IF(ISBLANK($D$3:$D$28),1,COUNTIF($G$31:J31, $D$3:$D$28)), 0)),"")</f>
        <v>43921</v>
      </c>
      <c r="L31" s="171">
        <f t="array" ref="L31">IFERROR(INDEX($D$3:$D$28, MATCH(0,IF(ISBLANK($D$3:$D$28),1,COUNTIF($G$31:K31, $D$3:$D$28)), 0)),"")</f>
        <v>43889</v>
      </c>
      <c r="M31" s="171">
        <f t="array" ref="M31">IFERROR(INDEX($D$3:$D$28, MATCH(0,IF(ISBLANK($D$3:$D$28),1,COUNTIF($G$31:L31, $D$3:$D$28)), 0)),"")</f>
        <v>43861</v>
      </c>
      <c r="N31" s="171">
        <f t="array" ref="N31">IFERROR(INDEX($D$3:$D$28, MATCH(0,IF(ISBLANK($D$3:$D$28),1,COUNTIF($G$31:M31, $D$3:$D$28)), 0)),"")</f>
        <v>43830</v>
      </c>
      <c r="O31" s="171">
        <f t="array" ref="O31">IFERROR(INDEX($D$3:$D$28, MATCH(0,IF(ISBLANK($D$3:$D$28),1,COUNTIF($G$31:N31, $D$3:$D$28)), 0)),"")</f>
        <v>43799</v>
      </c>
      <c r="P31" s="171">
        <f t="array" ref="P31">IFERROR(INDEX($D$3:$D$28, MATCH(0,IF(ISBLANK($D$3:$D$28),1,COUNTIF($G$31:O31, $D$3:$D$28)), 0)),"")</f>
        <v>43769</v>
      </c>
      <c r="Q31" s="171">
        <f t="array" ref="Q31">IFERROR(INDEX($D$3:$D$28, MATCH(0,IF(ISBLANK($D$3:$D$28),1,COUNTIF($G$31:P31, $D$3:$D$28)), 0)),"")</f>
        <v>43738</v>
      </c>
      <c r="R31" s="171">
        <f t="array" ref="R31">IFERROR(INDEX($D$3:$D$28, MATCH(0,IF(ISBLANK($D$3:$D$28),1,COUNTIF($G$31:Q31, $D$3:$D$28)), 0)),"")</f>
        <v>43708</v>
      </c>
      <c r="S31" s="171">
        <f t="array" ref="S31">IFERROR(INDEX($D$3:$D$28, MATCH(0,IF(ISBLANK($D$3:$D$28),1,COUNTIF($G$31:R31, $D$3:$D$28)), 0)),"")</f>
        <v>43677</v>
      </c>
      <c r="T31" s="171">
        <f t="array" ref="T31">IFERROR(INDEX($D$3:$D$28, MATCH(0,IF(ISBLANK($D$3:$D$28),1,COUNTIF($G$31:S31, $D$3:$D$28)), 0)),"")</f>
        <v>43646</v>
      </c>
      <c r="U31" s="171">
        <f t="array" ref="U31">IFERROR(INDEX($D$3:$D$28, MATCH(0,IF(ISBLANK($D$3:$D$28),1,COUNTIF($G$31:T31, $D$3:$D$28)), 0)),"")</f>
        <v>43616</v>
      </c>
      <c r="V31" s="171">
        <f t="array" ref="V31">IFERROR(INDEX($D$3:$D$28, MATCH(0,IF(ISBLANK($D$3:$D$28),1,COUNTIF($G$31:U31, $D$3:$D$28)), 0)),"")</f>
        <v>43585</v>
      </c>
      <c r="W31" s="171">
        <f t="array" ref="W31">IFERROR(INDEX($D$3:$D$28, MATCH(0,IF(ISBLANK($D$3:$D$28),1,COUNTIF($G$31:V31, $D$3:$D$28)), 0)),"")</f>
        <v>43555</v>
      </c>
      <c r="X31" s="171">
        <f t="array" ref="X31">IFERROR(INDEX($D$3:$D$28, MATCH(0,IF(ISBLANK($D$3:$D$28),1,COUNTIF($G$31:W31, $D$3:$D$28)), 0)),"")</f>
        <v>43524</v>
      </c>
      <c r="Y31" s="171">
        <f t="array" ref="Y31">IFERROR(INDEX($D$3:$D$28, MATCH(0,IF(ISBLANK($D$3:$D$28),1,COUNTIF($G$31:X31, $D$3:$D$28)), 0)),"")</f>
        <v>43496</v>
      </c>
      <c r="Z31" s="171">
        <f t="array" ref="Z31">IFERROR(INDEX($D$3:$D$28, MATCH(0,IF(ISBLANK($D$3:$D$28),1,COUNTIF($G$31:Y31, $D$3:$D$28)), 0)),"")</f>
        <v>43465</v>
      </c>
      <c r="AA31" s="171">
        <f t="array" ref="AA31">IFERROR(INDEX($D$3:$D$28, MATCH(0,IF(ISBLANK($D$3:$D$28),1,COUNTIF($G$31:Z31, $D$3:$D$28)), 0)),"")</f>
        <v>43434</v>
      </c>
      <c r="AB31" s="171">
        <f t="array" ref="AB31">IFERROR(INDEX($D$3:$D$28, MATCH(0,IF(ISBLANK($D$3:$D$28),1,COUNTIF($G$31:AA31, $D$3:$D$28)), 0)),"")</f>
        <v>43404</v>
      </c>
      <c r="AC31" s="171">
        <f t="array" ref="AC31">IFERROR(INDEX($D$3:$D$28, MATCH(0,IF(ISBLANK($D$3:$D$28),1,COUNTIF($G$31:AB31, $D$3:$D$28)), 0)),"")</f>
        <v>43373</v>
      </c>
      <c r="AD31" s="171">
        <f t="array" ref="AD31">IFERROR(INDEX($D$3:$D$28, MATCH(0,IF(ISBLANK($D$3:$D$28),1,COUNTIF($G$31:AC31, $D$3:$D$28)), 0)),"")</f>
        <v>43343</v>
      </c>
      <c r="AE31" s="171">
        <f t="array" ref="AE31">IFERROR(INDEX($D$3:$D$28, MATCH(0,IF(ISBLANK($D$3:$D$28),1,COUNTIF($G$31:AD31, $D$3:$D$28)), 0)),"")</f>
        <v>43312</v>
      </c>
      <c r="AF31" s="171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41" t="s">
        <v>601</v>
      </c>
      <c r="B32" s="219"/>
      <c r="C32" s="68"/>
      <c r="D32" s="68"/>
      <c r="E32" s="68"/>
      <c r="F32" s="68"/>
      <c r="G32" s="69"/>
      <c r="H32" s="77" t="s">
        <v>598</v>
      </c>
      <c r="I32" s="77" t="s">
        <v>598</v>
      </c>
      <c r="J32" s="77" t="s">
        <v>598</v>
      </c>
      <c r="K32" s="77" t="s">
        <v>598</v>
      </c>
      <c r="L32" s="77" t="s">
        <v>598</v>
      </c>
      <c r="M32" s="77" t="s">
        <v>598</v>
      </c>
      <c r="N32" s="77" t="s">
        <v>598</v>
      </c>
      <c r="O32" s="77" t="s">
        <v>598</v>
      </c>
      <c r="P32" s="77" t="s">
        <v>598</v>
      </c>
      <c r="Q32" s="77" t="s">
        <v>598</v>
      </c>
      <c r="R32" s="77" t="s">
        <v>598</v>
      </c>
      <c r="S32" s="77" t="s">
        <v>598</v>
      </c>
      <c r="T32" s="77" t="s">
        <v>598</v>
      </c>
      <c r="U32" s="77" t="s">
        <v>598</v>
      </c>
      <c r="V32" s="77" t="s">
        <v>598</v>
      </c>
      <c r="W32" s="77" t="s">
        <v>598</v>
      </c>
      <c r="X32" s="77" t="s">
        <v>598</v>
      </c>
      <c r="Y32" s="77" t="s">
        <v>598</v>
      </c>
      <c r="Z32" s="77" t="s">
        <v>598</v>
      </c>
      <c r="AA32" s="77" t="s">
        <v>598</v>
      </c>
      <c r="AB32" s="77" t="s">
        <v>598</v>
      </c>
      <c r="AC32" s="77" t="s">
        <v>598</v>
      </c>
      <c r="AD32" s="77" t="s">
        <v>598</v>
      </c>
      <c r="AE32" s="77" t="s">
        <v>598</v>
      </c>
      <c r="AF32" s="77" t="s">
        <v>598</v>
      </c>
    </row>
    <row r="33" spans="1:32" ht="15" customHeight="1" x14ac:dyDescent="0.25">
      <c r="A33" s="41">
        <f>IF(B33="",1,0)</f>
        <v>0</v>
      </c>
      <c r="B33" s="51" t="str">
        <f t="array" ref="B33">IFERROR(INDEX($B$3:$B$28, MATCH(0,IF(ISBLANK($B$3:$B$28),1,COUNTIF($B$32:B32, $B$3:$B$28)), 0)),"")</f>
        <v>Goa</v>
      </c>
      <c r="C33" s="52"/>
      <c r="D33" s="52"/>
      <c r="E33" s="52"/>
      <c r="F33" s="52"/>
      <c r="G33" s="61"/>
      <c r="H33" s="100">
        <f t="array" ref="H33">IFERROR(AVERAGE(IF($B$3:$B$28=$B33,IF($D$3:$D$28=H$31,IF($G$3:$G$28&lt;&gt;"",$G$3:$G$28)))),"")</f>
        <v>2654</v>
      </c>
      <c r="I33" s="100" t="str">
        <f t="array" ref="I33">IFERROR(AVERAGE(IF($B$3:$B$28=$B33,IF($D$3:$D$28=I$31,IF($G$3:$G$28&lt;&gt;"",$G$3:$G$28)))),"")</f>
        <v/>
      </c>
      <c r="J33" s="100" t="str">
        <f t="array" ref="J33">IFERROR(AVERAGE(IF($B$3:$B$28=$B33,IF($D$3:$D$28=J$31,IF($G$3:$G$28&lt;&gt;"",$G$3:$G$28)))),"")</f>
        <v/>
      </c>
      <c r="K33" s="100" t="str">
        <f t="array" ref="K33">IFERROR(AVERAGE(IF($B$3:$B$28=$B33,IF($D$3:$D$28=K$31,IF($G$3:$G$28&lt;&gt;"",$G$3:$G$28)))),"")</f>
        <v/>
      </c>
      <c r="L33" s="100" t="str">
        <f t="array" ref="L33">IFERROR(AVERAGE(IF($B$3:$B$28=$B33,IF($D$3:$D$28=L$31,IF($G$3:$G$28&lt;&gt;"",$G$3:$G$28)))),"")</f>
        <v/>
      </c>
      <c r="M33" s="100" t="str">
        <f t="array" ref="M33">IFERROR(AVERAGE(IF($B$3:$B$28=$B33,IF($D$3:$D$28=M$31,IF($G$3:$G$28&lt;&gt;"",$G$3:$G$28)))),"")</f>
        <v/>
      </c>
      <c r="N33" s="100" t="str">
        <f t="array" ref="N33">IFERROR(AVERAGE(IF($B$3:$B$28=$B33,IF($D$3:$D$28=N$31,IF($G$3:$G$28&lt;&gt;"",$G$3:$G$28)))),"")</f>
        <v/>
      </c>
      <c r="O33" s="100">
        <f t="array" ref="O33">IFERROR(AVERAGE(IF($B$3:$B$28=$B33,IF($D$3:$D$28=O$31,IF($G$3:$G$28&lt;&gt;"",$G$3:$G$28)))),"")</f>
        <v>2566</v>
      </c>
      <c r="P33" s="100" t="str">
        <f t="array" ref="P33">IFERROR(AVERAGE(IF($B$3:$B$28=$B33,IF($D$3:$D$28=P$31,IF($G$3:$G$28&lt;&gt;"",$G$3:$G$28)))),"")</f>
        <v/>
      </c>
      <c r="Q33" s="100" t="str">
        <f t="array" ref="Q33">IFERROR(AVERAGE(IF($B$3:$B$28=$B33,IF($D$3:$D$28=Q$31,IF($G$3:$G$28&lt;&gt;"",$G$3:$G$28)))),"")</f>
        <v/>
      </c>
      <c r="R33" s="100" t="str">
        <f t="array" ref="R33">IFERROR(AVERAGE(IF($B$3:$B$28=$B33,IF($D$3:$D$28=R$31,IF($G$3:$G$28&lt;&gt;"",$G$3:$G$28)))),"")</f>
        <v/>
      </c>
      <c r="S33" s="100" t="str">
        <f t="array" ref="S33">IFERROR(AVERAGE(IF($B$3:$B$28=$B33,IF($D$3:$D$28=S$31,IF($G$3:$G$28&lt;&gt;"",$G$3:$G$28)))),"")</f>
        <v/>
      </c>
      <c r="T33" s="100" t="str">
        <f t="array" ref="T33">IFERROR(AVERAGE(IF($B$3:$B$28=$B33,IF($D$3:$D$28=T$31,IF($G$3:$G$28&lt;&gt;"",$G$3:$G$28)))),"")</f>
        <v/>
      </c>
      <c r="U33" s="100">
        <f t="array" ref="U33">IFERROR(AVERAGE(IF($B$3:$B$28=$B33,IF($D$3:$D$28=U$31,IF($G$3:$G$28&lt;&gt;"",$G$3:$G$28)))),"")</f>
        <v>1173</v>
      </c>
      <c r="V33" s="100" t="str">
        <f t="array" ref="V33">IFERROR(AVERAGE(IF($B$3:$B$28=$B33,IF($D$3:$D$28=V$31,IF($G$3:$G$28&lt;&gt;"",$G$3:$G$28)))),"")</f>
        <v/>
      </c>
      <c r="W33" s="100" t="str">
        <f t="array" ref="W33">IFERROR(AVERAGE(IF($B$3:$B$28=$B33,IF($D$3:$D$28=W$31,IF($G$3:$G$28&lt;&gt;"",$G$3:$G$28)))),"")</f>
        <v/>
      </c>
      <c r="X33" s="100" t="str">
        <f t="array" ref="X33">IFERROR(AVERAGE(IF($B$3:$B$28=$B33,IF($D$3:$D$28=X$31,IF($G$3:$G$28&lt;&gt;"",$G$3:$G$28)))),"")</f>
        <v/>
      </c>
      <c r="Y33" s="100" t="str">
        <f t="array" ref="Y33">IFERROR(AVERAGE(IF($B$3:$B$28=$B33,IF($D$3:$D$28=Y$31,IF($G$3:$G$28&lt;&gt;"",$G$3:$G$28)))),"")</f>
        <v/>
      </c>
      <c r="Z33" s="100" t="str">
        <f t="array" ref="Z33">IFERROR(AVERAGE(IF($B$3:$B$28=$B33,IF($D$3:$D$28=Z$31,IF($G$3:$G$28&lt;&gt;"",$G$3:$G$28)))),"")</f>
        <v/>
      </c>
      <c r="AA33" s="100" t="str">
        <f t="array" ref="AA33">IFERROR(AVERAGE(IF($B$3:$B$28=$B33,IF($D$3:$D$28=AA$31,IF($G$3:$G$28&lt;&gt;"",$G$3:$G$28)))),"")</f>
        <v/>
      </c>
      <c r="AB33" s="100">
        <f t="array" ref="AB33">IFERROR(AVERAGE(IF($B$3:$B$28=$B33,IF($D$3:$D$28=AB$31,IF($G$3:$G$28&lt;&gt;"",$G$3:$G$28)))),"")</f>
        <v>2577</v>
      </c>
      <c r="AC33" s="100" t="str">
        <f t="array" ref="AC33">IFERROR(AVERAGE(IF($B$3:$B$28=$B33,IF($D$3:$D$28=AC$31,IF($G$3:$G$28&lt;&gt;"",$G$3:$G$28)))),"")</f>
        <v/>
      </c>
      <c r="AD33" s="100" t="str">
        <f t="array" ref="AD33">IFERROR(AVERAGE(IF($B$3:$B$28=$B33,IF($D$3:$D$28=AD$31,IF($G$3:$G$28&lt;&gt;"",$G$3:$G$28)))),"")</f>
        <v/>
      </c>
      <c r="AE33" s="100" t="str">
        <f t="array" ref="AE33">IFERROR(AVERAGE(IF($B$3:$B$28=$B33,IF($D$3:$D$28=AE$31,IF($G$3:$G$28&lt;&gt;"",$G$3:$G$28)))),"")</f>
        <v/>
      </c>
      <c r="AF33" s="100" t="str">
        <f t="array" ref="AF33">IFERROR(AVERAGE(IF($B$3:$B$28=$B33,IF($D$3:$D$28=AF$31,IF($G$3:$G$28&lt;&gt;"",$G$3:$G$28)))),"")</f>
        <v/>
      </c>
    </row>
    <row r="34" spans="1:32" ht="15" customHeight="1" x14ac:dyDescent="0.25">
      <c r="A34" s="41">
        <f t="shared" ref="A34" si="1">IF(B34="",1,0)</f>
        <v>0</v>
      </c>
      <c r="B34" s="51" t="str">
        <f t="array" ref="B34">IFERROR(INDEX($B$3:$B$28, MATCH(0,IF(ISBLANK($B$3:$B$28),1,COUNTIF($B$32:B33, $B$3:$B$28)), 0)),"")</f>
        <v>Hyd</v>
      </c>
      <c r="C34" s="52"/>
      <c r="D34" s="52"/>
      <c r="E34" s="52"/>
      <c r="F34" s="52"/>
      <c r="G34" s="61"/>
      <c r="H34" s="100" t="str">
        <f t="array" ref="H34">IFERROR(AVERAGE(IF($B$3:$B$28=$B34,IF($D$3:$D$28=H$31,IF($G$3:$G$28&lt;&gt;"",$G$3:$G$28)))),"")</f>
        <v/>
      </c>
      <c r="I34" s="100">
        <f t="array" ref="I34">IFERROR(AVERAGE(IF($B$3:$B$28=$B34,IF($D$3:$D$28=I$31,IF($G$3:$G$28&lt;&gt;"",$G$3:$G$28)))),"")</f>
        <v>1173</v>
      </c>
      <c r="J34" s="100" t="str">
        <f t="array" ref="J34">IFERROR(AVERAGE(IF($B$3:$B$28=$B34,IF($D$3:$D$28=J$31,IF($G$3:$G$28&lt;&gt;"",$G$3:$G$28)))),"")</f>
        <v/>
      </c>
      <c r="K34" s="100" t="str">
        <f t="array" ref="K34">IFERROR(AVERAGE(IF($B$3:$B$28=$B34,IF($D$3:$D$28=K$31,IF($G$3:$G$28&lt;&gt;"",$G$3:$G$28)))),"")</f>
        <v/>
      </c>
      <c r="L34" s="100" t="str">
        <f t="array" ref="L34">IFERROR(AVERAGE(IF($B$3:$B$28=$B34,IF($D$3:$D$28=L$31,IF($G$3:$G$28&lt;&gt;"",$G$3:$G$28)))),"")</f>
        <v/>
      </c>
      <c r="M34" s="100">
        <f t="array" ref="M34">IFERROR(AVERAGE(IF($B$3:$B$28=$B34,IF($D$3:$D$28=M$31,IF($G$3:$G$28&lt;&gt;"",$G$3:$G$28)))),"")</f>
        <v>1993</v>
      </c>
      <c r="N34" s="100" t="str">
        <f t="array" ref="N34">IFERROR(AVERAGE(IF($B$3:$B$28=$B34,IF($D$3:$D$28=N$31,IF($G$3:$G$28&lt;&gt;"",$G$3:$G$28)))),"")</f>
        <v/>
      </c>
      <c r="O34" s="100" t="str">
        <f t="array" ref="O34">IFERROR(AVERAGE(IF($B$3:$B$28=$B34,IF($D$3:$D$28=O$31,IF($G$3:$G$28&lt;&gt;"",$G$3:$G$28)))),"")</f>
        <v/>
      </c>
      <c r="P34" s="100" t="str">
        <f t="array" ref="P34">IFERROR(AVERAGE(IF($B$3:$B$28=$B34,IF($D$3:$D$28=P$31,IF($G$3:$G$28&lt;&gt;"",$G$3:$G$28)))),"")</f>
        <v/>
      </c>
      <c r="Q34" s="100" t="str">
        <f t="array" ref="Q34">IFERROR(AVERAGE(IF($B$3:$B$28=$B34,IF($D$3:$D$28=Q$31,IF($G$3:$G$28&lt;&gt;"",$G$3:$G$28)))),"")</f>
        <v/>
      </c>
      <c r="R34" s="100" t="str">
        <f t="array" ref="R34">IFERROR(AVERAGE(IF($B$3:$B$28=$B34,IF($D$3:$D$28=R$31,IF($G$3:$G$28&lt;&gt;"",$G$3:$G$28)))),"")</f>
        <v/>
      </c>
      <c r="S34" s="100" t="str">
        <f t="array" ref="S34">IFERROR(AVERAGE(IF($B$3:$B$28=$B34,IF($D$3:$D$28=S$31,IF($G$3:$G$28&lt;&gt;"",$G$3:$G$28)))),"")</f>
        <v/>
      </c>
      <c r="T34" s="100" t="str">
        <f t="array" ref="T34">IFERROR(AVERAGE(IF($B$3:$B$28=$B34,IF($D$3:$D$28=T$31,IF($G$3:$G$28&lt;&gt;"",$G$3:$G$28)))),"")</f>
        <v/>
      </c>
      <c r="U34" s="100" t="str">
        <f t="array" ref="U34">IFERROR(AVERAGE(IF($B$3:$B$28=$B34,IF($D$3:$D$28=U$31,IF($G$3:$G$28&lt;&gt;"",$G$3:$G$28)))),"")</f>
        <v/>
      </c>
      <c r="V34" s="100">
        <f t="array" ref="V34">IFERROR(AVERAGE(IF($B$3:$B$28=$B34,IF($D$3:$D$28=V$31,IF($G$3:$G$28&lt;&gt;"",$G$3:$G$28)))),"")</f>
        <v>1098</v>
      </c>
      <c r="W34" s="100" t="str">
        <f t="array" ref="W34">IFERROR(AVERAGE(IF($B$3:$B$28=$B34,IF($D$3:$D$28=W$31,IF($G$3:$G$28&lt;&gt;"",$G$3:$G$28)))),"")</f>
        <v/>
      </c>
      <c r="X34" s="100" t="str">
        <f t="array" ref="X34">IFERROR(AVERAGE(IF($B$3:$B$28=$B34,IF($D$3:$D$28=X$31,IF($G$3:$G$28&lt;&gt;"",$G$3:$G$28)))),"")</f>
        <v/>
      </c>
      <c r="Y34" s="100" t="str">
        <f t="array" ref="Y34">IFERROR(AVERAGE(IF($B$3:$B$28=$B34,IF($D$3:$D$28=Y$31,IF($G$3:$G$28&lt;&gt;"",$G$3:$G$28)))),"")</f>
        <v/>
      </c>
      <c r="Z34" s="100">
        <f t="array" ref="Z34">IFERROR(AVERAGE(IF($B$3:$B$28=$B34,IF($D$3:$D$28=Z$31,IF($G$3:$G$28&lt;&gt;"",$G$3:$G$28)))),"")</f>
        <v>2323</v>
      </c>
      <c r="AA34" s="100" t="str">
        <f t="array" ref="AA34">IFERROR(AVERAGE(IF($B$3:$B$28=$B34,IF($D$3:$D$28=AA$31,IF($G$3:$G$28&lt;&gt;"",$G$3:$G$28)))),"")</f>
        <v/>
      </c>
      <c r="AB34" s="100" t="str">
        <f t="array" ref="AB34">IFERROR(AVERAGE(IF($B$3:$B$28=$B34,IF($D$3:$D$28=AB$31,IF($G$3:$G$28&lt;&gt;"",$G$3:$G$28)))),"")</f>
        <v/>
      </c>
      <c r="AC34" s="100" t="str">
        <f t="array" ref="AC34">IFERROR(AVERAGE(IF($B$3:$B$28=$B34,IF($D$3:$D$28=AC$31,IF($G$3:$G$28&lt;&gt;"",$G$3:$G$28)))),"")</f>
        <v/>
      </c>
      <c r="AD34" s="100" t="str">
        <f t="array" ref="AD34">IFERROR(AVERAGE(IF($B$3:$B$28=$B34,IF($D$3:$D$28=AD$31,IF($G$3:$G$28&lt;&gt;"",$G$3:$G$28)))),"")</f>
        <v/>
      </c>
      <c r="AE34" s="100" t="str">
        <f t="array" ref="AE34">IFERROR(AVERAGE(IF($B$3:$B$28=$B34,IF($D$3:$D$28=AE$31,IF($G$3:$G$28&lt;&gt;"",$G$3:$G$28)))),"")</f>
        <v/>
      </c>
      <c r="AF34" s="100" t="str">
        <f t="array" ref="AF34">IFERROR(AVERAGE(IF($B$3:$B$28=$B34,IF($D$3:$D$28=AF$31,IF($G$3:$G$28&lt;&gt;"",$G$3:$G$28)))),"")</f>
        <v/>
      </c>
    </row>
    <row r="35" spans="1:32" ht="15" customHeight="1" x14ac:dyDescent="0.25">
      <c r="A35" s="41">
        <f t="shared" ref="A35:A42" si="2">IF(B35="",1,0)</f>
        <v>0</v>
      </c>
      <c r="B35" s="51" t="str">
        <f t="array" ref="B35">IFERROR(INDEX($B$3:$B$28, MATCH(0,IF(ISBLANK($B$3:$B$28),1,COUNTIF($B$32:B34, $B$3:$B$28)), 0)),"")</f>
        <v>Delhi</v>
      </c>
      <c r="C35" s="52"/>
      <c r="D35" s="52"/>
      <c r="E35" s="52"/>
      <c r="F35" s="52"/>
      <c r="G35" s="61"/>
      <c r="H35" s="100" t="str">
        <f t="array" ref="H35">IFERROR(AVERAGE(IF($B$3:$B$28=$B35,IF($D$3:$D$28=H$31,IF($G$3:$G$28&lt;&gt;"",$G$3:$G$28)))),"")</f>
        <v/>
      </c>
      <c r="I35" s="100" t="str">
        <f t="array" ref="I35">IFERROR(AVERAGE(IF($B$3:$B$28=$B35,IF($D$3:$D$28=I$31,IF($G$3:$G$28&lt;&gt;"",$G$3:$G$28)))),"")</f>
        <v/>
      </c>
      <c r="J35" s="100">
        <f t="array" ref="J35">IFERROR(AVERAGE(IF($B$3:$B$28=$B35,IF($D$3:$D$28=J$31,IF($G$3:$G$28&lt;&gt;"",$G$3:$G$28)))),"")</f>
        <v>1098</v>
      </c>
      <c r="K35" s="100" t="str">
        <f t="array" ref="K35">IFERROR(AVERAGE(IF($B$3:$B$28=$B35,IF($D$3:$D$28=K$31,IF($G$3:$G$28&lt;&gt;"",$G$3:$G$28)))),"")</f>
        <v/>
      </c>
      <c r="L35" s="100" t="str">
        <f t="array" ref="L35">IFERROR(AVERAGE(IF($B$3:$B$28=$B35,IF($D$3:$D$28=L$31,IF($G$3:$G$28&lt;&gt;"",$G$3:$G$28)))),"")</f>
        <v/>
      </c>
      <c r="M35" s="100" t="str">
        <f t="array" ref="M35">IFERROR(AVERAGE(IF($B$3:$B$28=$B35,IF($D$3:$D$28=M$31,IF($G$3:$G$28&lt;&gt;"",$G$3:$G$28)))),"")</f>
        <v/>
      </c>
      <c r="N35" s="100">
        <f t="array" ref="N35">IFERROR(AVERAGE(IF($B$3:$B$28=$B35,IF($D$3:$D$28=N$31,IF($G$3:$G$28&lt;&gt;"",$G$3:$G$28)))),"")</f>
        <v>2323</v>
      </c>
      <c r="O35" s="100" t="str">
        <f t="array" ref="O35">IFERROR(AVERAGE(IF($B$3:$B$28=$B35,IF($D$3:$D$28=O$31,IF($G$3:$G$28&lt;&gt;"",$G$3:$G$28)))),"")</f>
        <v/>
      </c>
      <c r="P35" s="100" t="str">
        <f t="array" ref="P35">IFERROR(AVERAGE(IF($B$3:$B$28=$B35,IF($D$3:$D$28=P$31,IF($G$3:$G$28&lt;&gt;"",$G$3:$G$28)))),"")</f>
        <v/>
      </c>
      <c r="Q35" s="100" t="str">
        <f t="array" ref="Q35">IFERROR(AVERAGE(IF($B$3:$B$28=$B35,IF($D$3:$D$28=Q$31,IF($G$3:$G$28&lt;&gt;"",$G$3:$G$28)))),"")</f>
        <v/>
      </c>
      <c r="R35" s="100" t="str">
        <f t="array" ref="R35">IFERROR(AVERAGE(IF($B$3:$B$28=$B35,IF($D$3:$D$28=R$31,IF($G$3:$G$28&lt;&gt;"",$G$3:$G$28)))),"")</f>
        <v/>
      </c>
      <c r="S35" s="100" t="str">
        <f t="array" ref="S35">IFERROR(AVERAGE(IF($B$3:$B$28=$B35,IF($D$3:$D$28=S$31,IF($G$3:$G$28&lt;&gt;"",$G$3:$G$28)))),"")</f>
        <v/>
      </c>
      <c r="T35" s="100" t="str">
        <f t="array" ref="T35">IFERROR(AVERAGE(IF($B$3:$B$28=$B35,IF($D$3:$D$28=T$31,IF($G$3:$G$28&lt;&gt;"",$G$3:$G$28)))),"")</f>
        <v/>
      </c>
      <c r="U35" s="100" t="str">
        <f t="array" ref="U35">IFERROR(AVERAGE(IF($B$3:$B$28=$B35,IF($D$3:$D$28=U$31,IF($G$3:$G$28&lt;&gt;"",$G$3:$G$28)))),"")</f>
        <v/>
      </c>
      <c r="V35" s="100" t="str">
        <f t="array" ref="V35">IFERROR(AVERAGE(IF($B$3:$B$28=$B35,IF($D$3:$D$28=V$31,IF($G$3:$G$28&lt;&gt;"",$G$3:$G$28)))),"")</f>
        <v/>
      </c>
      <c r="W35" s="100">
        <f t="array" ref="W35">IFERROR(AVERAGE(IF($B$3:$B$28=$B35,IF($D$3:$D$28=W$31,IF($G$3:$G$28&lt;&gt;"",$G$3:$G$28)))),"")</f>
        <v>986</v>
      </c>
      <c r="X35" s="100" t="str">
        <f t="array" ref="X35">IFERROR(AVERAGE(IF($B$3:$B$28=$B35,IF($D$3:$D$28=X$31,IF($G$3:$G$28&lt;&gt;"",$G$3:$G$28)))),"")</f>
        <v/>
      </c>
      <c r="Y35" s="100" t="str">
        <f t="array" ref="Y35">IFERROR(AVERAGE(IF($B$3:$B$28=$B35,IF($D$3:$D$28=Y$31,IF($G$3:$G$28&lt;&gt;"",$G$3:$G$28)))),"")</f>
        <v/>
      </c>
      <c r="Z35" s="100" t="str">
        <f t="array" ref="Z35">IFERROR(AVERAGE(IF($B$3:$B$28=$B35,IF($D$3:$D$28=Z$31,IF($G$3:$G$28&lt;&gt;"",$G$3:$G$28)))),"")</f>
        <v/>
      </c>
      <c r="AA35" s="100">
        <f t="array" ref="AA35">IFERROR(AVERAGE(IF($B$3:$B$28=$B35,IF($D$3:$D$28=AA$31,IF($G$3:$G$28&lt;&gt;"",$G$3:$G$28)))),"")</f>
        <v>2566</v>
      </c>
      <c r="AB35" s="100" t="str">
        <f t="array" ref="AB35">IFERROR(AVERAGE(IF($B$3:$B$28=$B35,IF($D$3:$D$28=AB$31,IF($G$3:$G$28&lt;&gt;"",$G$3:$G$28)))),"")</f>
        <v/>
      </c>
      <c r="AC35" s="100" t="str">
        <f t="array" ref="AC35">IFERROR(AVERAGE(IF($B$3:$B$28=$B35,IF($D$3:$D$28=AC$31,IF($G$3:$G$28&lt;&gt;"",$G$3:$G$28)))),"")</f>
        <v/>
      </c>
      <c r="AD35" s="100" t="str">
        <f t="array" ref="AD35">IFERROR(AVERAGE(IF($B$3:$B$28=$B35,IF($D$3:$D$28=AD$31,IF($G$3:$G$28&lt;&gt;"",$G$3:$G$28)))),"")</f>
        <v/>
      </c>
      <c r="AE35" s="100" t="str">
        <f t="array" ref="AE35">IFERROR(AVERAGE(IF($B$3:$B$28=$B35,IF($D$3:$D$28=AE$31,IF($G$3:$G$28&lt;&gt;"",$G$3:$G$28)))),"")</f>
        <v/>
      </c>
      <c r="AF35" s="100" t="str">
        <f t="array" ref="AF35">IFERROR(AVERAGE(IF($B$3:$B$28=$B35,IF($D$3:$D$28=AF$31,IF($G$3:$G$28&lt;&gt;"",$G$3:$G$28)))),"")</f>
        <v/>
      </c>
    </row>
    <row r="36" spans="1:32" ht="15" customHeight="1" x14ac:dyDescent="0.25">
      <c r="A36" s="41">
        <f t="shared" si="2"/>
        <v>0</v>
      </c>
      <c r="B36" s="51" t="str">
        <f t="array" ref="B36">IFERROR(INDEX($B$3:$B$28, MATCH(0,IF(ISBLANK($B$3:$B$28),1,COUNTIF($B$32:B35, $B$3:$B$28)), 0)),"")</f>
        <v>Banglore</v>
      </c>
      <c r="C36" s="52"/>
      <c r="D36" s="52"/>
      <c r="E36" s="52"/>
      <c r="F36" s="52"/>
      <c r="G36" s="61"/>
      <c r="H36" s="100" t="str">
        <f t="array" ref="H36">IFERROR(AVERAGE(IF($B$3:$B$28=$B36,IF($D$3:$D$28=H$31,IF($G$3:$G$28&lt;&gt;"",$G$3:$G$28)))),"")</f>
        <v/>
      </c>
      <c r="I36" s="100" t="str">
        <f t="array" ref="I36">IFERROR(AVERAGE(IF($B$3:$B$28=$B36,IF($D$3:$D$28=I$31,IF($G$3:$G$28&lt;&gt;"",$G$3:$G$28)))),"")</f>
        <v/>
      </c>
      <c r="J36" s="100" t="str">
        <f t="array" ref="J36">IFERROR(AVERAGE(IF($B$3:$B$28=$B36,IF($D$3:$D$28=J$31,IF($G$3:$G$28&lt;&gt;"",$G$3:$G$28)))),"")</f>
        <v/>
      </c>
      <c r="K36" s="100">
        <f t="array" ref="K36">IFERROR(AVERAGE(IF($B$3:$B$28=$B36,IF($D$3:$D$28=K$31,IF($G$3:$G$28&lt;&gt;"",$G$3:$G$28)))),"")</f>
        <v>986</v>
      </c>
      <c r="L36" s="100" t="str">
        <f t="array" ref="L36">IFERROR(AVERAGE(IF($B$3:$B$28=$B36,IF($D$3:$D$28=L$31,IF($G$3:$G$28&lt;&gt;"",$G$3:$G$28)))),"")</f>
        <v/>
      </c>
      <c r="M36" s="100" t="str">
        <f t="array" ref="M36">IFERROR(AVERAGE(IF($B$3:$B$28=$B36,IF($D$3:$D$28=M$31,IF($G$3:$G$28&lt;&gt;"",$G$3:$G$28)))),"")</f>
        <v/>
      </c>
      <c r="N36" s="100" t="str">
        <f t="array" ref="N36">IFERROR(AVERAGE(IF($B$3:$B$28=$B36,IF($D$3:$D$28=N$31,IF($G$3:$G$28&lt;&gt;"",$G$3:$G$28)))),"")</f>
        <v/>
      </c>
      <c r="O36" s="100" t="str">
        <f t="array" ref="O36">IFERROR(AVERAGE(IF($B$3:$B$28=$B36,IF($D$3:$D$28=O$31,IF($G$3:$G$28&lt;&gt;"",$G$3:$G$28)))),"")</f>
        <v/>
      </c>
      <c r="P36" s="100" t="str">
        <f t="array" ref="P36">IFERROR(AVERAGE(IF($B$3:$B$28=$B36,IF($D$3:$D$28=P$31,IF($G$3:$G$28&lt;&gt;"",$G$3:$G$28)))),"")</f>
        <v/>
      </c>
      <c r="Q36" s="100" t="str">
        <f t="array" ref="Q36">IFERROR(AVERAGE(IF($B$3:$B$28=$B36,IF($D$3:$D$28=Q$31,IF($G$3:$G$28&lt;&gt;"",$G$3:$G$28)))),"")</f>
        <v/>
      </c>
      <c r="R36" s="100" t="str">
        <f t="array" ref="R36">IFERROR(AVERAGE(IF($B$3:$B$28=$B36,IF($D$3:$D$28=R$31,IF($G$3:$G$28&lt;&gt;"",$G$3:$G$28)))),"")</f>
        <v/>
      </c>
      <c r="S36" s="100" t="str">
        <f t="array" ref="S36">IFERROR(AVERAGE(IF($B$3:$B$28=$B36,IF($D$3:$D$28=S$31,IF($G$3:$G$28&lt;&gt;"",$G$3:$G$28)))),"")</f>
        <v/>
      </c>
      <c r="T36" s="100" t="str">
        <f t="array" ref="T36">IFERROR(AVERAGE(IF($B$3:$B$28=$B36,IF($D$3:$D$28=T$31,IF($G$3:$G$28&lt;&gt;"",$G$3:$G$28)))),"")</f>
        <v/>
      </c>
      <c r="U36" s="100" t="str">
        <f t="array" ref="U36">IFERROR(AVERAGE(IF($B$3:$B$28=$B36,IF($D$3:$D$28=U$31,IF($G$3:$G$28&lt;&gt;"",$G$3:$G$28)))),"")</f>
        <v/>
      </c>
      <c r="V36" s="100" t="str">
        <f t="array" ref="V36">IFERROR(AVERAGE(IF($B$3:$B$28=$B36,IF($D$3:$D$28=V$31,IF($G$3:$G$28&lt;&gt;"",$G$3:$G$28)))),"")</f>
        <v/>
      </c>
      <c r="W36" s="100" t="str">
        <f t="array" ref="W36">IFERROR(AVERAGE(IF($B$3:$B$28=$B36,IF($D$3:$D$28=W$31,IF($G$3:$G$28&lt;&gt;"",$G$3:$G$28)))),"")</f>
        <v/>
      </c>
      <c r="X36" s="100">
        <f t="array" ref="X36">IFERROR(AVERAGE(IF($B$3:$B$28=$B36,IF($D$3:$D$28=X$31,IF($G$3:$G$28&lt;&gt;"",$G$3:$G$28)))),"")</f>
        <v>1212</v>
      </c>
      <c r="Y36" s="100" t="str">
        <f t="array" ref="Y36">IFERROR(AVERAGE(IF($B$3:$B$28=$B36,IF($D$3:$D$28=Y$31,IF($G$3:$G$28&lt;&gt;"",$G$3:$G$28)))),"")</f>
        <v/>
      </c>
      <c r="Z36" s="100" t="str">
        <f t="array" ref="Z36">IFERROR(AVERAGE(IF($B$3:$B$28=$B36,IF($D$3:$D$28=Z$31,IF($G$3:$G$28&lt;&gt;"",$G$3:$G$28)))),"")</f>
        <v/>
      </c>
      <c r="AA36" s="100" t="str">
        <f t="array" ref="AA36">IFERROR(AVERAGE(IF($B$3:$B$28=$B36,IF($D$3:$D$28=AA$31,IF($G$3:$G$28&lt;&gt;"",$G$3:$G$28)))),"")</f>
        <v/>
      </c>
      <c r="AB36" s="100" t="str">
        <f t="array" ref="AB36">IFERROR(AVERAGE(IF($B$3:$B$28=$B36,IF($D$3:$D$28=AB$31,IF($G$3:$G$28&lt;&gt;"",$G$3:$G$28)))),"")</f>
        <v/>
      </c>
      <c r="AC36" s="100" t="str">
        <f t="array" ref="AC36">IFERROR(AVERAGE(IF($B$3:$B$28=$B36,IF($D$3:$D$28=AC$31,IF($G$3:$G$28&lt;&gt;"",$G$3:$G$28)))),"")</f>
        <v/>
      </c>
      <c r="AD36" s="100" t="str">
        <f t="array" ref="AD36">IFERROR(AVERAGE(IF($B$3:$B$28=$B36,IF($D$3:$D$28=AD$31,IF($G$3:$G$28&lt;&gt;"",$G$3:$G$28)))),"")</f>
        <v/>
      </c>
      <c r="AE36" s="100" t="str">
        <f t="array" ref="AE36">IFERROR(AVERAGE(IF($B$3:$B$28=$B36,IF($D$3:$D$28=AE$31,IF($G$3:$G$28&lt;&gt;"",$G$3:$G$28)))),"")</f>
        <v/>
      </c>
      <c r="AF36" s="100" t="str">
        <f t="array" ref="AF36">IFERROR(AVERAGE(IF($B$3:$B$28=$B36,IF($D$3:$D$28=AF$31,IF($G$3:$G$28&lt;&gt;"",$G$3:$G$28)))),"")</f>
        <v/>
      </c>
    </row>
    <row r="37" spans="1:32" ht="15" customHeight="1" x14ac:dyDescent="0.25">
      <c r="A37" s="41">
        <f t="shared" si="2"/>
        <v>0</v>
      </c>
      <c r="B37" s="51" t="str">
        <f t="array" ref="B37">IFERROR(INDEX($B$3:$B$28, MATCH(0,IF(ISBLANK($B$3:$B$28),1,COUNTIF($B$32:B36, $B$3:$B$28)), 0)),"")</f>
        <v>Chennai</v>
      </c>
      <c r="C37" s="52"/>
      <c r="D37" s="52"/>
      <c r="E37" s="52"/>
      <c r="F37" s="52"/>
      <c r="G37" s="61"/>
      <c r="H37" s="100" t="str">
        <f t="array" ref="H37">IFERROR(AVERAGE(IF($B$3:$B$28=$B37,IF($D$3:$D$28=H$31,IF($G$3:$G$28&lt;&gt;"",$G$3:$G$28)))),"")</f>
        <v/>
      </c>
      <c r="I37" s="100" t="str">
        <f t="array" ref="I37">IFERROR(AVERAGE(IF($B$3:$B$28=$B37,IF($D$3:$D$28=I$31,IF($G$3:$G$28&lt;&gt;"",$G$3:$G$28)))),"")</f>
        <v/>
      </c>
      <c r="J37" s="100" t="str">
        <f t="array" ref="J37">IFERROR(AVERAGE(IF($B$3:$B$28=$B37,IF($D$3:$D$28=J$31,IF($G$3:$G$28&lt;&gt;"",$G$3:$G$28)))),"")</f>
        <v/>
      </c>
      <c r="K37" s="100" t="str">
        <f t="array" ref="K37">IFERROR(AVERAGE(IF($B$3:$B$28=$B37,IF($D$3:$D$28=K$31,IF($G$3:$G$28&lt;&gt;"",$G$3:$G$28)))),"")</f>
        <v/>
      </c>
      <c r="L37" s="100">
        <f t="array" ref="L37">IFERROR(AVERAGE(IF($B$3:$B$28=$B37,IF($D$3:$D$28=L$31,IF($G$3:$G$28&lt;&gt;"",$G$3:$G$28)))),"")</f>
        <v>1212</v>
      </c>
      <c r="M37" s="100" t="str">
        <f t="array" ref="M37">IFERROR(AVERAGE(IF($B$3:$B$28=$B37,IF($D$3:$D$28=M$31,IF($G$3:$G$28&lt;&gt;"",$G$3:$G$28)))),"")</f>
        <v/>
      </c>
      <c r="N37" s="100" t="str">
        <f t="array" ref="N37">IFERROR(AVERAGE(IF($B$3:$B$28=$B37,IF($D$3:$D$28=N$31,IF($G$3:$G$28&lt;&gt;"",$G$3:$G$28)))),"")</f>
        <v/>
      </c>
      <c r="O37" s="100" t="str">
        <f t="array" ref="O37">IFERROR(AVERAGE(IF($B$3:$B$28=$B37,IF($D$3:$D$28=O$31,IF($G$3:$G$28&lt;&gt;"",$G$3:$G$28)))),"")</f>
        <v/>
      </c>
      <c r="P37" s="100" t="str">
        <f t="array" ref="P37">IFERROR(AVERAGE(IF($B$3:$B$28=$B37,IF($D$3:$D$28=P$31,IF($G$3:$G$28&lt;&gt;"",$G$3:$G$28)))),"")</f>
        <v/>
      </c>
      <c r="Q37" s="100" t="str">
        <f t="array" ref="Q37">IFERROR(AVERAGE(IF($B$3:$B$28=$B37,IF($D$3:$D$28=Q$31,IF($G$3:$G$28&lt;&gt;"",$G$3:$G$28)))),"")</f>
        <v/>
      </c>
      <c r="R37" s="100" t="str">
        <f t="array" ref="R37">IFERROR(AVERAGE(IF($B$3:$B$28=$B37,IF($D$3:$D$28=R$31,IF($G$3:$G$28&lt;&gt;"",$G$3:$G$28)))),"")</f>
        <v/>
      </c>
      <c r="S37" s="100" t="str">
        <f t="array" ref="S37">IFERROR(AVERAGE(IF($B$3:$B$28=$B37,IF($D$3:$D$28=S$31,IF($G$3:$G$28&lt;&gt;"",$G$3:$G$28)))),"")</f>
        <v/>
      </c>
      <c r="T37" s="100" t="str">
        <f t="array" ref="T37">IFERROR(AVERAGE(IF($B$3:$B$28=$B37,IF($D$3:$D$28=T$31,IF($G$3:$G$28&lt;&gt;"",$G$3:$G$28)))),"")</f>
        <v/>
      </c>
      <c r="U37" s="100" t="str">
        <f t="array" ref="U37">IFERROR(AVERAGE(IF($B$3:$B$28=$B37,IF($D$3:$D$28=U$31,IF($G$3:$G$28&lt;&gt;"",$G$3:$G$28)))),"")</f>
        <v/>
      </c>
      <c r="V37" s="100" t="str">
        <f t="array" ref="V37">IFERROR(AVERAGE(IF($B$3:$B$28=$B37,IF($D$3:$D$28=V$31,IF($G$3:$G$28&lt;&gt;"",$G$3:$G$28)))),"")</f>
        <v/>
      </c>
      <c r="W37" s="100" t="str">
        <f t="array" ref="W37">IFERROR(AVERAGE(IF($B$3:$B$28=$B37,IF($D$3:$D$28=W$31,IF($G$3:$G$28&lt;&gt;"",$G$3:$G$28)))),"")</f>
        <v/>
      </c>
      <c r="X37" s="100" t="str">
        <f t="array" ref="X37">IFERROR(AVERAGE(IF($B$3:$B$28=$B37,IF($D$3:$D$28=X$31,IF($G$3:$G$28&lt;&gt;"",$G$3:$G$28)))),"")</f>
        <v/>
      </c>
      <c r="Y37" s="100">
        <f t="array" ref="Y37">IFERROR(AVERAGE(IF($B$3:$B$28=$B37,IF($D$3:$D$28=Y$31,IF($G$3:$G$28&lt;&gt;"",$G$3:$G$28)))),"")</f>
        <v>1993</v>
      </c>
      <c r="Z37" s="100" t="str">
        <f t="array" ref="Z37">IFERROR(AVERAGE(IF($B$3:$B$28=$B37,IF($D$3:$D$28=Z$31,IF($G$3:$G$28&lt;&gt;"",$G$3:$G$28)))),"")</f>
        <v/>
      </c>
      <c r="AA37" s="100" t="str">
        <f t="array" ref="AA37">IFERROR(AVERAGE(IF($B$3:$B$28=$B37,IF($D$3:$D$28=AA$31,IF($G$3:$G$28&lt;&gt;"",$G$3:$G$28)))),"")</f>
        <v/>
      </c>
      <c r="AB37" s="100" t="str">
        <f t="array" ref="AB37">IFERROR(AVERAGE(IF($B$3:$B$28=$B37,IF($D$3:$D$28=AB$31,IF($G$3:$G$28&lt;&gt;"",$G$3:$G$28)))),"")</f>
        <v/>
      </c>
      <c r="AC37" s="100" t="str">
        <f t="array" ref="AC37">IFERROR(AVERAGE(IF($B$3:$B$28=$B37,IF($D$3:$D$28=AC$31,IF($G$3:$G$28&lt;&gt;"",$G$3:$G$28)))),"")</f>
        <v/>
      </c>
      <c r="AD37" s="100" t="str">
        <f t="array" ref="AD37">IFERROR(AVERAGE(IF($B$3:$B$28=$B37,IF($D$3:$D$28=AD$31,IF($G$3:$G$28&lt;&gt;"",$G$3:$G$28)))),"")</f>
        <v/>
      </c>
      <c r="AE37" s="100" t="str">
        <f t="array" ref="AE37">IFERROR(AVERAGE(IF($B$3:$B$28=$B37,IF($D$3:$D$28=AE$31,IF($G$3:$G$28&lt;&gt;"",$G$3:$G$28)))),"")</f>
        <v/>
      </c>
      <c r="AF37" s="100">
        <f t="array" ref="AF37">IFERROR(AVERAGE(IF($B$3:$B$28=$B37,IF($D$3:$D$28=AF$31,IF($G$3:$G$28&lt;&gt;"",$G$3:$G$28)))),"")</f>
        <v>3221</v>
      </c>
    </row>
    <row r="38" spans="1:32" ht="15" customHeight="1" x14ac:dyDescent="0.25">
      <c r="A38" s="41">
        <f t="shared" si="2"/>
        <v>0</v>
      </c>
      <c r="B38" s="51" t="str">
        <f t="array" ref="B38">IFERROR(INDEX($B$3:$B$28, MATCH(0,IF(ISBLANK($B$3:$B$28),1,COUNTIF($B$32:B37, $B$3:$B$28)), 0)),"")</f>
        <v>Madhya Pradesh</v>
      </c>
      <c r="C38" s="52"/>
      <c r="D38" s="52"/>
      <c r="E38" s="52"/>
      <c r="F38" s="52"/>
      <c r="G38" s="61"/>
      <c r="H38" s="100" t="str">
        <f t="array" ref="H38">IFERROR(AVERAGE(IF($B$3:$B$28=$B38,IF($D$3:$D$28=H$31,IF($G$3:$G$28&lt;&gt;"",$G$3:$G$28)))),"")</f>
        <v/>
      </c>
      <c r="I38" s="100" t="str">
        <f t="array" ref="I38">IFERROR(AVERAGE(IF($B$3:$B$28=$B38,IF($D$3:$D$28=I$31,IF($G$3:$G$28&lt;&gt;"",$G$3:$G$28)))),"")</f>
        <v/>
      </c>
      <c r="J38" s="100" t="str">
        <f t="array" ref="J38">IFERROR(AVERAGE(IF($B$3:$B$28=$B38,IF($D$3:$D$28=J$31,IF($G$3:$G$28&lt;&gt;"",$G$3:$G$28)))),"")</f>
        <v/>
      </c>
      <c r="K38" s="100" t="str">
        <f t="array" ref="K38">IFERROR(AVERAGE(IF($B$3:$B$28=$B38,IF($D$3:$D$28=K$31,IF($G$3:$G$28&lt;&gt;"",$G$3:$G$28)))),"")</f>
        <v/>
      </c>
      <c r="L38" s="100" t="str">
        <f t="array" ref="L38">IFERROR(AVERAGE(IF($B$3:$B$28=$B38,IF($D$3:$D$28=L$31,IF($G$3:$G$28&lt;&gt;"",$G$3:$G$28)))),"")</f>
        <v/>
      </c>
      <c r="M38" s="100" t="str">
        <f t="array" ref="M38">IFERROR(AVERAGE(IF($B$3:$B$28=$B38,IF($D$3:$D$28=M$31,IF($G$3:$G$28&lt;&gt;"",$G$3:$G$28)))),"")</f>
        <v/>
      </c>
      <c r="N38" s="100" t="str">
        <f t="array" ref="N38">IFERROR(AVERAGE(IF($B$3:$B$28=$B38,IF($D$3:$D$28=N$31,IF($G$3:$G$28&lt;&gt;"",$G$3:$G$28)))),"")</f>
        <v/>
      </c>
      <c r="O38" s="100" t="str">
        <f t="array" ref="O38">IFERROR(AVERAGE(IF($B$3:$B$28=$B38,IF($D$3:$D$28=O$31,IF($G$3:$G$28&lt;&gt;"",$G$3:$G$28)))),"")</f>
        <v/>
      </c>
      <c r="P38" s="100">
        <f t="array" ref="P38">IFERROR(AVERAGE(IF($B$3:$B$28=$B38,IF($D$3:$D$28=P$31,IF($G$3:$G$28&lt;&gt;"",$G$3:$G$28)))),"")</f>
        <v>2577</v>
      </c>
      <c r="Q38" s="100" t="str">
        <f t="array" ref="Q38">IFERROR(AVERAGE(IF($B$3:$B$28=$B38,IF($D$3:$D$28=Q$31,IF($G$3:$G$28&lt;&gt;"",$G$3:$G$28)))),"")</f>
        <v/>
      </c>
      <c r="R38" s="100" t="str">
        <f t="array" ref="R38">IFERROR(AVERAGE(IF($B$3:$B$28=$B38,IF($D$3:$D$28=R$31,IF($G$3:$G$28&lt;&gt;"",$G$3:$G$28)))),"")</f>
        <v/>
      </c>
      <c r="S38" s="100" t="str">
        <f t="array" ref="S38">IFERROR(AVERAGE(IF($B$3:$B$28=$B38,IF($D$3:$D$28=S$31,IF($G$3:$G$28&lt;&gt;"",$G$3:$G$28)))),"")</f>
        <v/>
      </c>
      <c r="T38" s="100" t="str">
        <f t="array" ref="T38">IFERROR(AVERAGE(IF($B$3:$B$28=$B38,IF($D$3:$D$28=T$31,IF($G$3:$G$28&lt;&gt;"",$G$3:$G$28)))),"")</f>
        <v/>
      </c>
      <c r="U38" s="100" t="str">
        <f t="array" ref="U38">IFERROR(AVERAGE(IF($B$3:$B$28=$B38,IF($D$3:$D$28=U$31,IF($G$3:$G$28&lt;&gt;"",$G$3:$G$28)))),"")</f>
        <v/>
      </c>
      <c r="V38" s="100" t="str">
        <f t="array" ref="V38">IFERROR(AVERAGE(IF($B$3:$B$28=$B38,IF($D$3:$D$28=V$31,IF($G$3:$G$28&lt;&gt;"",$G$3:$G$28)))),"")</f>
        <v/>
      </c>
      <c r="W38" s="100" t="str">
        <f t="array" ref="W38">IFERROR(AVERAGE(IF($B$3:$B$28=$B38,IF($D$3:$D$28=W$31,IF($G$3:$G$28&lt;&gt;"",$G$3:$G$28)))),"")</f>
        <v/>
      </c>
      <c r="X38" s="100" t="str">
        <f t="array" ref="X38">IFERROR(AVERAGE(IF($B$3:$B$28=$B38,IF($D$3:$D$28=X$31,IF($G$3:$G$28&lt;&gt;"",$G$3:$G$28)))),"")</f>
        <v/>
      </c>
      <c r="Y38" s="100" t="str">
        <f t="array" ref="Y38">IFERROR(AVERAGE(IF($B$3:$B$28=$B38,IF($D$3:$D$28=Y$31,IF($G$3:$G$28&lt;&gt;"",$G$3:$G$28)))),"")</f>
        <v/>
      </c>
      <c r="Z38" s="100" t="str">
        <f t="array" ref="Z38">IFERROR(AVERAGE(IF($B$3:$B$28=$B38,IF($D$3:$D$28=Z$31,IF($G$3:$G$28&lt;&gt;"",$G$3:$G$28)))),"")</f>
        <v/>
      </c>
      <c r="AA38" s="100" t="str">
        <f t="array" ref="AA38">IFERROR(AVERAGE(IF($B$3:$B$28=$B38,IF($D$3:$D$28=AA$31,IF($G$3:$G$28&lt;&gt;"",$G$3:$G$28)))),"")</f>
        <v/>
      </c>
      <c r="AB38" s="100" t="str">
        <f t="array" ref="AB38">IFERROR(AVERAGE(IF($B$3:$B$28=$B38,IF($D$3:$D$28=AB$31,IF($G$3:$G$28&lt;&gt;"",$G$3:$G$28)))),"")</f>
        <v/>
      </c>
      <c r="AC38" s="100">
        <f t="array" ref="AC38">IFERROR(AVERAGE(IF($B$3:$B$28=$B38,IF($D$3:$D$28=AC$31,IF($G$3:$G$28&lt;&gt;"",$G$3:$G$28)))),"")</f>
        <v>2756</v>
      </c>
      <c r="AD38" s="100" t="str">
        <f t="array" ref="AD38">IFERROR(AVERAGE(IF($B$3:$B$28=$B38,IF($D$3:$D$28=AD$31,IF($G$3:$G$28&lt;&gt;"",$G$3:$G$28)))),"")</f>
        <v/>
      </c>
      <c r="AE38" s="100" t="str">
        <f t="array" ref="AE38">IFERROR(AVERAGE(IF($B$3:$B$28=$B38,IF($D$3:$D$28=AE$31,IF($G$3:$G$28&lt;&gt;"",$G$3:$G$28)))),"")</f>
        <v/>
      </c>
      <c r="AF38" s="100" t="str">
        <f t="array" ref="AF38">IFERROR(AVERAGE(IF($B$3:$B$28=$B38,IF($D$3:$D$28=AF$31,IF($G$3:$G$28&lt;&gt;"",$G$3:$G$28)))),"")</f>
        <v/>
      </c>
    </row>
    <row r="39" spans="1:32" ht="15" customHeight="1" x14ac:dyDescent="0.25">
      <c r="A39" s="41">
        <f t="shared" si="2"/>
        <v>0</v>
      </c>
      <c r="B39" s="51" t="str">
        <f t="array" ref="B39">IFERROR(INDEX($B$3:$B$28, MATCH(0,IF(ISBLANK($B$3:$B$28),1,COUNTIF($B$32:B38, $B$3:$B$28)), 0)),"")</f>
        <v>Gujrat</v>
      </c>
      <c r="C39" s="52"/>
      <c r="D39" s="52"/>
      <c r="E39" s="52"/>
      <c r="F39" s="52"/>
      <c r="G39" s="61"/>
      <c r="H39" s="100" t="str">
        <f t="array" ref="H39">IFERROR(AVERAGE(IF($B$3:$B$28=$B39,IF($D$3:$D$28=H$31,IF($G$3:$G$28&lt;&gt;"",$G$3:$G$28)))),"")</f>
        <v/>
      </c>
      <c r="I39" s="100" t="str">
        <f t="array" ref="I39">IFERROR(AVERAGE(IF($B$3:$B$28=$B39,IF($D$3:$D$28=I$31,IF($G$3:$G$28&lt;&gt;"",$G$3:$G$28)))),"")</f>
        <v/>
      </c>
      <c r="J39" s="100" t="str">
        <f t="array" ref="J39">IFERROR(AVERAGE(IF($B$3:$B$28=$B39,IF($D$3:$D$28=J$31,IF($G$3:$G$28&lt;&gt;"",$G$3:$G$28)))),"")</f>
        <v/>
      </c>
      <c r="K39" s="100" t="str">
        <f t="array" ref="K39">IFERROR(AVERAGE(IF($B$3:$B$28=$B39,IF($D$3:$D$28=K$31,IF($G$3:$G$28&lt;&gt;"",$G$3:$G$28)))),"")</f>
        <v/>
      </c>
      <c r="L39" s="100" t="str">
        <f t="array" ref="L39">IFERROR(AVERAGE(IF($B$3:$B$28=$B39,IF($D$3:$D$28=L$31,IF($G$3:$G$28&lt;&gt;"",$G$3:$G$28)))),"")</f>
        <v/>
      </c>
      <c r="M39" s="100" t="str">
        <f t="array" ref="M39">IFERROR(AVERAGE(IF($B$3:$B$28=$B39,IF($D$3:$D$28=M$31,IF($G$3:$G$28&lt;&gt;"",$G$3:$G$28)))),"")</f>
        <v/>
      </c>
      <c r="N39" s="100" t="str">
        <f t="array" ref="N39">IFERROR(AVERAGE(IF($B$3:$B$28=$B39,IF($D$3:$D$28=N$31,IF($G$3:$G$28&lt;&gt;"",$G$3:$G$28)))),"")</f>
        <v/>
      </c>
      <c r="O39" s="100" t="str">
        <f t="array" ref="O39">IFERROR(AVERAGE(IF($B$3:$B$28=$B39,IF($D$3:$D$28=O$31,IF($G$3:$G$28&lt;&gt;"",$G$3:$G$28)))),"")</f>
        <v/>
      </c>
      <c r="P39" s="100" t="str">
        <f t="array" ref="P39">IFERROR(AVERAGE(IF($B$3:$B$28=$B39,IF($D$3:$D$28=P$31,IF($G$3:$G$28&lt;&gt;"",$G$3:$G$28)))),"")</f>
        <v/>
      </c>
      <c r="Q39" s="100">
        <f t="array" ref="Q39">IFERROR(AVERAGE(IF($B$3:$B$28=$B39,IF($D$3:$D$28=Q$31,IF($G$3:$G$28&lt;&gt;"",$G$3:$G$28)))),"")</f>
        <v>2756</v>
      </c>
      <c r="R39" s="100" t="str">
        <f t="array" ref="R39">IFERROR(AVERAGE(IF($B$3:$B$28=$B39,IF($D$3:$D$28=R$31,IF($G$3:$G$28&lt;&gt;"",$G$3:$G$28)))),"")</f>
        <v/>
      </c>
      <c r="S39" s="100" t="str">
        <f t="array" ref="S39">IFERROR(AVERAGE(IF($B$3:$B$28=$B39,IF($D$3:$D$28=S$31,IF($G$3:$G$28&lt;&gt;"",$G$3:$G$28)))),"")</f>
        <v/>
      </c>
      <c r="T39" s="100" t="str">
        <f t="array" ref="T39">IFERROR(AVERAGE(IF($B$3:$B$28=$B39,IF($D$3:$D$28=T$31,IF($G$3:$G$28&lt;&gt;"",$G$3:$G$28)))),"")</f>
        <v/>
      </c>
      <c r="U39" s="100" t="str">
        <f t="array" ref="U39">IFERROR(AVERAGE(IF($B$3:$B$28=$B39,IF($D$3:$D$28=U$31,IF($G$3:$G$28&lt;&gt;"",$G$3:$G$28)))),"")</f>
        <v/>
      </c>
      <c r="V39" s="100" t="str">
        <f t="array" ref="V39">IFERROR(AVERAGE(IF($B$3:$B$28=$B39,IF($D$3:$D$28=V$31,IF($G$3:$G$28&lt;&gt;"",$G$3:$G$28)))),"")</f>
        <v/>
      </c>
      <c r="W39" s="100" t="str">
        <f t="array" ref="W39">IFERROR(AVERAGE(IF($B$3:$B$28=$B39,IF($D$3:$D$28=W$31,IF($G$3:$G$28&lt;&gt;"",$G$3:$G$28)))),"")</f>
        <v/>
      </c>
      <c r="X39" s="100" t="str">
        <f t="array" ref="X39">IFERROR(AVERAGE(IF($B$3:$B$28=$B39,IF($D$3:$D$28=X$31,IF($G$3:$G$28&lt;&gt;"",$G$3:$G$28)))),"")</f>
        <v/>
      </c>
      <c r="Y39" s="100" t="str">
        <f t="array" ref="Y39">IFERROR(AVERAGE(IF($B$3:$B$28=$B39,IF($D$3:$D$28=Y$31,IF($G$3:$G$28&lt;&gt;"",$G$3:$G$28)))),"")</f>
        <v/>
      </c>
      <c r="Z39" s="100" t="str">
        <f t="array" ref="Z39">IFERROR(AVERAGE(IF($B$3:$B$28=$B39,IF($D$3:$D$28=Z$31,IF($G$3:$G$28&lt;&gt;"",$G$3:$G$28)))),"")</f>
        <v/>
      </c>
      <c r="AA39" s="100" t="str">
        <f t="array" ref="AA39">IFERROR(AVERAGE(IF($B$3:$B$28=$B39,IF($D$3:$D$28=AA$31,IF($G$3:$G$28&lt;&gt;"",$G$3:$G$28)))),"")</f>
        <v/>
      </c>
      <c r="AB39" s="100" t="str">
        <f t="array" ref="AB39">IFERROR(AVERAGE(IF($B$3:$B$28=$B39,IF($D$3:$D$28=AB$31,IF($G$3:$G$28&lt;&gt;"",$G$3:$G$28)))),"")</f>
        <v/>
      </c>
      <c r="AC39" s="100" t="str">
        <f t="array" ref="AC39">IFERROR(AVERAGE(IF($B$3:$B$28=$B39,IF($D$3:$D$28=AC$31,IF($G$3:$G$28&lt;&gt;"",$G$3:$G$28)))),"")</f>
        <v/>
      </c>
      <c r="AD39" s="100">
        <f t="array" ref="AD39">IFERROR(AVERAGE(IF($B$3:$B$28=$B39,IF($D$3:$D$28=AD$31,IF($G$3:$G$28&lt;&gt;"",$G$3:$G$28)))),"")</f>
        <v>2677</v>
      </c>
      <c r="AE39" s="100" t="str">
        <f t="array" ref="AE39">IFERROR(AVERAGE(IF($B$3:$B$28=$B39,IF($D$3:$D$28=AE$31,IF($G$3:$G$28&lt;&gt;"",$G$3:$G$28)))),"")</f>
        <v/>
      </c>
      <c r="AF39" s="100" t="str">
        <f t="array" ref="AF39">IFERROR(AVERAGE(IF($B$3:$B$28=$B39,IF($D$3:$D$28=AF$31,IF($G$3:$G$28&lt;&gt;"",$G$3:$G$28)))),"")</f>
        <v/>
      </c>
    </row>
    <row r="40" spans="1:32" ht="15" customHeight="1" x14ac:dyDescent="0.25">
      <c r="A40" s="41">
        <f t="shared" si="2"/>
        <v>0</v>
      </c>
      <c r="B40" s="51" t="str">
        <f t="array" ref="B40">IFERROR(INDEX($B$3:$B$28, MATCH(0,IF(ISBLANK($B$3:$B$28),1,COUNTIF($B$32:B39, $B$3:$B$28)), 0)),"")</f>
        <v>Ludhiyana</v>
      </c>
      <c r="C40" s="52"/>
      <c r="D40" s="52"/>
      <c r="E40" s="52"/>
      <c r="F40" s="52"/>
      <c r="G40" s="61"/>
      <c r="H40" s="100" t="str">
        <f t="array" ref="H40">IFERROR(AVERAGE(IF($B$3:$B$28=$B40,IF($D$3:$D$28=H$31,IF($G$3:$G$28&lt;&gt;"",$G$3:$G$28)))),"")</f>
        <v/>
      </c>
      <c r="I40" s="100" t="str">
        <f t="array" ref="I40">IFERROR(AVERAGE(IF($B$3:$B$28=$B40,IF($D$3:$D$28=I$31,IF($G$3:$G$28&lt;&gt;"",$G$3:$G$28)))),"")</f>
        <v/>
      </c>
      <c r="J40" s="100" t="str">
        <f t="array" ref="J40">IFERROR(AVERAGE(IF($B$3:$B$28=$B40,IF($D$3:$D$28=J$31,IF($G$3:$G$28&lt;&gt;"",$G$3:$G$28)))),"")</f>
        <v/>
      </c>
      <c r="K40" s="100" t="str">
        <f t="array" ref="K40">IFERROR(AVERAGE(IF($B$3:$B$28=$B40,IF($D$3:$D$28=K$31,IF($G$3:$G$28&lt;&gt;"",$G$3:$G$28)))),"")</f>
        <v/>
      </c>
      <c r="L40" s="100" t="str">
        <f t="array" ref="L40">IFERROR(AVERAGE(IF($B$3:$B$28=$B40,IF($D$3:$D$28=L$31,IF($G$3:$G$28&lt;&gt;"",$G$3:$G$28)))),"")</f>
        <v/>
      </c>
      <c r="M40" s="100" t="str">
        <f t="array" ref="M40">IFERROR(AVERAGE(IF($B$3:$B$28=$B40,IF($D$3:$D$28=M$31,IF($G$3:$G$28&lt;&gt;"",$G$3:$G$28)))),"")</f>
        <v/>
      </c>
      <c r="N40" s="100" t="str">
        <f t="array" ref="N40">IFERROR(AVERAGE(IF($B$3:$B$28=$B40,IF($D$3:$D$28=N$31,IF($G$3:$G$28&lt;&gt;"",$G$3:$G$28)))),"")</f>
        <v/>
      </c>
      <c r="O40" s="100" t="str">
        <f t="array" ref="O40">IFERROR(AVERAGE(IF($B$3:$B$28=$B40,IF($D$3:$D$28=O$31,IF($G$3:$G$28&lt;&gt;"",$G$3:$G$28)))),"")</f>
        <v/>
      </c>
      <c r="P40" s="100" t="str">
        <f t="array" ref="P40">IFERROR(AVERAGE(IF($B$3:$B$28=$B40,IF($D$3:$D$28=P$31,IF($G$3:$G$28&lt;&gt;"",$G$3:$G$28)))),"")</f>
        <v/>
      </c>
      <c r="Q40" s="100" t="str">
        <f t="array" ref="Q40">IFERROR(AVERAGE(IF($B$3:$B$28=$B40,IF($D$3:$D$28=Q$31,IF($G$3:$G$28&lt;&gt;"",$G$3:$G$28)))),"")</f>
        <v/>
      </c>
      <c r="R40" s="100">
        <f t="array" ref="R40">IFERROR(AVERAGE(IF($B$3:$B$28=$B40,IF($D$3:$D$28=R$31,IF($G$3:$G$28&lt;&gt;"",$G$3:$G$28)))),"")</f>
        <v>2677</v>
      </c>
      <c r="S40" s="100" t="str">
        <f t="array" ref="S40">IFERROR(AVERAGE(IF($B$3:$B$28=$B40,IF($D$3:$D$28=S$31,IF($G$3:$G$28&lt;&gt;"",$G$3:$G$28)))),"")</f>
        <v/>
      </c>
      <c r="T40" s="100" t="str">
        <f t="array" ref="T40">IFERROR(AVERAGE(IF($B$3:$B$28=$B40,IF($D$3:$D$28=T$31,IF($G$3:$G$28&lt;&gt;"",$G$3:$G$28)))),"")</f>
        <v/>
      </c>
      <c r="U40" s="100" t="str">
        <f t="array" ref="U40">IFERROR(AVERAGE(IF($B$3:$B$28=$B40,IF($D$3:$D$28=U$31,IF($G$3:$G$28&lt;&gt;"",$G$3:$G$28)))),"")</f>
        <v/>
      </c>
      <c r="V40" s="100" t="str">
        <f t="array" ref="V40">IFERROR(AVERAGE(IF($B$3:$B$28=$B40,IF($D$3:$D$28=V$31,IF($G$3:$G$28&lt;&gt;"",$G$3:$G$28)))),"")</f>
        <v/>
      </c>
      <c r="W40" s="100" t="str">
        <f t="array" ref="W40">IFERROR(AVERAGE(IF($B$3:$B$28=$B40,IF($D$3:$D$28=W$31,IF($G$3:$G$28&lt;&gt;"",$G$3:$G$28)))),"")</f>
        <v/>
      </c>
      <c r="X40" s="100" t="str">
        <f t="array" ref="X40">IFERROR(AVERAGE(IF($B$3:$B$28=$B40,IF($D$3:$D$28=X$31,IF($G$3:$G$28&lt;&gt;"",$G$3:$G$28)))),"")</f>
        <v/>
      </c>
      <c r="Y40" s="100" t="str">
        <f t="array" ref="Y40">IFERROR(AVERAGE(IF($B$3:$B$28=$B40,IF($D$3:$D$28=Y$31,IF($G$3:$G$28&lt;&gt;"",$G$3:$G$28)))),"")</f>
        <v/>
      </c>
      <c r="Z40" s="100" t="str">
        <f t="array" ref="Z40">IFERROR(AVERAGE(IF($B$3:$B$28=$B40,IF($D$3:$D$28=Z$31,IF($G$3:$G$28&lt;&gt;"",$G$3:$G$28)))),"")</f>
        <v/>
      </c>
      <c r="AA40" s="100" t="str">
        <f t="array" ref="AA40">IFERROR(AVERAGE(IF($B$3:$B$28=$B40,IF($D$3:$D$28=AA$31,IF($G$3:$G$28&lt;&gt;"",$G$3:$G$28)))),"")</f>
        <v/>
      </c>
      <c r="AB40" s="100" t="str">
        <f t="array" ref="AB40">IFERROR(AVERAGE(IF($B$3:$B$28=$B40,IF($D$3:$D$28=AB$31,IF($G$3:$G$28&lt;&gt;"",$G$3:$G$28)))),"")</f>
        <v/>
      </c>
      <c r="AC40" s="100" t="str">
        <f t="array" ref="AC40">IFERROR(AVERAGE(IF($B$3:$B$28=$B40,IF($D$3:$D$28=AC$31,IF($G$3:$G$28&lt;&gt;"",$G$3:$G$28)))),"")</f>
        <v/>
      </c>
      <c r="AD40" s="100" t="str">
        <f t="array" ref="AD40">IFERROR(AVERAGE(IF($B$3:$B$28=$B40,IF($D$3:$D$28=AD$31,IF($G$3:$G$28&lt;&gt;"",$G$3:$G$28)))),"")</f>
        <v/>
      </c>
      <c r="AE40" s="100">
        <f t="array" ref="AE40">IFERROR(AVERAGE(IF($B$3:$B$28=$B40,IF($D$3:$D$28=AE$31,IF($G$3:$G$28&lt;&gt;"",$G$3:$G$28)))),"")</f>
        <v>1232</v>
      </c>
      <c r="AF40" s="100" t="str">
        <f t="array" ref="AF40">IFERROR(AVERAGE(IF($B$3:$B$28=$B40,IF($D$3:$D$28=AF$31,IF($G$3:$G$28&lt;&gt;"",$G$3:$G$28)))),"")</f>
        <v/>
      </c>
    </row>
    <row r="41" spans="1:32" ht="15" customHeight="1" x14ac:dyDescent="0.25">
      <c r="A41" s="41">
        <f t="shared" si="2"/>
        <v>0</v>
      </c>
      <c r="B41" s="51" t="str">
        <f t="array" ref="B41">IFERROR(INDEX($B$3:$B$28, MATCH(0,IF(ISBLANK($B$3:$B$28),1,COUNTIF($B$32:B40, $B$3:$B$28)), 0)),"")</f>
        <v>Uttar Pradesh</v>
      </c>
      <c r="C41" s="52"/>
      <c r="D41" s="52"/>
      <c r="E41" s="52"/>
      <c r="F41" s="52"/>
      <c r="G41" s="61"/>
      <c r="H41" s="100" t="str">
        <f t="array" ref="H41">IFERROR(AVERAGE(IF($B$3:$B$28=$B41,IF($D$3:$D$28=H$31,IF($G$3:$G$28&lt;&gt;"",$G$3:$G$28)))),"")</f>
        <v/>
      </c>
      <c r="I41" s="100" t="str">
        <f t="array" ref="I41">IFERROR(AVERAGE(IF($B$3:$B$28=$B41,IF($D$3:$D$28=I$31,IF($G$3:$G$28&lt;&gt;"",$G$3:$G$28)))),"")</f>
        <v/>
      </c>
      <c r="J41" s="100" t="str">
        <f t="array" ref="J41">IFERROR(AVERAGE(IF($B$3:$B$28=$B41,IF($D$3:$D$28=J$31,IF($G$3:$G$28&lt;&gt;"",$G$3:$G$28)))),"")</f>
        <v/>
      </c>
      <c r="K41" s="100" t="str">
        <f t="array" ref="K41">IFERROR(AVERAGE(IF($B$3:$B$28=$B41,IF($D$3:$D$28=K$31,IF($G$3:$G$28&lt;&gt;"",$G$3:$G$28)))),"")</f>
        <v/>
      </c>
      <c r="L41" s="100" t="str">
        <f t="array" ref="L41">IFERROR(AVERAGE(IF($B$3:$B$28=$B41,IF($D$3:$D$28=L$31,IF($G$3:$G$28&lt;&gt;"",$G$3:$G$28)))),"")</f>
        <v/>
      </c>
      <c r="M41" s="100" t="str">
        <f t="array" ref="M41">IFERROR(AVERAGE(IF($B$3:$B$28=$B41,IF($D$3:$D$28=M$31,IF($G$3:$G$28&lt;&gt;"",$G$3:$G$28)))),"")</f>
        <v/>
      </c>
      <c r="N41" s="100" t="str">
        <f t="array" ref="N41">IFERROR(AVERAGE(IF($B$3:$B$28=$B41,IF($D$3:$D$28=N$31,IF($G$3:$G$28&lt;&gt;"",$G$3:$G$28)))),"")</f>
        <v/>
      </c>
      <c r="O41" s="100" t="str">
        <f t="array" ref="O41">IFERROR(AVERAGE(IF($B$3:$B$28=$B41,IF($D$3:$D$28=O$31,IF($G$3:$G$28&lt;&gt;"",$G$3:$G$28)))),"")</f>
        <v/>
      </c>
      <c r="P41" s="100" t="str">
        <f t="array" ref="P41">IFERROR(AVERAGE(IF($B$3:$B$28=$B41,IF($D$3:$D$28=P$31,IF($G$3:$G$28&lt;&gt;"",$G$3:$G$28)))),"")</f>
        <v/>
      </c>
      <c r="Q41" s="100" t="str">
        <f t="array" ref="Q41">IFERROR(AVERAGE(IF($B$3:$B$28=$B41,IF($D$3:$D$28=Q$31,IF($G$3:$G$28&lt;&gt;"",$G$3:$G$28)))),"")</f>
        <v/>
      </c>
      <c r="R41" s="100" t="str">
        <f t="array" ref="R41">IFERROR(AVERAGE(IF($B$3:$B$28=$B41,IF($D$3:$D$28=R$31,IF($G$3:$G$28&lt;&gt;"",$G$3:$G$28)))),"")</f>
        <v/>
      </c>
      <c r="S41" s="100">
        <f t="array" ref="S41">IFERROR(AVERAGE(IF($B$3:$B$28=$B41,IF($D$3:$D$28=S$31,IF($G$3:$G$28&lt;&gt;"",$G$3:$G$28)))),"")</f>
        <v>1232</v>
      </c>
      <c r="T41" s="100" t="str">
        <f t="array" ref="T41">IFERROR(AVERAGE(IF($B$3:$B$28=$B41,IF($D$3:$D$28=T$31,IF($G$3:$G$28&lt;&gt;"",$G$3:$G$28)))),"")</f>
        <v/>
      </c>
      <c r="U41" s="100" t="str">
        <f t="array" ref="U41">IFERROR(AVERAGE(IF($B$3:$B$28=$B41,IF($D$3:$D$28=U$31,IF($G$3:$G$28&lt;&gt;"",$G$3:$G$28)))),"")</f>
        <v/>
      </c>
      <c r="V41" s="100" t="str">
        <f t="array" ref="V41">IFERROR(AVERAGE(IF($B$3:$B$28=$B41,IF($D$3:$D$28=V$31,IF($G$3:$G$28&lt;&gt;"",$G$3:$G$28)))),"")</f>
        <v/>
      </c>
      <c r="W41" s="100" t="str">
        <f t="array" ref="W41">IFERROR(AVERAGE(IF($B$3:$B$28=$B41,IF($D$3:$D$28=W$31,IF($G$3:$G$28&lt;&gt;"",$G$3:$G$28)))),"")</f>
        <v/>
      </c>
      <c r="X41" s="100" t="str">
        <f t="array" ref="X41">IFERROR(AVERAGE(IF($B$3:$B$28=$B41,IF($D$3:$D$28=X$31,IF($G$3:$G$28&lt;&gt;"",$G$3:$G$28)))),"")</f>
        <v/>
      </c>
      <c r="Y41" s="100" t="str">
        <f t="array" ref="Y41">IFERROR(AVERAGE(IF($B$3:$B$28=$B41,IF($D$3:$D$28=Y$31,IF($G$3:$G$28&lt;&gt;"",$G$3:$G$28)))),"")</f>
        <v/>
      </c>
      <c r="Z41" s="100" t="str">
        <f t="array" ref="Z41">IFERROR(AVERAGE(IF($B$3:$B$28=$B41,IF($D$3:$D$28=Z$31,IF($G$3:$G$28&lt;&gt;"",$G$3:$G$28)))),"")</f>
        <v/>
      </c>
      <c r="AA41" s="100" t="str">
        <f t="array" ref="AA41">IFERROR(AVERAGE(IF($B$3:$B$28=$B41,IF($D$3:$D$28=AA$31,IF($G$3:$G$28&lt;&gt;"",$G$3:$G$28)))),"")</f>
        <v/>
      </c>
      <c r="AB41" s="100" t="str">
        <f t="array" ref="AB41">IFERROR(AVERAGE(IF($B$3:$B$28=$B41,IF($D$3:$D$28=AB$31,IF($G$3:$G$28&lt;&gt;"",$G$3:$G$28)))),"")</f>
        <v/>
      </c>
      <c r="AC41" s="100" t="str">
        <f t="array" ref="AC41">IFERROR(AVERAGE(IF($B$3:$B$28=$B41,IF($D$3:$D$28=AC$31,IF($G$3:$G$28&lt;&gt;"",$G$3:$G$28)))),"")</f>
        <v/>
      </c>
      <c r="AD41" s="100" t="str">
        <f t="array" ref="AD41">IFERROR(AVERAGE(IF($B$3:$B$28=$B41,IF($D$3:$D$28=AD$31,IF($G$3:$G$28&lt;&gt;"",$G$3:$G$28)))),"")</f>
        <v/>
      </c>
      <c r="AE41" s="100" t="str">
        <f t="array" ref="AE41">IFERROR(AVERAGE(IF($B$3:$B$28=$B41,IF($D$3:$D$28=AE$31,IF($G$3:$G$28&lt;&gt;"",$G$3:$G$28)))),"")</f>
        <v/>
      </c>
      <c r="AF41" s="100" t="str">
        <f t="array" ref="AF41">IFERROR(AVERAGE(IF($B$3:$B$28=$B41,IF($D$3:$D$28=AF$31,IF($G$3:$G$28&lt;&gt;"",$G$3:$G$28)))),"")</f>
        <v/>
      </c>
    </row>
    <row r="42" spans="1:32" ht="15" customHeight="1" x14ac:dyDescent="0.25">
      <c r="A42" s="41">
        <f t="shared" si="2"/>
        <v>0</v>
      </c>
      <c r="B42" s="51" t="str">
        <f t="array" ref="B42">IFERROR(INDEX($B$3:$B$28, MATCH(0,IF(ISBLANK($B$3:$B$28),1,COUNTIF($B$32:B41, $B$3:$B$28)), 0)),"")</f>
        <v>Sikkim</v>
      </c>
      <c r="C42" s="52"/>
      <c r="D42" s="52"/>
      <c r="E42" s="52"/>
      <c r="F42" s="52"/>
      <c r="G42" s="61"/>
      <c r="H42" s="100" t="str">
        <f t="array" ref="H42">IFERROR(AVERAGE(IF($B$3:$B$28=$B42,IF($D$3:$D$28=H$31,IF($G$3:$G$28&lt;&gt;"",$G$3:$G$28)))),"")</f>
        <v/>
      </c>
      <c r="I42" s="100" t="str">
        <f t="array" ref="I42">IFERROR(AVERAGE(IF($B$3:$B$28=$B42,IF($D$3:$D$28=I$31,IF($G$3:$G$28&lt;&gt;"",$G$3:$G$28)))),"")</f>
        <v/>
      </c>
      <c r="J42" s="100" t="str">
        <f t="array" ref="J42">IFERROR(AVERAGE(IF($B$3:$B$28=$B42,IF($D$3:$D$28=J$31,IF($G$3:$G$28&lt;&gt;"",$G$3:$G$28)))),"")</f>
        <v/>
      </c>
      <c r="K42" s="100" t="str">
        <f t="array" ref="K42">IFERROR(AVERAGE(IF($B$3:$B$28=$B42,IF($D$3:$D$28=K$31,IF($G$3:$G$28&lt;&gt;"",$G$3:$G$28)))),"")</f>
        <v/>
      </c>
      <c r="L42" s="100" t="str">
        <f t="array" ref="L42">IFERROR(AVERAGE(IF($B$3:$B$28=$B42,IF($D$3:$D$28=L$31,IF($G$3:$G$28&lt;&gt;"",$G$3:$G$28)))),"")</f>
        <v/>
      </c>
      <c r="M42" s="100" t="str">
        <f t="array" ref="M42">IFERROR(AVERAGE(IF($B$3:$B$28=$B42,IF($D$3:$D$28=M$31,IF($G$3:$G$28&lt;&gt;"",$G$3:$G$28)))),"")</f>
        <v/>
      </c>
      <c r="N42" s="100" t="str">
        <f t="array" ref="N42">IFERROR(AVERAGE(IF($B$3:$B$28=$B42,IF($D$3:$D$28=N$31,IF($G$3:$G$28&lt;&gt;"",$G$3:$G$28)))),"")</f>
        <v/>
      </c>
      <c r="O42" s="100" t="str">
        <f t="array" ref="O42">IFERROR(AVERAGE(IF($B$3:$B$28=$B42,IF($D$3:$D$28=O$31,IF($G$3:$G$28&lt;&gt;"",$G$3:$G$28)))),"")</f>
        <v/>
      </c>
      <c r="P42" s="100" t="str">
        <f t="array" ref="P42">IFERROR(AVERAGE(IF($B$3:$B$28=$B42,IF($D$3:$D$28=P$31,IF($G$3:$G$28&lt;&gt;"",$G$3:$G$28)))),"")</f>
        <v/>
      </c>
      <c r="Q42" s="100" t="str">
        <f t="array" ref="Q42">IFERROR(AVERAGE(IF($B$3:$B$28=$B42,IF($D$3:$D$28=Q$31,IF($G$3:$G$28&lt;&gt;"",$G$3:$G$28)))),"")</f>
        <v/>
      </c>
      <c r="R42" s="100" t="str">
        <f t="array" ref="R42">IFERROR(AVERAGE(IF($B$3:$B$28=$B42,IF($D$3:$D$28=R$31,IF($G$3:$G$28&lt;&gt;"",$G$3:$G$28)))),"")</f>
        <v/>
      </c>
      <c r="S42" s="100" t="str">
        <f t="array" ref="S42">IFERROR(AVERAGE(IF($B$3:$B$28=$B42,IF($D$3:$D$28=S$31,IF($G$3:$G$28&lt;&gt;"",$G$3:$G$28)))),"")</f>
        <v/>
      </c>
      <c r="T42" s="100">
        <f t="array" ref="T42">IFERROR(AVERAGE(IF($B$3:$B$28=$B42,IF($D$3:$D$28=T$31,IF($G$3:$G$28&lt;&gt;"",$G$3:$G$28)))),"")</f>
        <v>3221</v>
      </c>
      <c r="U42" s="100" t="str">
        <f t="array" ref="U42">IFERROR(AVERAGE(IF($B$3:$B$28=$B42,IF($D$3:$D$28=U$31,IF($G$3:$G$28&lt;&gt;"",$G$3:$G$28)))),"")</f>
        <v/>
      </c>
      <c r="V42" s="100" t="str">
        <f t="array" ref="V42">IFERROR(AVERAGE(IF($B$3:$B$28=$B42,IF($D$3:$D$28=V$31,IF($G$3:$G$28&lt;&gt;"",$G$3:$G$28)))),"")</f>
        <v/>
      </c>
      <c r="W42" s="100" t="str">
        <f t="array" ref="W42">IFERROR(AVERAGE(IF($B$3:$B$28=$B42,IF($D$3:$D$28=W$31,IF($G$3:$G$28&lt;&gt;"",$G$3:$G$28)))),"")</f>
        <v/>
      </c>
      <c r="X42" s="100" t="str">
        <f t="array" ref="X42">IFERROR(AVERAGE(IF($B$3:$B$28=$B42,IF($D$3:$D$28=X$31,IF($G$3:$G$28&lt;&gt;"",$G$3:$G$28)))),"")</f>
        <v/>
      </c>
      <c r="Y42" s="100" t="str">
        <f t="array" ref="Y42">IFERROR(AVERAGE(IF($B$3:$B$28=$B42,IF($D$3:$D$28=Y$31,IF($G$3:$G$28&lt;&gt;"",$G$3:$G$28)))),"")</f>
        <v/>
      </c>
      <c r="Z42" s="100" t="str">
        <f t="array" ref="Z42">IFERROR(AVERAGE(IF($B$3:$B$28=$B42,IF($D$3:$D$28=Z$31,IF($G$3:$G$28&lt;&gt;"",$G$3:$G$28)))),"")</f>
        <v/>
      </c>
      <c r="AA42" s="100" t="str">
        <f t="array" ref="AA42">IFERROR(AVERAGE(IF($B$3:$B$28=$B42,IF($D$3:$D$28=AA$31,IF($G$3:$G$28&lt;&gt;"",$G$3:$G$28)))),"")</f>
        <v/>
      </c>
      <c r="AB42" s="100" t="str">
        <f t="array" ref="AB42">IFERROR(AVERAGE(IF($B$3:$B$28=$B42,IF($D$3:$D$28=AB$31,IF($G$3:$G$28&lt;&gt;"",$G$3:$G$28)))),"")</f>
        <v/>
      </c>
      <c r="AC42" s="100" t="str">
        <f t="array" ref="AC42">IFERROR(AVERAGE(IF($B$3:$B$28=$B42,IF($D$3:$D$28=AC$31,IF($G$3:$G$28&lt;&gt;"",$G$3:$G$28)))),"")</f>
        <v/>
      </c>
      <c r="AD42" s="100" t="str">
        <f t="array" ref="AD42">IFERROR(AVERAGE(IF($B$3:$B$28=$B42,IF($D$3:$D$28=AD$31,IF($G$3:$G$28&lt;&gt;"",$G$3:$G$28)))),"")</f>
        <v/>
      </c>
      <c r="AE42" s="100" t="str">
        <f t="array" ref="AE42">IFERROR(AVERAGE(IF($B$3:$B$28=$B42,IF($D$3:$D$28=AE$31,IF($G$3:$G$28&lt;&gt;"",$G$3:$G$28)))),"")</f>
        <v/>
      </c>
      <c r="AF42" s="100" t="str">
        <f t="array" ref="AF42">IFERROR(AVERAGE(IF($B$3:$B$28=$B42,IF($D$3:$D$28=AF$31,IF($G$3:$G$28&lt;&gt;"",$G$3:$G$28)))),"")</f>
        <v/>
      </c>
    </row>
    <row r="43" spans="1:32" ht="9" customHeight="1" x14ac:dyDescent="0.25"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  <c r="AF43" s="101"/>
    </row>
    <row r="44" spans="1:32" ht="9" customHeight="1" x14ac:dyDescent="0.25">
      <c r="A44" s="41" t="s">
        <v>549</v>
      </c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  <c r="AF44" s="101"/>
    </row>
    <row r="45" spans="1:32" ht="15" hidden="1" customHeight="1" x14ac:dyDescent="0.25">
      <c r="H45" s="103">
        <f t="shared" ref="H45:AF45" si="3">H31</f>
        <v>44012</v>
      </c>
      <c r="I45" s="103">
        <f t="shared" si="3"/>
        <v>43982</v>
      </c>
      <c r="J45" s="103">
        <f t="shared" si="3"/>
        <v>43951</v>
      </c>
      <c r="K45" s="103">
        <f t="shared" si="3"/>
        <v>43921</v>
      </c>
      <c r="L45" s="103">
        <f t="shared" si="3"/>
        <v>43889</v>
      </c>
      <c r="M45" s="103">
        <f t="shared" si="3"/>
        <v>43861</v>
      </c>
      <c r="N45" s="103">
        <f t="shared" si="3"/>
        <v>43830</v>
      </c>
      <c r="O45" s="103">
        <f t="shared" si="3"/>
        <v>43799</v>
      </c>
      <c r="P45" s="103">
        <f t="shared" si="3"/>
        <v>43769</v>
      </c>
      <c r="Q45" s="103">
        <f t="shared" si="3"/>
        <v>43738</v>
      </c>
      <c r="R45" s="103">
        <f t="shared" si="3"/>
        <v>43708</v>
      </c>
      <c r="S45" s="103">
        <f t="shared" si="3"/>
        <v>43677</v>
      </c>
      <c r="T45" s="103">
        <f t="shared" si="3"/>
        <v>43646</v>
      </c>
      <c r="U45" s="103">
        <f t="shared" si="3"/>
        <v>43616</v>
      </c>
      <c r="V45" s="103">
        <f t="shared" si="3"/>
        <v>43585</v>
      </c>
      <c r="W45" s="103">
        <f t="shared" si="3"/>
        <v>43555</v>
      </c>
      <c r="X45" s="103">
        <f t="shared" si="3"/>
        <v>43524</v>
      </c>
      <c r="Y45" s="103">
        <f t="shared" si="3"/>
        <v>43496</v>
      </c>
      <c r="Z45" s="103">
        <f t="shared" si="3"/>
        <v>43465</v>
      </c>
      <c r="AA45" s="103">
        <f t="shared" si="3"/>
        <v>43434</v>
      </c>
      <c r="AB45" s="103">
        <f t="shared" si="3"/>
        <v>43404</v>
      </c>
      <c r="AC45" s="103">
        <f t="shared" si="3"/>
        <v>43373</v>
      </c>
      <c r="AD45" s="103">
        <f t="shared" si="3"/>
        <v>43343</v>
      </c>
      <c r="AE45" s="103">
        <f t="shared" si="3"/>
        <v>43312</v>
      </c>
      <c r="AF45" s="103">
        <f t="shared" si="3"/>
        <v>43281</v>
      </c>
    </row>
    <row r="46" spans="1:32" ht="20.25" customHeight="1" x14ac:dyDescent="0.25">
      <c r="B46" s="58" t="s">
        <v>599</v>
      </c>
      <c r="C46" s="59"/>
      <c r="D46" s="59"/>
      <c r="E46" s="59"/>
      <c r="F46" s="59"/>
      <c r="G46" s="60"/>
      <c r="H46" s="102">
        <f t="shared" ref="H46:AF46" si="4">IFERROR(MAX(H33:H44),0)</f>
        <v>2654</v>
      </c>
      <c r="I46" s="102">
        <f t="shared" si="4"/>
        <v>1173</v>
      </c>
      <c r="J46" s="102">
        <f t="shared" si="4"/>
        <v>1098</v>
      </c>
      <c r="K46" s="102">
        <f t="shared" si="4"/>
        <v>986</v>
      </c>
      <c r="L46" s="102">
        <f t="shared" si="4"/>
        <v>1212</v>
      </c>
      <c r="M46" s="102">
        <f t="shared" si="4"/>
        <v>1993</v>
      </c>
      <c r="N46" s="102">
        <f t="shared" si="4"/>
        <v>2323</v>
      </c>
      <c r="O46" s="102">
        <f t="shared" si="4"/>
        <v>2566</v>
      </c>
      <c r="P46" s="102">
        <f t="shared" si="4"/>
        <v>2577</v>
      </c>
      <c r="Q46" s="102">
        <f t="shared" si="4"/>
        <v>2756</v>
      </c>
      <c r="R46" s="102">
        <f t="shared" si="4"/>
        <v>2677</v>
      </c>
      <c r="S46" s="102">
        <f t="shared" si="4"/>
        <v>1232</v>
      </c>
      <c r="T46" s="102">
        <f t="shared" si="4"/>
        <v>3221</v>
      </c>
      <c r="U46" s="102">
        <f t="shared" si="4"/>
        <v>1173</v>
      </c>
      <c r="V46" s="102">
        <f t="shared" si="4"/>
        <v>1098</v>
      </c>
      <c r="W46" s="102">
        <f t="shared" si="4"/>
        <v>986</v>
      </c>
      <c r="X46" s="102">
        <f t="shared" si="4"/>
        <v>1212</v>
      </c>
      <c r="Y46" s="102">
        <f t="shared" si="4"/>
        <v>1993</v>
      </c>
      <c r="Z46" s="102">
        <f t="shared" si="4"/>
        <v>2323</v>
      </c>
      <c r="AA46" s="102">
        <f t="shared" si="4"/>
        <v>2566</v>
      </c>
      <c r="AB46" s="102">
        <f t="shared" si="4"/>
        <v>2577</v>
      </c>
      <c r="AC46" s="102">
        <f t="shared" si="4"/>
        <v>2756</v>
      </c>
      <c r="AD46" s="102">
        <f t="shared" si="4"/>
        <v>2677</v>
      </c>
      <c r="AE46" s="102">
        <f t="shared" si="4"/>
        <v>1232</v>
      </c>
      <c r="AF46" s="102">
        <f t="shared" si="4"/>
        <v>3221</v>
      </c>
    </row>
    <row r="47" spans="1:32" ht="24.75" customHeight="1" x14ac:dyDescent="0.25"/>
    <row r="48" spans="1:32" ht="28.5" hidden="1" customHeight="1" x14ac:dyDescent="0.25">
      <c r="A48" s="41">
        <v>10</v>
      </c>
      <c r="B48" s="53" t="s">
        <v>587</v>
      </c>
      <c r="C48" s="53" t="s">
        <v>588</v>
      </c>
      <c r="D48" s="53" t="s">
        <v>594</v>
      </c>
      <c r="E48" s="70"/>
      <c r="F48" s="70"/>
    </row>
    <row r="49" spans="1:6" ht="15" hidden="1" customHeight="1" x14ac:dyDescent="0.25">
      <c r="A49" s="40">
        <f>IFERROR(IF(D49="",1,0),1)</f>
        <v>0</v>
      </c>
      <c r="B49" s="55">
        <f>INDEX(DatesVOC,1,E49)</f>
        <v>44012</v>
      </c>
      <c r="C49" s="55">
        <f t="shared" ref="C49" si="5">B49</f>
        <v>44012</v>
      </c>
      <c r="D49" s="56">
        <f t="array" ref="D49">HLOOKUP(B49,ReadingTableVOC,2,FALSE)</f>
        <v>2654</v>
      </c>
      <c r="E49" s="71">
        <f>IF(E48="",8,E48+1)</f>
        <v>8</v>
      </c>
      <c r="F49" s="71"/>
    </row>
    <row r="50" spans="1:6" hidden="1" x14ac:dyDescent="0.25"/>
    <row r="51" spans="1:6" ht="24" hidden="1" x14ac:dyDescent="0.25">
      <c r="B51" s="54" t="s">
        <v>584</v>
      </c>
      <c r="C51" s="54" t="s">
        <v>590</v>
      </c>
    </row>
    <row r="52" spans="1:6" hidden="1" x14ac:dyDescent="0.25">
      <c r="B52" s="57">
        <f t="array" ref="B52">SUM(IF($D$3:$D$28&lt;&gt;"",1/COUNTIF($D$3:$D$28, $D$3:$D$28), 0))</f>
        <v>25</v>
      </c>
      <c r="C52" s="57">
        <f t="array" ref="C52">SUM(IF($B$3:$B$28&lt;&gt;"",1/COUNTIF($B$3:$B$28, $B$3:$B$28), 0))</f>
        <v>10</v>
      </c>
    </row>
    <row r="53" spans="1:6" hidden="1" x14ac:dyDescent="0.25"/>
  </sheetData>
  <sheetProtection algorithmName="SHA-512" hashValue="UHyE94aFDwqHF5wdN6CA7/AQdFvKhpWkIEkqtrv95icocTy4GZfHbDWlTmYHXSBde2m+CqLTriJyxSuTz9dh5w==" saltValue="pR11UtYFC2sQOIJ6JSrf9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6" customWidth="1"/>
    <col min="2" max="5" width="20.7109375" style="2" customWidth="1"/>
    <col min="6" max="6" width="3.7109375" style="2" customWidth="1"/>
    <col min="7" max="10" width="9.140625" style="2" hidden="1" customWidth="1"/>
    <col min="11" max="13" width="0" style="2" hidden="1" customWidth="1"/>
    <col min="14" max="16384" width="9.140625" style="2"/>
  </cols>
  <sheetData>
    <row r="1" spans="1:6" x14ac:dyDescent="0.25">
      <c r="A1" s="4" t="s">
        <v>601</v>
      </c>
      <c r="B1" s="1"/>
      <c r="C1" s="1"/>
      <c r="D1" s="1"/>
      <c r="E1" s="1"/>
      <c r="F1" s="1"/>
    </row>
    <row r="2" spans="1:6" x14ac:dyDescent="0.25">
      <c r="A2" s="4" t="s">
        <v>601</v>
      </c>
      <c r="B2" s="215" t="s">
        <v>568</v>
      </c>
      <c r="C2" s="220"/>
      <c r="D2" s="216"/>
      <c r="E2" s="36" t="s">
        <v>575</v>
      </c>
      <c r="F2" s="1"/>
    </row>
    <row r="3" spans="1:6" ht="15" customHeight="1" x14ac:dyDescent="0.25">
      <c r="A3" s="4" t="s">
        <v>601</v>
      </c>
      <c r="B3" s="213" t="s">
        <v>697</v>
      </c>
      <c r="C3" s="221"/>
      <c r="D3" s="214"/>
      <c r="E3" s="36" t="s">
        <v>559</v>
      </c>
      <c r="F3" s="1"/>
    </row>
    <row r="4" spans="1:6" ht="14.25" customHeight="1" x14ac:dyDescent="0.25">
      <c r="A4" s="4" t="s">
        <v>601</v>
      </c>
      <c r="B4" s="20" t="s">
        <v>569</v>
      </c>
      <c r="C4" s="21"/>
      <c r="D4" s="22"/>
      <c r="E4" s="23" t="s">
        <v>563</v>
      </c>
      <c r="F4" s="1"/>
    </row>
    <row r="5" spans="1:6" x14ac:dyDescent="0.25">
      <c r="A5" s="4" t="s">
        <v>601</v>
      </c>
      <c r="B5" s="1"/>
      <c r="C5" s="1"/>
      <c r="D5" s="1"/>
      <c r="E5" s="1"/>
      <c r="F5" s="1"/>
    </row>
    <row r="6" spans="1:6" ht="25.5" x14ac:dyDescent="0.25">
      <c r="A6" s="4">
        <v>34</v>
      </c>
      <c r="B6" s="3" t="s">
        <v>547</v>
      </c>
      <c r="C6" s="3" t="s">
        <v>548</v>
      </c>
      <c r="D6" s="3" t="str">
        <f>CONCATENATE("Total Waste 
","(",E4,")")</f>
        <v>Total Waste 
(lbs)</v>
      </c>
      <c r="E6" s="3" t="str">
        <f>CONCATENATE("Diverted 
","(",E4,")")</f>
        <v>Diverted 
(lbs)</v>
      </c>
      <c r="F6" s="1"/>
    </row>
    <row r="7" spans="1:6" x14ac:dyDescent="0.25">
      <c r="A7" s="4"/>
      <c r="B7" s="38">
        <v>43983</v>
      </c>
      <c r="C7" s="38">
        <v>44012</v>
      </c>
      <c r="D7" s="24">
        <v>2222</v>
      </c>
      <c r="E7" s="24">
        <v>1000</v>
      </c>
      <c r="F7" s="1"/>
    </row>
    <row r="8" spans="1:6" x14ac:dyDescent="0.25">
      <c r="A8" s="4"/>
      <c r="B8" s="38">
        <v>43952</v>
      </c>
      <c r="C8" s="38">
        <v>43982</v>
      </c>
      <c r="D8" s="24">
        <v>1927</v>
      </c>
      <c r="E8" s="24">
        <v>999</v>
      </c>
      <c r="F8" s="1"/>
    </row>
    <row r="9" spans="1:6" x14ac:dyDescent="0.25">
      <c r="A9" s="4"/>
      <c r="B9" s="38">
        <v>43922</v>
      </c>
      <c r="C9" s="38">
        <v>43951</v>
      </c>
      <c r="D9" s="24">
        <v>2200</v>
      </c>
      <c r="E9" s="24">
        <v>1109</v>
      </c>
      <c r="F9" s="1"/>
    </row>
    <row r="10" spans="1:6" x14ac:dyDescent="0.25">
      <c r="A10" s="4"/>
      <c r="B10" s="38">
        <v>43891</v>
      </c>
      <c r="C10" s="38">
        <v>43921</v>
      </c>
      <c r="D10" s="24">
        <v>1782</v>
      </c>
      <c r="E10" s="24">
        <v>543</v>
      </c>
      <c r="F10" s="1"/>
    </row>
    <row r="11" spans="1:6" x14ac:dyDescent="0.25">
      <c r="A11" s="4"/>
      <c r="B11" s="38">
        <v>43862</v>
      </c>
      <c r="C11" s="38">
        <v>43889</v>
      </c>
      <c r="D11" s="24">
        <v>2655</v>
      </c>
      <c r="E11" s="24">
        <v>782.1</v>
      </c>
      <c r="F11" s="1"/>
    </row>
    <row r="12" spans="1:6" x14ac:dyDescent="0.25">
      <c r="A12" s="4"/>
      <c r="B12" s="38">
        <v>43831</v>
      </c>
      <c r="C12" s="38">
        <v>43861</v>
      </c>
      <c r="D12" s="24">
        <v>1987</v>
      </c>
      <c r="E12" s="24">
        <v>908</v>
      </c>
      <c r="F12" s="1"/>
    </row>
    <row r="13" spans="1:6" x14ac:dyDescent="0.25">
      <c r="A13" s="4"/>
      <c r="B13" s="38">
        <v>43800</v>
      </c>
      <c r="C13" s="38">
        <v>43830</v>
      </c>
      <c r="D13" s="24">
        <v>2800</v>
      </c>
      <c r="E13" s="24">
        <v>2000</v>
      </c>
      <c r="F13" s="1"/>
    </row>
    <row r="14" spans="1:6" x14ac:dyDescent="0.25">
      <c r="A14" s="4"/>
      <c r="B14" s="38">
        <v>43770</v>
      </c>
      <c r="C14" s="38">
        <v>43799</v>
      </c>
      <c r="D14" s="24">
        <v>1545</v>
      </c>
      <c r="E14" s="24">
        <v>700</v>
      </c>
      <c r="F14" s="1"/>
    </row>
    <row r="15" spans="1:6" x14ac:dyDescent="0.25">
      <c r="A15" s="4"/>
      <c r="B15" s="38">
        <v>43739</v>
      </c>
      <c r="C15" s="38">
        <v>43769</v>
      </c>
      <c r="D15" s="24">
        <v>1777</v>
      </c>
      <c r="E15" s="24">
        <v>1123.22</v>
      </c>
      <c r="F15" s="1"/>
    </row>
    <row r="16" spans="1:6" x14ac:dyDescent="0.25">
      <c r="A16" s="4"/>
      <c r="B16" s="38">
        <v>43709</v>
      </c>
      <c r="C16" s="38">
        <v>43738</v>
      </c>
      <c r="D16" s="24">
        <v>1050</v>
      </c>
      <c r="E16" s="24">
        <v>680</v>
      </c>
      <c r="F16" s="1"/>
    </row>
    <row r="17" spans="1:6" x14ac:dyDescent="0.25">
      <c r="A17" s="4"/>
      <c r="B17" s="38">
        <v>43678</v>
      </c>
      <c r="C17" s="38">
        <v>43708</v>
      </c>
      <c r="D17" s="24">
        <v>1900</v>
      </c>
      <c r="E17" s="24">
        <v>800</v>
      </c>
      <c r="F17" s="1"/>
    </row>
    <row r="18" spans="1:6" x14ac:dyDescent="0.25">
      <c r="A18" s="4"/>
      <c r="B18" s="38">
        <v>43647</v>
      </c>
      <c r="C18" s="38">
        <v>43677</v>
      </c>
      <c r="D18" s="24">
        <v>2323</v>
      </c>
      <c r="E18" s="24">
        <v>1500.08</v>
      </c>
      <c r="F18" s="1"/>
    </row>
    <row r="19" spans="1:6" x14ac:dyDescent="0.25">
      <c r="A19" s="4"/>
      <c r="B19" s="38">
        <v>43617</v>
      </c>
      <c r="C19" s="38">
        <v>43646</v>
      </c>
      <c r="D19" s="24">
        <v>1978</v>
      </c>
      <c r="E19" s="24">
        <v>978</v>
      </c>
      <c r="F19" s="1"/>
    </row>
    <row r="20" spans="1:6" x14ac:dyDescent="0.25">
      <c r="A20" s="4"/>
      <c r="B20" s="38">
        <v>43586</v>
      </c>
      <c r="C20" s="38">
        <v>43616</v>
      </c>
      <c r="D20" s="24">
        <v>1927</v>
      </c>
      <c r="E20" s="24">
        <v>999</v>
      </c>
      <c r="F20" s="1"/>
    </row>
    <row r="21" spans="1:6" x14ac:dyDescent="0.25">
      <c r="A21" s="4"/>
      <c r="B21" s="38">
        <v>43556</v>
      </c>
      <c r="C21" s="38">
        <v>43585</v>
      </c>
      <c r="D21" s="24">
        <v>2200</v>
      </c>
      <c r="E21" s="24">
        <v>1109</v>
      </c>
      <c r="F21" s="1"/>
    </row>
    <row r="22" spans="1:6" x14ac:dyDescent="0.25">
      <c r="A22" s="4"/>
      <c r="B22" s="38">
        <v>43525</v>
      </c>
      <c r="C22" s="38">
        <v>43555</v>
      </c>
      <c r="D22" s="24">
        <v>1782</v>
      </c>
      <c r="E22" s="24">
        <v>543</v>
      </c>
      <c r="F22" s="1"/>
    </row>
    <row r="23" spans="1:6" x14ac:dyDescent="0.25">
      <c r="A23" s="4"/>
      <c r="B23" s="38">
        <v>43497</v>
      </c>
      <c r="C23" s="38">
        <v>43524</v>
      </c>
      <c r="D23" s="24">
        <v>2655</v>
      </c>
      <c r="E23" s="24">
        <v>782.1</v>
      </c>
      <c r="F23" s="1"/>
    </row>
    <row r="24" spans="1:6" x14ac:dyDescent="0.25">
      <c r="A24" s="4"/>
      <c r="B24" s="38">
        <v>43466</v>
      </c>
      <c r="C24" s="38">
        <v>43496</v>
      </c>
      <c r="D24" s="24">
        <v>1987</v>
      </c>
      <c r="E24" s="24">
        <v>908</v>
      </c>
      <c r="F24" s="1"/>
    </row>
    <row r="25" spans="1:6" x14ac:dyDescent="0.25">
      <c r="A25" s="4"/>
      <c r="B25" s="38">
        <v>43435</v>
      </c>
      <c r="C25" s="38">
        <v>43465</v>
      </c>
      <c r="D25" s="24">
        <v>2800</v>
      </c>
      <c r="E25" s="24">
        <v>2000</v>
      </c>
      <c r="F25" s="1"/>
    </row>
    <row r="26" spans="1:6" x14ac:dyDescent="0.25">
      <c r="A26" s="4"/>
      <c r="B26" s="38">
        <v>43405</v>
      </c>
      <c r="C26" s="38">
        <v>43434</v>
      </c>
      <c r="D26" s="24">
        <v>1545</v>
      </c>
      <c r="E26" s="24">
        <v>700</v>
      </c>
      <c r="F26" s="1"/>
    </row>
    <row r="27" spans="1:6" x14ac:dyDescent="0.25">
      <c r="A27" s="4"/>
      <c r="B27" s="38">
        <v>43374</v>
      </c>
      <c r="C27" s="38">
        <v>43404</v>
      </c>
      <c r="D27" s="24">
        <v>1777</v>
      </c>
      <c r="E27" s="24">
        <v>1123.22</v>
      </c>
      <c r="F27" s="1"/>
    </row>
    <row r="28" spans="1:6" x14ac:dyDescent="0.25">
      <c r="A28" s="4"/>
      <c r="B28" s="38">
        <v>43344</v>
      </c>
      <c r="C28" s="38">
        <v>43373</v>
      </c>
      <c r="D28" s="24">
        <v>1050</v>
      </c>
      <c r="E28" s="24">
        <v>680</v>
      </c>
      <c r="F28" s="1"/>
    </row>
    <row r="29" spans="1:6" x14ac:dyDescent="0.25">
      <c r="A29" s="4"/>
      <c r="B29" s="38">
        <v>43313</v>
      </c>
      <c r="C29" s="38">
        <v>43343</v>
      </c>
      <c r="D29" s="24">
        <v>1900</v>
      </c>
      <c r="E29" s="24">
        <v>800</v>
      </c>
      <c r="F29" s="1"/>
    </row>
    <row r="30" spans="1:6" x14ac:dyDescent="0.25">
      <c r="A30" s="4"/>
      <c r="B30" s="38">
        <v>43282</v>
      </c>
      <c r="C30" s="38">
        <v>43312</v>
      </c>
      <c r="D30" s="24">
        <v>2323</v>
      </c>
      <c r="E30" s="24">
        <v>1500.08</v>
      </c>
      <c r="F30" s="1"/>
    </row>
    <row r="31" spans="1:6" x14ac:dyDescent="0.25">
      <c r="A31" s="4"/>
      <c r="B31" s="38">
        <v>43252</v>
      </c>
      <c r="C31" s="38">
        <v>43281</v>
      </c>
      <c r="D31" s="24">
        <v>1978</v>
      </c>
      <c r="E31" s="24">
        <v>978</v>
      </c>
      <c r="F31" s="1"/>
    </row>
    <row r="32" spans="1:6" x14ac:dyDescent="0.25">
      <c r="A32" s="4"/>
      <c r="B32" s="26"/>
      <c r="C32" s="38"/>
      <c r="D32" s="29"/>
      <c r="E32" s="30"/>
      <c r="F32" s="1"/>
    </row>
    <row r="33" spans="1:9" hidden="1" x14ac:dyDescent="0.25">
      <c r="A33" s="5">
        <v>0</v>
      </c>
      <c r="B33" s="28"/>
      <c r="C33" s="28"/>
      <c r="D33" s="31"/>
      <c r="E33" s="32"/>
      <c r="F33" s="1"/>
    </row>
    <row r="34" spans="1:9" ht="25.5" customHeight="1" x14ac:dyDescent="0.25">
      <c r="A34" s="4" t="s">
        <v>549</v>
      </c>
      <c r="B34" s="27"/>
      <c r="C34" s="27"/>
      <c r="D34" s="27"/>
      <c r="E34" s="33"/>
      <c r="F34" s="1"/>
    </row>
    <row r="36" spans="1:9" x14ac:dyDescent="0.25">
      <c r="I36" s="2" t="s">
        <v>563</v>
      </c>
    </row>
    <row r="37" spans="1:9" x14ac:dyDescent="0.25">
      <c r="I37" s="2" t="s">
        <v>558</v>
      </c>
    </row>
    <row r="38" spans="1:9" x14ac:dyDescent="0.25">
      <c r="I38" s="2" t="s">
        <v>543</v>
      </c>
    </row>
  </sheetData>
  <sheetProtection algorithmName="SHA-512" hashValue="C1qCWTWCLuaVd3tRXmQtK+yAbk0UwjwEEAjZGN5QrhtTpX0/r/byw59hwvIxv8WyTqQmCYLrl8bFj+gA0wRDxQ==" saltValue="afKIsf8ySsY7UN32iZWgdQ==" spinCount="100000" sheet="1" objects="1" scenarios="1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8" sqref="D18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26.28515625" style="2" hidden="1" customWidth="1"/>
    <col min="7" max="7" width="43.140625" style="2" hidden="1" customWidth="1"/>
    <col min="8" max="8" width="46.140625" style="2" hidden="1" customWidth="1"/>
    <col min="9" max="9" width="40.5703125" style="2" hidden="1" customWidth="1"/>
    <col min="10" max="10" width="31.28515625" style="2" hidden="1" customWidth="1"/>
    <col min="11" max="11" width="27.85546875" style="2" hidden="1" customWidth="1"/>
    <col min="12" max="12" width="26.140625" style="2" hidden="1" customWidth="1"/>
    <col min="13" max="13" width="31.140625" style="2" hidden="1" customWidth="1"/>
    <col min="14" max="14" width="29.85546875" style="2" hidden="1" customWidth="1"/>
    <col min="15" max="15" width="29" style="2" hidden="1" customWidth="1"/>
    <col min="16" max="16" width="32.28515625" style="2" hidden="1" customWidth="1"/>
    <col min="17" max="17" width="22.7109375" style="2" hidden="1" customWidth="1"/>
    <col min="18" max="18" width="17.5703125" style="2" hidden="1" customWidth="1"/>
    <col min="19" max="19" width="20.140625" style="2" hidden="1" customWidth="1"/>
    <col min="20" max="20" width="15" style="2" hidden="1" customWidth="1"/>
    <col min="21" max="22" width="20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Carbon Monoxide</v>
      </c>
      <c r="C1" s="1"/>
      <c r="D1" s="4" t="str">
        <f ca="1">B1</f>
        <v>Carbon Monoxide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707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(mg/m3)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580</v>
      </c>
    </row>
    <row r="8" spans="1:24" x14ac:dyDescent="0.25">
      <c r="A8" s="4"/>
      <c r="B8" s="26"/>
      <c r="C8" s="26"/>
      <c r="D8" s="29"/>
      <c r="E8" s="1"/>
      <c r="H8" s="2" t="s">
        <v>707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7" sqref="B1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Ozone</v>
      </c>
      <c r="C1" s="1"/>
      <c r="D1" s="4" t="str">
        <f ca="1">B1</f>
        <v>Ozone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708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BE1DC38E-BC07-47F0-90CA-5C6337E42CD8}">
      <formula1>0</formula1>
      <formula2>9999999999</formula2>
    </dataValidation>
    <dataValidation type="date" allowBlank="1" showInputMessage="1" showErrorMessage="1" error="Please enter a valid date in mm/dd/yyyy format." sqref="B7:C7" xr:uid="{C35A097D-BAE9-47CB-A5E2-FA6F1A76B475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19" sqref="B19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Atmospheric Particulate Matter</v>
      </c>
      <c r="C1" s="1"/>
      <c r="D1" s="4" t="str">
        <f ca="1">B1</f>
        <v>Atmospheric Particulate Matter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710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97E6C46C-3ECC-4048-80E6-DD1F2DB2354A}">
      <formula1>0</formula1>
      <formula2>9999999999</formula2>
    </dataValidation>
    <dataValidation type="date" allowBlank="1" showInputMessage="1" showErrorMessage="1" error="Please enter a valid date in mm/dd/yyyy format." sqref="B7:C7" xr:uid="{A1BBEBB6-96DA-4806-AAAB-77269CF790EF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Acetaldehyde</v>
      </c>
      <c r="C1" s="1"/>
      <c r="D1" s="4" t="str">
        <f ca="1">B1</f>
        <v>Acetaldehyde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711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Benzene</v>
      </c>
      <c r="C1" s="1"/>
      <c r="D1" s="4" t="str">
        <f ca="1">B1</f>
        <v>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712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Styrene</v>
      </c>
      <c r="C1" s="1"/>
      <c r="D1" s="4" t="str">
        <f ca="1">B1</f>
        <v>Styrene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713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Toluene</v>
      </c>
      <c r="C1" s="1"/>
      <c r="D1" s="4" t="str">
        <f ca="1">B1</f>
        <v>Toluene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715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 xml:space="preserve">Naphthalene </v>
      </c>
      <c r="C1" s="1"/>
      <c r="D1" s="4" t="str">
        <f ca="1">B1</f>
        <v xml:space="preserve">Naphthalene 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716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714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 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Dichlorobenzene</v>
      </c>
      <c r="C1" s="1"/>
      <c r="D1" s="4" t="str">
        <f ca="1">B1</f>
        <v>Dichlorobenzene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717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tdws94tuZXHwu8Qujhu9Ek07DzyYbTtz1K4HdLXd2MAMr8LWhzhlIA3+jdf9nAsdyLHWuKMxJrT+T2qbU5MIdg==" saltValue="uODVnPa1QyCi21aGOCywTA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22" width="19.5703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Xylenes-total</v>
      </c>
      <c r="C1" s="1"/>
      <c r="D1" s="4" t="str">
        <f ca="1">B1</f>
        <v>Xylenes-total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718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86" t="s">
        <v>709</v>
      </c>
      <c r="E3" s="1"/>
    </row>
    <row r="4" spans="1:24" ht="15.75" hidden="1" customHeight="1" x14ac:dyDescent="0.25">
      <c r="A4" s="4"/>
      <c r="B4" s="172"/>
      <c r="C4" s="9"/>
      <c r="D4" s="18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 
","(",D3,")")</f>
        <v>Period Reading 
(µg/m3)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</row>
    <row r="8" spans="1:24" x14ac:dyDescent="0.25">
      <c r="A8" s="4"/>
      <c r="B8" s="26"/>
      <c r="C8" s="26"/>
      <c r="D8" s="29"/>
      <c r="E8" s="1"/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6" customWidth="1"/>
    <col min="2" max="2" width="20.7109375" style="2" customWidth="1"/>
    <col min="3" max="3" width="20.5703125" style="2" customWidth="1"/>
    <col min="4" max="4" width="45.140625" style="2" customWidth="1"/>
    <col min="5" max="5" width="5.7109375" style="2" customWidth="1"/>
    <col min="6" max="6" width="19.5703125" style="2" hidden="1" customWidth="1"/>
    <col min="7" max="7" width="10.42578125" style="2" hidden="1" customWidth="1"/>
    <col min="8" max="8" width="4.42578125" style="2" hidden="1" customWidth="1"/>
    <col min="9" max="9" width="11" style="2" hidden="1" customWidth="1"/>
    <col min="10" max="10" width="13.42578125" style="2" hidden="1" customWidth="1"/>
    <col min="11" max="11" width="15.42578125" style="2" hidden="1" customWidth="1"/>
    <col min="12" max="12" width="12.7109375" style="2" hidden="1" customWidth="1"/>
    <col min="13" max="14" width="19.7109375" style="2" hidden="1" customWidth="1"/>
    <col min="15" max="15" width="18.7109375" style="2" hidden="1" customWidth="1"/>
    <col min="16" max="16" width="21.28515625" style="2" hidden="1" customWidth="1"/>
    <col min="17" max="17" width="17.7109375" style="2" hidden="1" customWidth="1"/>
    <col min="18" max="18" width="21.140625" style="2" hidden="1" customWidth="1"/>
    <col min="19" max="19" width="17" style="2" hidden="1" customWidth="1"/>
    <col min="20" max="20" width="20.42578125" style="2" hidden="1" customWidth="1"/>
    <col min="21" max="21" width="19.7109375" style="2" hidden="1" customWidth="1"/>
    <col min="22" max="22" width="34.42578125" style="2" hidden="1" customWidth="1"/>
    <col min="23" max="32" width="19.5703125" style="2" customWidth="1"/>
    <col min="33" max="16384" width="9.140625" style="2"/>
  </cols>
  <sheetData>
    <row r="1" spans="1:24" ht="15" customHeight="1" x14ac:dyDescent="0.25">
      <c r="A1" s="4" t="s">
        <v>601</v>
      </c>
      <c r="B1" s="4" t="str">
        <f ca="1">MID(CELL("filename",A1),FIND("]",CELL("filename",A1))+1,256)</f>
        <v>Formaldehyde</v>
      </c>
      <c r="C1" s="1"/>
      <c r="D1" s="4" t="str">
        <f ca="1">B1</f>
        <v>Formaldehyde</v>
      </c>
      <c r="E1" s="1"/>
    </row>
    <row r="2" spans="1:24" ht="15" customHeight="1" x14ac:dyDescent="0.25">
      <c r="A2" s="4" t="s">
        <v>601</v>
      </c>
      <c r="B2" s="173" t="s">
        <v>568</v>
      </c>
      <c r="C2" s="178"/>
      <c r="D2" s="185" t="s">
        <v>719</v>
      </c>
      <c r="E2" s="1"/>
    </row>
    <row r="3" spans="1:24" ht="15.75" customHeight="1" x14ac:dyDescent="0.25">
      <c r="A3" s="4" t="s">
        <v>601</v>
      </c>
      <c r="B3" s="172" t="s">
        <v>569</v>
      </c>
      <c r="C3" s="9"/>
      <c r="D3" s="176" t="s">
        <v>720</v>
      </c>
      <c r="E3" s="1"/>
    </row>
    <row r="4" spans="1:24" ht="15.75" hidden="1" customHeight="1" x14ac:dyDescent="0.25">
      <c r="A4" s="4"/>
      <c r="B4" s="172"/>
      <c r="C4" s="9"/>
      <c r="D4" s="176"/>
      <c r="E4" s="1"/>
    </row>
    <row r="5" spans="1:24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24" ht="24" customHeight="1" x14ac:dyDescent="0.25">
      <c r="A6" s="4">
        <v>10</v>
      </c>
      <c r="B6" s="177" t="s">
        <v>547</v>
      </c>
      <c r="C6" s="177" t="s">
        <v>548</v>
      </c>
      <c r="D6" s="3" t="str">
        <f t="array" ref="D6">CONCATENATE("Period Reading
","(",D3,")")</f>
        <v>Period Reading
(µg/m3 )</v>
      </c>
      <c r="E6" s="1"/>
    </row>
    <row r="7" spans="1:24" x14ac:dyDescent="0.25">
      <c r="A7" s="4"/>
      <c r="B7" s="38">
        <v>43435</v>
      </c>
      <c r="C7" s="38">
        <v>43496</v>
      </c>
      <c r="D7" s="25">
        <v>111</v>
      </c>
      <c r="E7" s="1"/>
      <c r="H7" s="2" t="s">
        <v>709</v>
      </c>
    </row>
    <row r="8" spans="1:24" x14ac:dyDescent="0.25">
      <c r="A8" s="4"/>
      <c r="B8" s="26"/>
      <c r="C8" s="187"/>
      <c r="D8" s="29"/>
      <c r="E8" s="1"/>
      <c r="H8" s="2" t="s">
        <v>721</v>
      </c>
    </row>
    <row r="9" spans="1:24" hidden="1" x14ac:dyDescent="0.25">
      <c r="A9" s="4"/>
      <c r="B9" s="27"/>
      <c r="C9" s="27"/>
      <c r="D9" s="27"/>
      <c r="E9" s="1"/>
    </row>
    <row r="10" spans="1:24" ht="25.5" customHeight="1" x14ac:dyDescent="0.25">
      <c r="A10" s="4" t="s">
        <v>549</v>
      </c>
      <c r="B10" s="27"/>
      <c r="C10" s="27"/>
      <c r="D10" s="27"/>
      <c r="E10" s="1"/>
      <c r="V10" s="2" t="s">
        <v>562</v>
      </c>
    </row>
    <row r="15" spans="1:24" ht="24.75" customHeight="1" x14ac:dyDescent="0.25">
      <c r="L15" s="18"/>
      <c r="M15" s="18"/>
      <c r="N15" s="18"/>
      <c r="O15" s="18"/>
      <c r="P15" s="18"/>
      <c r="U15" s="18"/>
      <c r="V15" s="18"/>
      <c r="W15" s="18"/>
      <c r="X15" s="18"/>
    </row>
    <row r="19" spans="7:22" x14ac:dyDescent="0.25">
      <c r="G19" s="2" t="s">
        <v>516</v>
      </c>
      <c r="H19" s="2" t="s">
        <v>533</v>
      </c>
      <c r="I19" s="2" t="s">
        <v>540</v>
      </c>
      <c r="J19" s="2" t="s">
        <v>541</v>
      </c>
      <c r="K19" s="2" t="s">
        <v>529</v>
      </c>
      <c r="L19" s="2" t="s">
        <v>555</v>
      </c>
      <c r="M19" s="2" t="s">
        <v>553</v>
      </c>
      <c r="N19" s="2" t="s">
        <v>527</v>
      </c>
      <c r="O19" s="2" t="s">
        <v>564</v>
      </c>
      <c r="P19" s="2" t="s">
        <v>528</v>
      </c>
      <c r="Q19" s="2" t="s">
        <v>531</v>
      </c>
      <c r="R19" s="2" t="s">
        <v>550</v>
      </c>
      <c r="S19" s="2" t="s">
        <v>551</v>
      </c>
      <c r="T19" s="2" t="s">
        <v>525</v>
      </c>
      <c r="U19" s="2" t="s">
        <v>530</v>
      </c>
      <c r="V19" s="2" t="s">
        <v>545</v>
      </c>
    </row>
    <row r="20" spans="7:22" x14ac:dyDescent="0.25">
      <c r="G20" s="2" t="s">
        <v>518</v>
      </c>
      <c r="H20" s="2" t="s">
        <v>533</v>
      </c>
      <c r="I20" s="2" t="s">
        <v>540</v>
      </c>
      <c r="J20" s="2" t="s">
        <v>541</v>
      </c>
      <c r="K20" s="2" t="s">
        <v>529</v>
      </c>
      <c r="L20" s="2" t="s">
        <v>555</v>
      </c>
      <c r="M20" s="2" t="s">
        <v>553</v>
      </c>
      <c r="N20" s="2" t="s">
        <v>543</v>
      </c>
      <c r="O20" s="2" t="s">
        <v>701</v>
      </c>
      <c r="P20"/>
      <c r="Q20"/>
      <c r="R20"/>
      <c r="S20"/>
      <c r="T20"/>
      <c r="U20"/>
      <c r="V20"/>
    </row>
    <row r="21" spans="7:22" x14ac:dyDescent="0.25">
      <c r="G21" s="2" t="s">
        <v>517</v>
      </c>
      <c r="H21" s="2" t="s">
        <v>533</v>
      </c>
      <c r="I21" s="2" t="s">
        <v>540</v>
      </c>
      <c r="J21" s="2" t="s">
        <v>541</v>
      </c>
      <c r="K21" s="2" t="s">
        <v>529</v>
      </c>
      <c r="L21" s="2" t="s">
        <v>555</v>
      </c>
      <c r="M21" s="2" t="s">
        <v>553</v>
      </c>
      <c r="N21" s="2" t="s">
        <v>527</v>
      </c>
      <c r="O21" s="2" t="s">
        <v>564</v>
      </c>
      <c r="P21" s="2" t="s">
        <v>528</v>
      </c>
      <c r="Q21" s="2" t="s">
        <v>531</v>
      </c>
      <c r="R21" s="2" t="s">
        <v>550</v>
      </c>
      <c r="S21" s="2" t="s">
        <v>551</v>
      </c>
      <c r="T21" s="2" t="s">
        <v>525</v>
      </c>
      <c r="U21" s="2" t="s">
        <v>530</v>
      </c>
      <c r="V21" s="2" t="s">
        <v>545</v>
      </c>
    </row>
    <row r="22" spans="7:22" x14ac:dyDescent="0.25">
      <c r="G22" s="2" t="s">
        <v>515</v>
      </c>
      <c r="H22" s="2" t="s">
        <v>533</v>
      </c>
      <c r="I22" s="2" t="s">
        <v>540</v>
      </c>
      <c r="J22" s="2" t="s">
        <v>541</v>
      </c>
      <c r="K22" s="2" t="s">
        <v>529</v>
      </c>
      <c r="L22" s="2" t="s">
        <v>555</v>
      </c>
      <c r="M22" s="2" t="s">
        <v>553</v>
      </c>
      <c r="N22" s="2" t="s">
        <v>527</v>
      </c>
      <c r="O22" s="2" t="s">
        <v>564</v>
      </c>
      <c r="P22" s="2" t="s">
        <v>528</v>
      </c>
      <c r="Q22" s="2" t="s">
        <v>531</v>
      </c>
      <c r="R22" s="2" t="s">
        <v>550</v>
      </c>
      <c r="S22" s="2" t="s">
        <v>551</v>
      </c>
      <c r="T22" s="2" t="s">
        <v>525</v>
      </c>
      <c r="U22" s="2" t="s">
        <v>530</v>
      </c>
      <c r="V22" s="2" t="s">
        <v>545</v>
      </c>
    </row>
    <row r="23" spans="7:22" x14ac:dyDescent="0.25">
      <c r="G23" s="2" t="s">
        <v>514</v>
      </c>
      <c r="H23" s="2" t="s">
        <v>533</v>
      </c>
      <c r="I23" s="2" t="s">
        <v>540</v>
      </c>
      <c r="J23" s="2" t="s">
        <v>541</v>
      </c>
      <c r="K23" s="2" t="s">
        <v>529</v>
      </c>
      <c r="L23" s="2" t="s">
        <v>555</v>
      </c>
      <c r="M23" s="2" t="s">
        <v>553</v>
      </c>
      <c r="N23" s="2" t="s">
        <v>527</v>
      </c>
      <c r="O23" s="2" t="s">
        <v>564</v>
      </c>
      <c r="P23" s="2" t="s">
        <v>528</v>
      </c>
      <c r="Q23" s="2" t="s">
        <v>531</v>
      </c>
      <c r="R23" s="2" t="s">
        <v>550</v>
      </c>
      <c r="S23" s="2" t="s">
        <v>551</v>
      </c>
      <c r="T23" s="2" t="s">
        <v>525</v>
      </c>
      <c r="U23" s="2" t="s">
        <v>530</v>
      </c>
      <c r="V23" s="2" t="s">
        <v>545</v>
      </c>
    </row>
    <row r="24" spans="7:22" x14ac:dyDescent="0.25">
      <c r="G24" s="2" t="s">
        <v>510</v>
      </c>
      <c r="H24" s="2" t="s">
        <v>533</v>
      </c>
      <c r="I24" s="2" t="s">
        <v>540</v>
      </c>
      <c r="J24" s="2" t="s">
        <v>541</v>
      </c>
      <c r="K24" s="2" t="s">
        <v>529</v>
      </c>
      <c r="L24" s="2" t="s">
        <v>555</v>
      </c>
      <c r="M24" s="2" t="s">
        <v>553</v>
      </c>
      <c r="N24" s="2" t="s">
        <v>527</v>
      </c>
      <c r="O24" s="2" t="s">
        <v>564</v>
      </c>
      <c r="P24" s="2" t="s">
        <v>528</v>
      </c>
      <c r="Q24" s="2" t="s">
        <v>531</v>
      </c>
      <c r="R24" s="2" t="s">
        <v>550</v>
      </c>
      <c r="S24" s="2" t="s">
        <v>551</v>
      </c>
      <c r="T24" s="2" t="s">
        <v>525</v>
      </c>
      <c r="U24" s="2" t="s">
        <v>530</v>
      </c>
      <c r="V24" s="2" t="s">
        <v>545</v>
      </c>
    </row>
    <row r="25" spans="7:22" x14ac:dyDescent="0.25">
      <c r="G25" s="2" t="s">
        <v>511</v>
      </c>
      <c r="H25" s="2" t="s">
        <v>533</v>
      </c>
      <c r="I25" s="2" t="s">
        <v>540</v>
      </c>
      <c r="J25" s="2" t="s">
        <v>541</v>
      </c>
      <c r="K25" s="2" t="s">
        <v>529</v>
      </c>
      <c r="L25" s="2" t="s">
        <v>555</v>
      </c>
      <c r="M25" s="2" t="s">
        <v>553</v>
      </c>
      <c r="N25" s="2" t="s">
        <v>527</v>
      </c>
      <c r="O25" s="2" t="s">
        <v>564</v>
      </c>
      <c r="P25" s="2" t="s">
        <v>528</v>
      </c>
      <c r="Q25" s="2" t="s">
        <v>531</v>
      </c>
      <c r="R25" s="2" t="s">
        <v>550</v>
      </c>
      <c r="S25" s="2" t="s">
        <v>551</v>
      </c>
      <c r="T25" s="2" t="s">
        <v>525</v>
      </c>
      <c r="U25" s="2" t="s">
        <v>530</v>
      </c>
      <c r="V25" s="2" t="s">
        <v>545</v>
      </c>
    </row>
    <row r="26" spans="7:22" x14ac:dyDescent="0.25">
      <c r="G26" s="2" t="s">
        <v>512</v>
      </c>
      <c r="H26" s="2" t="s">
        <v>533</v>
      </c>
      <c r="I26" s="2" t="s">
        <v>540</v>
      </c>
      <c r="J26" s="2" t="s">
        <v>541</v>
      </c>
      <c r="K26" s="2" t="s">
        <v>529</v>
      </c>
      <c r="L26" s="2" t="s">
        <v>555</v>
      </c>
      <c r="M26" s="2" t="s">
        <v>553</v>
      </c>
      <c r="N26" s="2" t="s">
        <v>527</v>
      </c>
      <c r="O26" s="2" t="s">
        <v>564</v>
      </c>
      <c r="P26" s="2" t="s">
        <v>528</v>
      </c>
      <c r="Q26" s="2" t="s">
        <v>531</v>
      </c>
      <c r="R26" s="2" t="s">
        <v>550</v>
      </c>
      <c r="S26" s="2" t="s">
        <v>551</v>
      </c>
      <c r="T26" s="2" t="s">
        <v>525</v>
      </c>
      <c r="U26" s="2" t="s">
        <v>530</v>
      </c>
      <c r="V26" s="2" t="s">
        <v>545</v>
      </c>
    </row>
    <row r="27" spans="7:22" x14ac:dyDescent="0.25">
      <c r="G27" s="2" t="s">
        <v>576</v>
      </c>
      <c r="H27" s="2" t="s">
        <v>533</v>
      </c>
      <c r="I27" s="2" t="s">
        <v>540</v>
      </c>
      <c r="J27" s="2" t="s">
        <v>541</v>
      </c>
      <c r="K27" s="2" t="s">
        <v>529</v>
      </c>
      <c r="L27" s="2" t="s">
        <v>555</v>
      </c>
      <c r="M27" s="2" t="s">
        <v>553</v>
      </c>
      <c r="N27" s="2" t="s">
        <v>527</v>
      </c>
      <c r="O27" s="2" t="s">
        <v>564</v>
      </c>
      <c r="P27" s="2" t="s">
        <v>528</v>
      </c>
      <c r="Q27" s="2" t="s">
        <v>531</v>
      </c>
      <c r="R27" s="2" t="s">
        <v>550</v>
      </c>
      <c r="S27" s="2" t="s">
        <v>551</v>
      </c>
      <c r="T27" s="2" t="s">
        <v>525</v>
      </c>
      <c r="U27" s="2" t="s">
        <v>530</v>
      </c>
      <c r="V27" s="2" t="s">
        <v>545</v>
      </c>
    </row>
    <row r="28" spans="7:22" x14ac:dyDescent="0.25">
      <c r="G28" s="2" t="s">
        <v>497</v>
      </c>
      <c r="H28" s="2" t="s">
        <v>533</v>
      </c>
      <c r="I28" s="2" t="s">
        <v>540</v>
      </c>
      <c r="J28" s="2" t="s">
        <v>541</v>
      </c>
      <c r="K28" s="2" t="s">
        <v>529</v>
      </c>
      <c r="L28" s="2" t="s">
        <v>555</v>
      </c>
      <c r="M28" s="2" t="s">
        <v>553</v>
      </c>
      <c r="N28" s="2" t="s">
        <v>543</v>
      </c>
      <c r="O28" s="2" t="s">
        <v>556</v>
      </c>
      <c r="P28" s="2" t="s">
        <v>579</v>
      </c>
      <c r="Q28" s="2" t="s">
        <v>557</v>
      </c>
      <c r="R28" s="2" t="s">
        <v>702</v>
      </c>
      <c r="S28"/>
      <c r="T28"/>
      <c r="U28"/>
      <c r="V28"/>
    </row>
    <row r="29" spans="7:22" x14ac:dyDescent="0.25">
      <c r="G29" s="2" t="s">
        <v>498</v>
      </c>
      <c r="H29" s="2" t="s">
        <v>533</v>
      </c>
      <c r="I29" s="2" t="s">
        <v>540</v>
      </c>
      <c r="J29" s="2" t="s">
        <v>541</v>
      </c>
      <c r="K29" s="2" t="s">
        <v>529</v>
      </c>
      <c r="L29" s="2" t="s">
        <v>555</v>
      </c>
      <c r="M29" s="2" t="s">
        <v>553</v>
      </c>
      <c r="N29" s="2" t="s">
        <v>543</v>
      </c>
      <c r="O29" s="2" t="s">
        <v>556</v>
      </c>
      <c r="P29" s="2" t="s">
        <v>579</v>
      </c>
      <c r="Q29" s="2" t="s">
        <v>557</v>
      </c>
      <c r="R29" s="2" t="s">
        <v>702</v>
      </c>
      <c r="S29"/>
      <c r="T29"/>
      <c r="U29"/>
      <c r="V29"/>
    </row>
    <row r="30" spans="7:22" x14ac:dyDescent="0.25">
      <c r="G30" s="2" t="s">
        <v>499</v>
      </c>
      <c r="H30" s="2" t="s">
        <v>533</v>
      </c>
      <c r="I30" s="2" t="s">
        <v>540</v>
      </c>
      <c r="J30" s="2" t="s">
        <v>541</v>
      </c>
      <c r="K30" s="2" t="s">
        <v>529</v>
      </c>
      <c r="L30" s="2" t="s">
        <v>555</v>
      </c>
      <c r="M30" s="2" t="s">
        <v>553</v>
      </c>
      <c r="N30" s="2" t="s">
        <v>543</v>
      </c>
      <c r="O30" s="2" t="s">
        <v>556</v>
      </c>
      <c r="P30" s="2" t="s">
        <v>579</v>
      </c>
      <c r="Q30" s="2" t="s">
        <v>557</v>
      </c>
      <c r="R30" s="2" t="s">
        <v>702</v>
      </c>
      <c r="S30"/>
      <c r="T30"/>
      <c r="U30"/>
      <c r="V30"/>
    </row>
    <row r="31" spans="7:22" x14ac:dyDescent="0.25">
      <c r="G31" s="2" t="s">
        <v>500</v>
      </c>
      <c r="H31" s="2" t="s">
        <v>533</v>
      </c>
      <c r="I31" s="2" t="s">
        <v>540</v>
      </c>
      <c r="J31" s="2" t="s">
        <v>541</v>
      </c>
      <c r="K31" s="2" t="s">
        <v>529</v>
      </c>
      <c r="L31" s="2" t="s">
        <v>555</v>
      </c>
      <c r="M31" s="2" t="s">
        <v>553</v>
      </c>
      <c r="N31" s="2" t="s">
        <v>527</v>
      </c>
      <c r="O31" s="2" t="s">
        <v>564</v>
      </c>
      <c r="P31" s="2" t="s">
        <v>528</v>
      </c>
      <c r="Q31" s="2" t="s">
        <v>531</v>
      </c>
      <c r="R31" s="2" t="s">
        <v>550</v>
      </c>
      <c r="S31" s="2" t="s">
        <v>551</v>
      </c>
      <c r="T31" s="2" t="s">
        <v>525</v>
      </c>
      <c r="U31" s="2" t="s">
        <v>530</v>
      </c>
      <c r="V31" s="2" t="s">
        <v>545</v>
      </c>
    </row>
    <row r="32" spans="7:22" x14ac:dyDescent="0.25">
      <c r="G32" s="2" t="s">
        <v>506</v>
      </c>
      <c r="H32" s="2" t="s">
        <v>533</v>
      </c>
      <c r="I32" s="2" t="s">
        <v>540</v>
      </c>
      <c r="J32" s="2" t="s">
        <v>541</v>
      </c>
      <c r="K32" s="2" t="s">
        <v>529</v>
      </c>
      <c r="L32" s="2" t="s">
        <v>555</v>
      </c>
      <c r="M32" s="2" t="s">
        <v>553</v>
      </c>
      <c r="N32" s="2" t="s">
        <v>556</v>
      </c>
      <c r="O32" s="2" t="s">
        <v>579</v>
      </c>
      <c r="P32" s="2" t="s">
        <v>557</v>
      </c>
      <c r="Q32" s="2" t="s">
        <v>558</v>
      </c>
      <c r="R32"/>
      <c r="S32"/>
      <c r="T32"/>
      <c r="U32"/>
      <c r="V32"/>
    </row>
    <row r="33" spans="7:22" x14ac:dyDescent="0.25">
      <c r="G33" s="2" t="s">
        <v>505</v>
      </c>
      <c r="H33" s="2" t="s">
        <v>533</v>
      </c>
      <c r="I33" s="2" t="s">
        <v>540</v>
      </c>
      <c r="J33" s="2" t="s">
        <v>541</v>
      </c>
      <c r="K33" s="2" t="s">
        <v>529</v>
      </c>
      <c r="L33" s="2" t="s">
        <v>555</v>
      </c>
      <c r="M33" s="2" t="s">
        <v>700</v>
      </c>
      <c r="N33"/>
      <c r="O33"/>
      <c r="P33"/>
      <c r="Q33"/>
      <c r="R33"/>
      <c r="S33"/>
      <c r="T33"/>
      <c r="U33"/>
      <c r="V33"/>
    </row>
    <row r="34" spans="7:22" x14ac:dyDescent="0.25">
      <c r="G34" s="2" t="s">
        <v>577</v>
      </c>
      <c r="H34" s="2" t="s">
        <v>533</v>
      </c>
      <c r="I34" s="2" t="s">
        <v>540</v>
      </c>
      <c r="J34" s="2" t="s">
        <v>541</v>
      </c>
      <c r="K34" s="2" t="s">
        <v>529</v>
      </c>
      <c r="L34" s="2" t="s">
        <v>555</v>
      </c>
      <c r="M34" s="2" t="s">
        <v>700</v>
      </c>
      <c r="N34" s="2" t="s">
        <v>542</v>
      </c>
      <c r="O34"/>
      <c r="P34"/>
      <c r="Q34"/>
      <c r="R34"/>
      <c r="S34"/>
      <c r="T34"/>
      <c r="U34"/>
      <c r="V34"/>
    </row>
    <row r="35" spans="7:22" x14ac:dyDescent="0.25">
      <c r="G35" s="2" t="s">
        <v>554</v>
      </c>
      <c r="H35" s="2" t="s">
        <v>533</v>
      </c>
      <c r="I35" s="2" t="s">
        <v>540</v>
      </c>
      <c r="J35" s="2" t="s">
        <v>541</v>
      </c>
      <c r="K35" s="2" t="s">
        <v>529</v>
      </c>
      <c r="L35" s="2" t="s">
        <v>555</v>
      </c>
      <c r="M35" s="2" t="s">
        <v>700</v>
      </c>
      <c r="N35" s="2" t="s">
        <v>542</v>
      </c>
      <c r="O35"/>
      <c r="P35"/>
      <c r="Q35"/>
      <c r="R35"/>
      <c r="S35"/>
      <c r="T35"/>
      <c r="U35"/>
      <c r="V35"/>
    </row>
    <row r="36" spans="7:22" x14ac:dyDescent="0.25">
      <c r="G36" s="2" t="s">
        <v>578</v>
      </c>
      <c r="H36" s="2" t="s">
        <v>533</v>
      </c>
      <c r="I36" s="2" t="s">
        <v>540</v>
      </c>
      <c r="J36" s="2" t="s">
        <v>541</v>
      </c>
      <c r="K36" s="2" t="s">
        <v>529</v>
      </c>
      <c r="L36" s="2" t="s">
        <v>555</v>
      </c>
      <c r="M36" s="2" t="s">
        <v>700</v>
      </c>
      <c r="N36" s="2" t="s">
        <v>542</v>
      </c>
      <c r="O36"/>
      <c r="P36"/>
      <c r="Q36"/>
      <c r="R36"/>
      <c r="S36"/>
      <c r="T36"/>
      <c r="U36"/>
      <c r="V36"/>
    </row>
    <row r="37" spans="7:22" x14ac:dyDescent="0.2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71A8DE1D-F37F-40CD-BABA-6CD98E1925D4}">
      <formula1>0</formula1>
      <formula2>9999999999</formula2>
    </dataValidation>
    <dataValidation type="date" allowBlank="1" showInputMessage="1" showErrorMessage="1" error="Please enter a valid date in mm/dd/yyyy format." sqref="B7:C7" xr:uid="{6D5ACAA9-954F-431B-B1D3-FD01BCB8CF5F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802D7-2132-4A01-BB01-95019617D909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36.7109375" style="2" customWidth="1"/>
    <col min="5" max="5" width="3.7109375" style="2" customWidth="1"/>
    <col min="6" max="11" width="9.140625" style="2" hidden="1" customWidth="1"/>
    <col min="12" max="16384" width="9.140625" style="2"/>
  </cols>
  <sheetData>
    <row r="1" spans="1:5" ht="15" customHeight="1" x14ac:dyDescent="0.25">
      <c r="A1" s="4" t="s">
        <v>601</v>
      </c>
      <c r="B1" s="4" t="str">
        <f ca="1">MID(CELL("filename",A1),FIND("]",CELL("filename",A1))+1,256)</f>
        <v>Energy Meter via upload</v>
      </c>
      <c r="C1" s="1"/>
      <c r="D1" s="4" t="str">
        <f ca="1">B1</f>
        <v>Energy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743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691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529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(kBtu)</v>
      </c>
      <c r="E6" s="1"/>
    </row>
    <row r="7" spans="1:5" x14ac:dyDescent="0.25">
      <c r="A7" s="5"/>
      <c r="B7" s="38">
        <v>43983</v>
      </c>
      <c r="C7" s="38">
        <v>44012</v>
      </c>
      <c r="D7" s="25">
        <v>770</v>
      </c>
      <c r="E7" s="1"/>
    </row>
    <row r="8" spans="1:5" x14ac:dyDescent="0.25">
      <c r="A8" s="5"/>
      <c r="B8" s="38">
        <v>43952</v>
      </c>
      <c r="C8" s="38">
        <v>43982</v>
      </c>
      <c r="D8" s="25">
        <v>500</v>
      </c>
      <c r="E8" s="1"/>
    </row>
    <row r="9" spans="1:5" x14ac:dyDescent="0.25">
      <c r="A9" s="5"/>
      <c r="B9" s="38">
        <v>43922</v>
      </c>
      <c r="C9" s="38">
        <v>43951</v>
      </c>
      <c r="D9" s="25">
        <v>400</v>
      </c>
      <c r="E9" s="1"/>
    </row>
    <row r="10" spans="1:5" x14ac:dyDescent="0.25">
      <c r="A10" s="5"/>
      <c r="B10" s="38">
        <v>43891</v>
      </c>
      <c r="C10" s="38">
        <v>43921</v>
      </c>
      <c r="D10" s="25">
        <v>6782</v>
      </c>
      <c r="E10" s="1"/>
    </row>
    <row r="11" spans="1:5" x14ac:dyDescent="0.25">
      <c r="A11" s="5"/>
      <c r="B11" s="38">
        <v>43862</v>
      </c>
      <c r="C11" s="38">
        <v>43889</v>
      </c>
      <c r="D11" s="25">
        <v>7655</v>
      </c>
      <c r="E11" s="1"/>
    </row>
    <row r="12" spans="1:5" x14ac:dyDescent="0.25">
      <c r="A12" s="5"/>
      <c r="B12" s="38">
        <v>43831</v>
      </c>
      <c r="C12" s="38">
        <v>43861</v>
      </c>
      <c r="D12" s="25">
        <v>987</v>
      </c>
      <c r="E12" s="1"/>
    </row>
    <row r="13" spans="1:5" x14ac:dyDescent="0.25">
      <c r="A13" s="5"/>
      <c r="B13" s="38">
        <v>43800</v>
      </c>
      <c r="C13" s="38">
        <v>43830</v>
      </c>
      <c r="D13" s="25">
        <v>1800</v>
      </c>
      <c r="E13" s="1"/>
    </row>
    <row r="14" spans="1:5" x14ac:dyDescent="0.25">
      <c r="A14" s="5"/>
      <c r="B14" s="38">
        <v>43770</v>
      </c>
      <c r="C14" s="38">
        <v>43799</v>
      </c>
      <c r="D14" s="25">
        <v>1545</v>
      </c>
      <c r="E14" s="1"/>
    </row>
    <row r="15" spans="1:5" x14ac:dyDescent="0.25">
      <c r="A15" s="5"/>
      <c r="B15" s="38">
        <v>43739</v>
      </c>
      <c r="C15" s="38">
        <v>43769</v>
      </c>
      <c r="D15" s="25">
        <v>1777</v>
      </c>
      <c r="E15" s="1"/>
    </row>
    <row r="16" spans="1:5" x14ac:dyDescent="0.25">
      <c r="A16" s="5"/>
      <c r="B16" s="38">
        <v>43709</v>
      </c>
      <c r="C16" s="38">
        <v>43738</v>
      </c>
      <c r="D16" s="25">
        <v>1050</v>
      </c>
      <c r="E16" s="1"/>
    </row>
    <row r="17" spans="1:5" x14ac:dyDescent="0.25">
      <c r="A17" s="5"/>
      <c r="B17" s="38">
        <v>43678</v>
      </c>
      <c r="C17" s="38">
        <v>43708</v>
      </c>
      <c r="D17" s="25">
        <v>900</v>
      </c>
      <c r="E17" s="1"/>
    </row>
    <row r="18" spans="1:5" x14ac:dyDescent="0.25">
      <c r="A18" s="5"/>
      <c r="B18" s="38">
        <v>43647</v>
      </c>
      <c r="C18" s="38">
        <v>43677</v>
      </c>
      <c r="D18" s="25">
        <v>2323</v>
      </c>
      <c r="E18" s="1"/>
    </row>
    <row r="19" spans="1:5" x14ac:dyDescent="0.25">
      <c r="A19" s="5"/>
      <c r="B19" s="38">
        <v>43617</v>
      </c>
      <c r="C19" s="38">
        <v>43646</v>
      </c>
      <c r="D19" s="25">
        <v>2222</v>
      </c>
      <c r="E19" s="1"/>
    </row>
    <row r="20" spans="1:5" x14ac:dyDescent="0.25">
      <c r="A20" s="5"/>
      <c r="B20" s="38">
        <v>43586</v>
      </c>
      <c r="C20" s="38">
        <v>43616</v>
      </c>
      <c r="D20" s="25">
        <v>500</v>
      </c>
      <c r="E20" s="1"/>
    </row>
    <row r="21" spans="1:5" x14ac:dyDescent="0.25">
      <c r="A21" s="5"/>
      <c r="B21" s="38">
        <v>43556</v>
      </c>
      <c r="C21" s="38">
        <v>43585</v>
      </c>
      <c r="D21" s="25">
        <v>400</v>
      </c>
      <c r="E21" s="1"/>
    </row>
    <row r="22" spans="1:5" x14ac:dyDescent="0.25">
      <c r="A22" s="5"/>
      <c r="B22" s="38">
        <v>43525</v>
      </c>
      <c r="C22" s="38">
        <v>43555</v>
      </c>
      <c r="D22" s="25">
        <v>6782</v>
      </c>
      <c r="E22" s="1"/>
    </row>
    <row r="23" spans="1:5" x14ac:dyDescent="0.25">
      <c r="A23" s="5"/>
      <c r="B23" s="38">
        <v>43497</v>
      </c>
      <c r="C23" s="38">
        <v>43524</v>
      </c>
      <c r="D23" s="25">
        <v>7655</v>
      </c>
      <c r="E23" s="1"/>
    </row>
    <row r="24" spans="1:5" x14ac:dyDescent="0.25">
      <c r="A24" s="5"/>
      <c r="B24" s="38">
        <v>43466</v>
      </c>
      <c r="C24" s="38">
        <v>43496</v>
      </c>
      <c r="D24" s="25">
        <v>987</v>
      </c>
      <c r="E24" s="1"/>
    </row>
    <row r="25" spans="1:5" x14ac:dyDescent="0.25">
      <c r="A25" s="5"/>
      <c r="B25" s="38">
        <v>43435</v>
      </c>
      <c r="C25" s="38">
        <v>43465</v>
      </c>
      <c r="D25" s="25">
        <v>1800</v>
      </c>
      <c r="E25" s="1"/>
    </row>
    <row r="26" spans="1:5" x14ac:dyDescent="0.25">
      <c r="A26" s="5"/>
      <c r="B26" s="38">
        <v>43405</v>
      </c>
      <c r="C26" s="38">
        <v>43434</v>
      </c>
      <c r="D26" s="25">
        <v>1545</v>
      </c>
      <c r="E26" s="1"/>
    </row>
    <row r="27" spans="1:5" x14ac:dyDescent="0.25">
      <c r="A27" s="5"/>
      <c r="B27" s="38">
        <v>43374</v>
      </c>
      <c r="C27" s="38">
        <v>43404</v>
      </c>
      <c r="D27" s="25">
        <v>1777</v>
      </c>
      <c r="E27" s="1"/>
    </row>
    <row r="28" spans="1:5" x14ac:dyDescent="0.25">
      <c r="A28" s="5"/>
      <c r="B28" s="38">
        <v>43344</v>
      </c>
      <c r="C28" s="38">
        <v>43373</v>
      </c>
      <c r="D28" s="25">
        <v>1050</v>
      </c>
      <c r="E28" s="1"/>
    </row>
    <row r="29" spans="1:5" x14ac:dyDescent="0.25">
      <c r="A29" s="5"/>
      <c r="B29" s="38">
        <v>43313</v>
      </c>
      <c r="C29" s="38">
        <v>43343</v>
      </c>
      <c r="D29" s="25">
        <v>900</v>
      </c>
      <c r="E29" s="1"/>
    </row>
    <row r="30" spans="1:5" x14ac:dyDescent="0.25">
      <c r="A30" s="5"/>
      <c r="B30" s="38">
        <v>43282</v>
      </c>
      <c r="C30" s="38">
        <v>43312</v>
      </c>
      <c r="D30" s="25">
        <v>2323</v>
      </c>
      <c r="E30" s="1"/>
    </row>
    <row r="31" spans="1:5" x14ac:dyDescent="0.25">
      <c r="A31" s="5"/>
      <c r="B31" s="38">
        <v>43252</v>
      </c>
      <c r="C31" s="38">
        <v>43281</v>
      </c>
      <c r="D31" s="25">
        <v>2222</v>
      </c>
      <c r="E31" s="1"/>
    </row>
    <row r="32" spans="1:5" ht="12.75" customHeight="1" x14ac:dyDescent="0.25">
      <c r="A32" s="4"/>
      <c r="B32" s="26"/>
      <c r="C32" s="38"/>
      <c r="D32" s="29"/>
      <c r="E32" s="1"/>
    </row>
    <row r="33" spans="1:10" ht="13.5" hidden="1" customHeight="1" x14ac:dyDescent="0.25">
      <c r="A33" s="4"/>
      <c r="B33" s="27"/>
      <c r="C33" s="27"/>
      <c r="D33" s="27"/>
      <c r="E33" s="1"/>
      <c r="J33" t="s">
        <v>691</v>
      </c>
    </row>
    <row r="34" spans="1:10" ht="25.5" customHeight="1" x14ac:dyDescent="0.25">
      <c r="A34" s="4" t="s">
        <v>549</v>
      </c>
      <c r="B34" s="27"/>
      <c r="C34" s="27"/>
      <c r="D34" s="27"/>
      <c r="E34" s="1"/>
      <c r="J34" s="2" t="s">
        <v>699</v>
      </c>
    </row>
    <row r="39" spans="1:10" x14ac:dyDescent="0.25">
      <c r="G39" s="2" t="s">
        <v>533</v>
      </c>
    </row>
    <row r="40" spans="1:10" x14ac:dyDescent="0.25">
      <c r="G40" s="2" t="s">
        <v>540</v>
      </c>
    </row>
    <row r="41" spans="1:10" x14ac:dyDescent="0.25">
      <c r="G41" s="2" t="s">
        <v>555</v>
      </c>
    </row>
    <row r="42" spans="1:10" x14ac:dyDescent="0.25">
      <c r="G42" s="2" t="s">
        <v>529</v>
      </c>
    </row>
    <row r="43" spans="1:10" x14ac:dyDescent="0.25">
      <c r="G43" s="2" t="s">
        <v>553</v>
      </c>
    </row>
    <row r="45" spans="1:10" x14ac:dyDescent="0.25">
      <c r="G45" s="2" t="s">
        <v>552</v>
      </c>
    </row>
  </sheetData>
  <sheetProtection algorithmName="SHA-512" hashValue="Tf1iy7RK11CHpkQUbxv+emsdLiI172CPWePAolmP7PtexF7JyZ8LWeiysHzisxp0eJn+Lthf6i76rFh4H8ckwQ==" saltValue="QRRUy6ua5fYdDBzn1O9E/Q==" spinCount="100000" sheet="1" objects="1" scenarios="1"/>
  <dataValidations count="6">
    <dataValidation type="textLength" allowBlank="1" showInputMessage="1" showErrorMessage="1" errorTitle="Data Source" error="It can only accept 40 characters." sqref="D5" xr:uid="{31340266-C8EE-4407-A0A2-75935F5ED21C}">
      <formula1>0</formula1>
      <formula2>40</formula2>
    </dataValidation>
    <dataValidation type="decimal" allowBlank="1" showInputMessage="1" showErrorMessage="1" error="Please enter a valid reading." sqref="D7:D31" xr:uid="{2074D777-CB35-4A09-9020-0AC0C651CD30}">
      <formula1>0</formula1>
      <formula2>9999999999</formula2>
    </dataValidation>
    <dataValidation type="date" allowBlank="1" showInputMessage="1" showErrorMessage="1" error="Please enter a valid date in mm/dd/yyyy format." sqref="B7:C31" xr:uid="{F23C6539-9F1A-412A-AB21-741F6EB18296}">
      <formula1>1</formula1>
      <formula2>73415</formula2>
    </dataValidation>
    <dataValidation allowBlank="1" showInputMessage="1" showErrorMessage="1" error="Please enter a valid date in mm/dd/yyyy format." sqref="B32:D34" xr:uid="{9C918E5C-89A8-4BFE-8459-E55B440B5EA5}"/>
    <dataValidation type="list" allowBlank="1" showInputMessage="1" showErrorMessage="1" sqref="D3" xr:uid="{867C5A03-BA62-4DBA-9A6D-32CF017782FF}">
      <formula1>ElectricityDrp</formula1>
    </dataValidation>
    <dataValidation type="list" allowBlank="1" showInputMessage="1" showErrorMessage="1" error="Units cannot edit." sqref="D4" xr:uid="{A8316015-337B-481F-AB6C-E16AABDB74FD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97C52-B39C-4288-9832-41EACA47E449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6" customWidth="1"/>
    <col min="2" max="3" width="20.7109375" style="2" customWidth="1"/>
    <col min="4" max="4" width="41.140625" style="2" customWidth="1"/>
    <col min="5" max="5" width="3.7109375" style="2" customWidth="1"/>
    <col min="6" max="9" width="9.140625" style="2" hidden="1" customWidth="1"/>
    <col min="10" max="11" width="9.140625" style="2" customWidth="1"/>
    <col min="12" max="16384" width="9.140625" style="2"/>
  </cols>
  <sheetData>
    <row r="1" spans="1:5" x14ac:dyDescent="0.25">
      <c r="A1" s="4" t="s">
        <v>601</v>
      </c>
      <c r="B1" s="4" t="str">
        <f ca="1">MID(CELL("filename",A1),FIND("]",CELL("filename",A1))+1,256)</f>
        <v>Water meter via upload</v>
      </c>
      <c r="C1" s="1"/>
      <c r="D1" s="181" t="str">
        <f ca="1">B1</f>
        <v>Water meter via upload</v>
      </c>
      <c r="E1" s="1"/>
    </row>
    <row r="2" spans="1:5" x14ac:dyDescent="0.25">
      <c r="A2" s="4" t="s">
        <v>601</v>
      </c>
      <c r="B2" s="195" t="s">
        <v>568</v>
      </c>
      <c r="C2" s="178"/>
      <c r="D2" s="174" t="s">
        <v>744</v>
      </c>
      <c r="E2" s="1"/>
    </row>
    <row r="3" spans="1:5" x14ac:dyDescent="0.25">
      <c r="A3" s="4" t="s">
        <v>601</v>
      </c>
      <c r="B3" s="194" t="s">
        <v>697</v>
      </c>
      <c r="C3" s="9"/>
      <c r="D3" s="174" t="s">
        <v>692</v>
      </c>
      <c r="E3" s="1"/>
    </row>
    <row r="4" spans="1:5" x14ac:dyDescent="0.25">
      <c r="A4" s="4" t="s">
        <v>601</v>
      </c>
      <c r="B4" s="194" t="s">
        <v>569</v>
      </c>
      <c r="C4" s="9"/>
      <c r="D4" s="174" t="s">
        <v>528</v>
      </c>
      <c r="E4" s="1"/>
    </row>
    <row r="5" spans="1:5" ht="15" customHeight="1" x14ac:dyDescent="0.25">
      <c r="A5" s="4" t="s">
        <v>601</v>
      </c>
      <c r="B5" s="20" t="s">
        <v>698</v>
      </c>
      <c r="C5" s="180"/>
      <c r="D5" s="174"/>
      <c r="E5" s="1"/>
    </row>
    <row r="6" spans="1:5" ht="24.75" customHeight="1" x14ac:dyDescent="0.25">
      <c r="A6" s="4">
        <v>34</v>
      </c>
      <c r="B6" s="177" t="s">
        <v>547</v>
      </c>
      <c r="C6" s="177" t="s">
        <v>548</v>
      </c>
      <c r="D6" s="3" t="str">
        <f>CONCATENATE("Period Consumption 
","(",D4,")")</f>
        <v>Period Consumption 
(gal)</v>
      </c>
      <c r="E6" s="1"/>
    </row>
    <row r="7" spans="1:5" x14ac:dyDescent="0.25">
      <c r="A7" s="4"/>
      <c r="B7" s="38">
        <v>43983</v>
      </c>
      <c r="C7" s="38">
        <v>44012</v>
      </c>
      <c r="D7" s="24">
        <v>890</v>
      </c>
      <c r="E7" s="1"/>
    </row>
    <row r="8" spans="1:5" x14ac:dyDescent="0.25">
      <c r="A8" s="4"/>
      <c r="B8" s="38">
        <v>43952</v>
      </c>
      <c r="C8" s="38">
        <v>43982</v>
      </c>
      <c r="D8" s="24">
        <v>447</v>
      </c>
      <c r="E8" s="1"/>
    </row>
    <row r="9" spans="1:5" x14ac:dyDescent="0.25">
      <c r="A9" s="4"/>
      <c r="B9" s="38">
        <v>43922</v>
      </c>
      <c r="C9" s="38">
        <v>43951</v>
      </c>
      <c r="D9" s="24">
        <v>430</v>
      </c>
      <c r="E9" s="1"/>
    </row>
    <row r="10" spans="1:5" x14ac:dyDescent="0.25">
      <c r="A10" s="4"/>
      <c r="B10" s="38">
        <v>43891</v>
      </c>
      <c r="C10" s="38">
        <v>43921</v>
      </c>
      <c r="D10" s="24">
        <v>6782</v>
      </c>
      <c r="E10" s="1"/>
    </row>
    <row r="11" spans="1:5" x14ac:dyDescent="0.25">
      <c r="A11" s="4"/>
      <c r="B11" s="38">
        <v>43862</v>
      </c>
      <c r="C11" s="38">
        <v>43889</v>
      </c>
      <c r="D11" s="24">
        <v>7655</v>
      </c>
      <c r="E11" s="1"/>
    </row>
    <row r="12" spans="1:5" x14ac:dyDescent="0.25">
      <c r="A12" s="4"/>
      <c r="B12" s="38">
        <v>43831</v>
      </c>
      <c r="C12" s="38">
        <v>43861</v>
      </c>
      <c r="D12" s="24">
        <v>987</v>
      </c>
      <c r="E12" s="1"/>
    </row>
    <row r="13" spans="1:5" x14ac:dyDescent="0.25">
      <c r="A13" s="4"/>
      <c r="B13" s="38">
        <v>43800</v>
      </c>
      <c r="C13" s="38">
        <v>43830</v>
      </c>
      <c r="D13" s="24">
        <v>1800</v>
      </c>
      <c r="E13" s="1"/>
    </row>
    <row r="14" spans="1:5" x14ac:dyDescent="0.25">
      <c r="A14" s="4"/>
      <c r="B14" s="38">
        <v>43770</v>
      </c>
      <c r="C14" s="38">
        <v>43799</v>
      </c>
      <c r="D14" s="24">
        <v>1545</v>
      </c>
      <c r="E14" s="1"/>
    </row>
    <row r="15" spans="1:5" x14ac:dyDescent="0.25">
      <c r="A15" s="4"/>
      <c r="B15" s="38">
        <v>43739</v>
      </c>
      <c r="C15" s="38">
        <v>43769</v>
      </c>
      <c r="D15" s="24">
        <v>1777</v>
      </c>
      <c r="E15" s="1"/>
    </row>
    <row r="16" spans="1:5" x14ac:dyDescent="0.25">
      <c r="A16" s="4"/>
      <c r="B16" s="38">
        <v>43709</v>
      </c>
      <c r="C16" s="38">
        <v>43738</v>
      </c>
      <c r="D16" s="24">
        <v>1050</v>
      </c>
      <c r="E16" s="1"/>
    </row>
    <row r="17" spans="1:5" x14ac:dyDescent="0.25">
      <c r="A17" s="4"/>
      <c r="B17" s="38">
        <v>43678</v>
      </c>
      <c r="C17" s="38">
        <v>43708</v>
      </c>
      <c r="D17" s="24">
        <v>900</v>
      </c>
      <c r="E17" s="1"/>
    </row>
    <row r="18" spans="1:5" x14ac:dyDescent="0.25">
      <c r="A18" s="4"/>
      <c r="B18" s="38">
        <v>43647</v>
      </c>
      <c r="C18" s="38">
        <v>43677</v>
      </c>
      <c r="D18" s="24">
        <v>2323</v>
      </c>
      <c r="E18" s="1"/>
    </row>
    <row r="19" spans="1:5" x14ac:dyDescent="0.25">
      <c r="A19" s="4"/>
      <c r="B19" s="38">
        <v>43617</v>
      </c>
      <c r="C19" s="38">
        <v>43646</v>
      </c>
      <c r="D19" s="24">
        <v>2222</v>
      </c>
      <c r="E19" s="1"/>
    </row>
    <row r="20" spans="1:5" x14ac:dyDescent="0.25">
      <c r="A20" s="4"/>
      <c r="B20" s="38">
        <v>43586</v>
      </c>
      <c r="C20" s="38">
        <v>43616</v>
      </c>
      <c r="D20" s="24">
        <v>447</v>
      </c>
      <c r="E20" s="1"/>
    </row>
    <row r="21" spans="1:5" x14ac:dyDescent="0.25">
      <c r="A21" s="4"/>
      <c r="B21" s="38">
        <v>43556</v>
      </c>
      <c r="C21" s="38">
        <v>43585</v>
      </c>
      <c r="D21" s="24">
        <v>430</v>
      </c>
      <c r="E21" s="1"/>
    </row>
    <row r="22" spans="1:5" x14ac:dyDescent="0.25">
      <c r="A22" s="4"/>
      <c r="B22" s="38">
        <v>43525</v>
      </c>
      <c r="C22" s="38">
        <v>43555</v>
      </c>
      <c r="D22" s="24">
        <v>6782</v>
      </c>
      <c r="E22" s="1"/>
    </row>
    <row r="23" spans="1:5" x14ac:dyDescent="0.25">
      <c r="A23" s="4"/>
      <c r="B23" s="38">
        <v>43497</v>
      </c>
      <c r="C23" s="38">
        <v>43524</v>
      </c>
      <c r="D23" s="24">
        <v>7655</v>
      </c>
      <c r="E23" s="1"/>
    </row>
    <row r="24" spans="1:5" x14ac:dyDescent="0.25">
      <c r="A24" s="4"/>
      <c r="B24" s="38">
        <v>43466</v>
      </c>
      <c r="C24" s="38">
        <v>43496</v>
      </c>
      <c r="D24" s="24">
        <v>987</v>
      </c>
      <c r="E24" s="1"/>
    </row>
    <row r="25" spans="1:5" x14ac:dyDescent="0.25">
      <c r="A25" s="4"/>
      <c r="B25" s="38">
        <v>43435</v>
      </c>
      <c r="C25" s="38">
        <v>43465</v>
      </c>
      <c r="D25" s="24">
        <v>1800</v>
      </c>
      <c r="E25" s="1"/>
    </row>
    <row r="26" spans="1:5" x14ac:dyDescent="0.25">
      <c r="A26" s="4"/>
      <c r="B26" s="38">
        <v>43405</v>
      </c>
      <c r="C26" s="38">
        <v>43434</v>
      </c>
      <c r="D26" s="24">
        <v>1545</v>
      </c>
      <c r="E26" s="1"/>
    </row>
    <row r="27" spans="1:5" x14ac:dyDescent="0.25">
      <c r="A27" s="4"/>
      <c r="B27" s="38">
        <v>43374</v>
      </c>
      <c r="C27" s="38">
        <v>43404</v>
      </c>
      <c r="D27" s="24">
        <v>1777</v>
      </c>
      <c r="E27" s="1"/>
    </row>
    <row r="28" spans="1:5" x14ac:dyDescent="0.25">
      <c r="A28" s="4"/>
      <c r="B28" s="38">
        <v>43344</v>
      </c>
      <c r="C28" s="38">
        <v>43373</v>
      </c>
      <c r="D28" s="24">
        <v>1050</v>
      </c>
      <c r="E28" s="1"/>
    </row>
    <row r="29" spans="1:5" x14ac:dyDescent="0.25">
      <c r="A29" s="4"/>
      <c r="B29" s="38">
        <v>43313</v>
      </c>
      <c r="C29" s="38">
        <v>43343</v>
      </c>
      <c r="D29" s="24">
        <v>900</v>
      </c>
      <c r="E29" s="1"/>
    </row>
    <row r="30" spans="1:5" x14ac:dyDescent="0.25">
      <c r="A30" s="4"/>
      <c r="B30" s="38">
        <v>43282</v>
      </c>
      <c r="C30" s="38">
        <v>43312</v>
      </c>
      <c r="D30" s="24">
        <v>2323</v>
      </c>
      <c r="E30" s="1"/>
    </row>
    <row r="31" spans="1:5" x14ac:dyDescent="0.25">
      <c r="A31" s="4"/>
      <c r="B31" s="38">
        <v>43252</v>
      </c>
      <c r="C31" s="38">
        <v>43281</v>
      </c>
      <c r="D31" s="24">
        <v>2222</v>
      </c>
      <c r="E31" s="1"/>
    </row>
    <row r="32" spans="1:5" x14ac:dyDescent="0.25">
      <c r="A32" s="4"/>
      <c r="B32" s="26"/>
      <c r="C32" s="38"/>
      <c r="D32" s="29"/>
      <c r="E32" s="1"/>
    </row>
    <row r="33" spans="1:9" ht="6" customHeight="1" x14ac:dyDescent="0.25">
      <c r="A33" s="4"/>
      <c r="B33" s="26"/>
      <c r="C33" s="26"/>
      <c r="D33" s="29"/>
      <c r="E33" s="1"/>
      <c r="I33" t="s">
        <v>692</v>
      </c>
    </row>
    <row r="34" spans="1:9" ht="25.5" customHeight="1" x14ac:dyDescent="0.25">
      <c r="A34" s="4" t="s">
        <v>549</v>
      </c>
      <c r="B34" s="27"/>
      <c r="C34" s="27"/>
      <c r="D34" s="27"/>
      <c r="E34" s="1"/>
      <c r="I34" t="s">
        <v>693</v>
      </c>
    </row>
    <row r="35" spans="1:9" x14ac:dyDescent="0.25">
      <c r="I35" t="s">
        <v>694</v>
      </c>
    </row>
    <row r="39" spans="1:9" x14ac:dyDescent="0.25">
      <c r="H39" t="s">
        <v>528</v>
      </c>
    </row>
    <row r="40" spans="1:9" x14ac:dyDescent="0.25">
      <c r="H40" t="s">
        <v>531</v>
      </c>
    </row>
    <row r="41" spans="1:9" x14ac:dyDescent="0.25">
      <c r="H41" t="s">
        <v>550</v>
      </c>
    </row>
    <row r="42" spans="1:9" x14ac:dyDescent="0.25">
      <c r="H42" t="s">
        <v>551</v>
      </c>
    </row>
    <row r="43" spans="1:9" x14ac:dyDescent="0.25">
      <c r="H43" t="s">
        <v>525</v>
      </c>
    </row>
    <row r="44" spans="1:9" x14ac:dyDescent="0.25">
      <c r="H44" t="s">
        <v>530</v>
      </c>
    </row>
    <row r="45" spans="1:9" x14ac:dyDescent="0.25">
      <c r="H45" t="s">
        <v>545</v>
      </c>
    </row>
    <row r="46" spans="1:9" x14ac:dyDescent="0.25">
      <c r="H46" t="s">
        <v>564</v>
      </c>
    </row>
    <row r="47" spans="1:9" x14ac:dyDescent="0.25">
      <c r="H47" t="s">
        <v>527</v>
      </c>
    </row>
    <row r="48" spans="1:9" x14ac:dyDescent="0.25">
      <c r="H48" s="2" t="s">
        <v>546</v>
      </c>
    </row>
    <row r="49" spans="8:8" x14ac:dyDescent="0.25">
      <c r="H49" s="2" t="s">
        <v>565</v>
      </c>
    </row>
    <row r="50" spans="8:8" x14ac:dyDescent="0.25">
      <c r="H50" s="2" t="s">
        <v>566</v>
      </c>
    </row>
    <row r="51" spans="8:8" x14ac:dyDescent="0.25">
      <c r="H51" t="s">
        <v>695</v>
      </c>
    </row>
    <row r="52" spans="8:8" x14ac:dyDescent="0.25">
      <c r="H52" t="s">
        <v>696</v>
      </c>
    </row>
    <row r="53" spans="8:8" x14ac:dyDescent="0.25">
      <c r="H53" t="s">
        <v>690</v>
      </c>
    </row>
    <row r="54" spans="8:8" x14ac:dyDescent="0.25">
      <c r="H54"/>
    </row>
    <row r="55" spans="8:8" x14ac:dyDescent="0.25">
      <c r="H55"/>
    </row>
    <row r="56" spans="8:8" x14ac:dyDescent="0.25">
      <c r="H56"/>
    </row>
    <row r="57" spans="8:8" x14ac:dyDescent="0.25">
      <c r="H57"/>
    </row>
    <row r="58" spans="8:8" x14ac:dyDescent="0.25">
      <c r="H58"/>
    </row>
    <row r="59" spans="8:8" x14ac:dyDescent="0.25">
      <c r="H59"/>
    </row>
    <row r="60" spans="8:8" x14ac:dyDescent="0.25">
      <c r="H60"/>
    </row>
    <row r="61" spans="8:8" x14ac:dyDescent="0.25">
      <c r="H61"/>
    </row>
    <row r="62" spans="8:8" x14ac:dyDescent="0.25">
      <c r="H62"/>
    </row>
    <row r="63" spans="8:8" x14ac:dyDescent="0.25">
      <c r="H63"/>
    </row>
  </sheetData>
  <sheetProtection algorithmName="SHA-512" hashValue="z0771lvSgL451Mcki/juE4MVngIvKrGihJVSQCLHUeBsVmBegq2zMuCh6pL7Gz/knJBaN7C4JxkwA5JfrO4/pA==" saltValue="lIz4bh7Lmxq8kJmm6vJxVQ==" spinCount="100000" sheet="1" objects="1" scenarios="1"/>
  <dataValidations count="6">
    <dataValidation type="textLength" allowBlank="1" showInputMessage="1" showErrorMessage="1" errorTitle="Data Source" error="It can only accept 40 characters." sqref="D5" xr:uid="{C4612690-17CE-4956-840E-E005C5FD3B2F}">
      <formula1>0</formula1>
      <formula2>40</formula2>
    </dataValidation>
    <dataValidation type="decimal" allowBlank="1" showInputMessage="1" showErrorMessage="1" error="Please enter a valid reading." sqref="D7:D31" xr:uid="{A947BA54-D4FE-4FFB-A9BD-D4F28546E294}">
      <formula1>0</formula1>
      <formula2>9999999999</formula2>
    </dataValidation>
    <dataValidation type="date" allowBlank="1" showInputMessage="1" showErrorMessage="1" error="Please enter a valid date in mm/dd/yyyy format." sqref="B7:C31" xr:uid="{FD4C573C-61B4-4F4C-9C4C-F8A01957E689}">
      <formula1>1</formula1>
      <formula2>73415</formula2>
    </dataValidation>
    <dataValidation allowBlank="1" showInputMessage="1" showErrorMessage="1" error="Please enter a valid date in mm/dd/yyyy format." sqref="B32:D34" xr:uid="{9C38EB58-2E35-4591-9615-A27BA3B2165B}"/>
    <dataValidation type="list" allowBlank="1" showInputMessage="1" showErrorMessage="1" sqref="D3" xr:uid="{ED333CBB-97D5-4077-839A-416494FBEEF6}">
      <formula1>WaterDrp</formula1>
    </dataValidation>
    <dataValidation type="list" allowBlank="1" showInputMessage="1" showErrorMessage="1" error="Units cannot edit." sqref="D4" xr:uid="{353FEB70-DB41-4B40-A22D-2BAD1C0AA1C2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2019-06-13T07:00:52Z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