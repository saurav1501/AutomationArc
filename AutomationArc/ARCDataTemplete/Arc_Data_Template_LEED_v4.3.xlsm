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6.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8.xml" ContentType="application/vnd.openxmlformats-officedocument.drawing+xml"/>
  <Override PartName="/xl/ctrlProps/ctrlProp32.xml" ContentType="application/vnd.ms-excel.controlproperties+xml"/>
  <Override PartName="/xl/ctrlProps/ctrlProp33.xml" ContentType="application/vnd.ms-excel.controlproperties+xml"/>
  <Override PartName="/xl/drawings/drawing9.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0.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1.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2.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13.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14.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16.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17.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drawings/drawing18.xml" ContentType="application/vnd.openxmlformats-officedocument.drawing+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19.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20.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drawings/drawing21.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22.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defaultThemeVersion="124226"/>
  <mc:AlternateContent xmlns:mc="http://schemas.openxmlformats.org/markup-compatibility/2006">
    <mc:Choice Requires="x15">
      <x15ac:absPath xmlns:x15ac="http://schemas.microsoft.com/office/spreadsheetml/2010/11/ac" url="C:\Users\Abhi\Desktop\Template\"/>
    </mc:Choice>
  </mc:AlternateContent>
  <xr:revisionPtr revIDLastSave="0" documentId="8_{0765B4B2-D430-4FA7-8946-AE5E6AE3E1DF}" xr6:coauthVersionLast="43" xr6:coauthVersionMax="43" xr10:uidLastSave="{00000000-0000-0000-0000-000000000000}"/>
  <workbookProtection workbookAlgorithmName="SHA-512" workbookHashValue="L6KPdWNnwldkMHrBqYnq+r6mxin2mhnzwC3meRrYYN5maA44L0+lRakwKNLkCETlgMfc3DeUG5VsJE+lCjTbQA==" workbookSaltValue="rXXJ1LHUPBCjBgH6aqANKQ==" workbookSpinCount="100000" lockStructure="1"/>
  <bookViews>
    <workbookView xWindow="-120" yWindow="-120" windowWidth="20730" windowHeight="11310" activeTab="1" xr2:uid="{00000000-000D-0000-FFFF-FFFF00000000}"/>
  </bookViews>
  <sheets>
    <sheet name="Instructions" sheetId="1" r:id="rId1"/>
    <sheet name="Building Settings" sheetId="16" r:id="rId2"/>
    <sheet name="base_w" sheetId="4" state="hidden" r:id="rId3"/>
    <sheet name="base_e" sheetId="6" state="hidden" r:id="rId4"/>
    <sheet name="base_f" sheetId="8" state="hidden" r:id="rId5"/>
    <sheet name="CO2 Reading for Upload" sheetId="12" r:id="rId6"/>
    <sheet name="CO2 Readings" sheetId="14" r:id="rId7"/>
    <sheet name="TVOC Reading for Upload" sheetId="13" r:id="rId8"/>
    <sheet name="TVOC Readings" sheetId="15" r:id="rId9"/>
    <sheet name="Waste Stream" sheetId="11" r:id="rId10"/>
    <sheet name="AnalyticsEnergy Meter via up..." sheetId="30" r:id="rId11"/>
    <sheet name="AnalyticsWater meter via upload" sheetId="31" r:id="rId12"/>
    <sheet name="Carbon Monoxide" sheetId="17" r:id="rId13"/>
    <sheet name="Ozone" sheetId="18" r:id="rId14"/>
    <sheet name="Atmospheric Particulate Matter" sheetId="19" r:id="rId15"/>
    <sheet name="Acetaldehyde" sheetId="20" r:id="rId16"/>
    <sheet name="Benzene" sheetId="21" r:id="rId17"/>
    <sheet name="Styrene" sheetId="22" r:id="rId18"/>
    <sheet name="Toluene" sheetId="23" r:id="rId19"/>
    <sheet name="Naphthalene " sheetId="24" r:id="rId20"/>
    <sheet name="Dichlorobenzene" sheetId="25" r:id="rId21"/>
    <sheet name="Xylenes-total" sheetId="26" r:id="rId22"/>
    <sheet name="Formaldehyde" sheetId="27" r:id="rId23"/>
    <sheet name="base_summary" sheetId="3" state="hidden" r:id="rId24"/>
  </sheets>
  <definedNames>
    <definedName name="_xlnm._FilterDatabase" localSheetId="6" hidden="1">'CO2 Readings'!$B$2:$F$4</definedName>
    <definedName name="_xlnm._FilterDatabase" localSheetId="8" hidden="1">'TVOC Readings'!$B$2:$G$4</definedName>
    <definedName name="columnDelete">'CO2 Readings'!$7:$7</definedName>
    <definedName name="columnDeleteVOC">'TVOC Readings'!$6:$6</definedName>
    <definedName name="Countries">Instructions!$L$36:$M$291</definedName>
    <definedName name="CountriesDetails">Instructions!$L$36:$L$291</definedName>
    <definedName name="countryName">Instructions!$L$34:$L$291</definedName>
    <definedName name="DataCopy">'CO2 Readings'!$A$19:$E$19</definedName>
    <definedName name="DataCopyVOC">'TVOC Readings'!$A$17:$E$17</definedName>
    <definedName name="Dates" localSheetId="15">'CO2 Readings'!$15:$15</definedName>
    <definedName name="Dates" localSheetId="14">'CO2 Readings'!$15:$15</definedName>
    <definedName name="Dates" localSheetId="16">'CO2 Readings'!$15:$15</definedName>
    <definedName name="Dates" localSheetId="12">'CO2 Readings'!$15:$15</definedName>
    <definedName name="Dates" localSheetId="20">'CO2 Readings'!$15:$15</definedName>
    <definedName name="Dates" localSheetId="22">'CO2 Readings'!$15:$15</definedName>
    <definedName name="Dates" localSheetId="19">'CO2 Readings'!$15:$15</definedName>
    <definedName name="Dates" localSheetId="13">'CO2 Readings'!$15:$15</definedName>
    <definedName name="Dates" localSheetId="17">'CO2 Readings'!$15:$15</definedName>
    <definedName name="Dates" localSheetId="18">'CO2 Readings'!$15:$15</definedName>
    <definedName name="Dates" localSheetId="21">'CO2 Readings'!$15:$15</definedName>
    <definedName name="Dates">'CO2 Readings'!$15:$15</definedName>
    <definedName name="DatesVOC" localSheetId="15">'TVOC Readings'!$13:$13</definedName>
    <definedName name="DatesVOC" localSheetId="14">'TVOC Readings'!$13:$13</definedName>
    <definedName name="DatesVOC" localSheetId="16">'TVOC Readings'!$13:$13</definedName>
    <definedName name="DatesVOC" localSheetId="12">'TVOC Readings'!$13:$13</definedName>
    <definedName name="DatesVOC" localSheetId="20">'TVOC Readings'!$13:$13</definedName>
    <definedName name="DatesVOC" localSheetId="22">'TVOC Readings'!$13:$13</definedName>
    <definedName name="DatesVOC" localSheetId="19">'TVOC Readings'!$13:$13</definedName>
    <definedName name="DatesVOC" localSheetId="13">'TVOC Readings'!$13:$13</definedName>
    <definedName name="DatesVOC" localSheetId="17">'TVOC Readings'!$13:$13</definedName>
    <definedName name="DatesVOC" localSheetId="18">'TVOC Readings'!$13:$13</definedName>
    <definedName name="DatesVOC" localSheetId="21">'TVOC Readings'!$13:$13</definedName>
    <definedName name="DatesVOC">'TVOC Readings'!$13:$13</definedName>
    <definedName name="DelRwNmEnd">'CO2 Reading for Upload'!$A$11:$E$11</definedName>
    <definedName name="DelRwNmEndVOC">'TVOC Reading for Upload'!$A$10:$E$10</definedName>
    <definedName name="DelRwNmStart">'CO2 Reading for Upload'!$A$6:$E$6</definedName>
    <definedName name="DelRwNmStartVOC">'TVOC Reading for Upload'!$A$6:$E$6</definedName>
    <definedName name="elecName" localSheetId="15">base_e!$G$15:$G$19</definedName>
    <definedName name="elecName" localSheetId="10">'AnalyticsEnergy Meter via up...'!$G$15:$G$19</definedName>
    <definedName name="elecName" localSheetId="14">base_e!$G$15:$G$19</definedName>
    <definedName name="elecName" localSheetId="16">base_e!$G$15:$G$19</definedName>
    <definedName name="elecName" localSheetId="12">base_e!$G$15:$G$19</definedName>
    <definedName name="elecName" localSheetId="20">base_e!$G$15:$G$19</definedName>
    <definedName name="elecName" localSheetId="22">base_e!$G$15:$G$19</definedName>
    <definedName name="elecName" localSheetId="19">base_e!$G$15:$G$19</definedName>
    <definedName name="elecName" localSheetId="13">base_e!$G$15:$G$19</definedName>
    <definedName name="elecName" localSheetId="17">base_e!$G$15:$G$19</definedName>
    <definedName name="elecName" localSheetId="18">base_e!$G$15:$G$19</definedName>
    <definedName name="elecName" localSheetId="21">base_e!$G$15:$G$19</definedName>
    <definedName name="elecName">base_e!$G$15:$G$19</definedName>
    <definedName name="ElectricityDrp" localSheetId="15">base_e!$J$9:$J$10</definedName>
    <definedName name="ElectricityDrp" localSheetId="10">'AnalyticsEnergy Meter via up...'!$J$9:$J$10</definedName>
    <definedName name="ElectricityDrp" localSheetId="14">base_e!$J$9:$J$10</definedName>
    <definedName name="ElectricityDrp" localSheetId="16">base_e!$J$9:$J$10</definedName>
    <definedName name="ElectricityDrp" localSheetId="12">base_e!$J$9:$J$10</definedName>
    <definedName name="ElectricityDrp" localSheetId="20">base_e!$J$9:$J$10</definedName>
    <definedName name="ElectricityDrp" localSheetId="22">base_e!$J$9:$J$10</definedName>
    <definedName name="ElectricityDrp" localSheetId="19">base_e!$J$9:$J$10</definedName>
    <definedName name="ElectricityDrp" localSheetId="13">base_e!$J$9:$J$10</definedName>
    <definedName name="ElectricityDrp" localSheetId="17">base_e!$J$9:$J$10</definedName>
    <definedName name="ElectricityDrp" localSheetId="18">base_e!$J$9:$J$10</definedName>
    <definedName name="ElectricityDrp" localSheetId="21">base_e!$J$9:$J$10</definedName>
    <definedName name="ElectricityDrp">base_e!$J$9:$J$10</definedName>
    <definedName name="fdet" localSheetId="15">Acetaldehyde!$H$1:$H$13</definedName>
    <definedName name="fdet" localSheetId="14">'Atmospheric Particulate Matter'!$H$1:$H$13</definedName>
    <definedName name="fdet" localSheetId="16">Benzene!$H$1:$H$13</definedName>
    <definedName name="fdet" localSheetId="12">'Carbon Monoxide'!$H$1:$H$13</definedName>
    <definedName name="fdet" localSheetId="20">Dichlorobenzene!$H$1:$H$13</definedName>
    <definedName name="fdet" localSheetId="22">Formaldehyde!$H$1:$H$13</definedName>
    <definedName name="fdet" localSheetId="19">'Naphthalene '!$H$1:$H$13</definedName>
    <definedName name="fdet" localSheetId="13">Ozone!$H$1:$H$13</definedName>
    <definedName name="fdet" localSheetId="17">Styrene!$H$1:$H$13</definedName>
    <definedName name="fdet" localSheetId="18">Toluene!$H$1:$H$13</definedName>
    <definedName name="fdet" localSheetId="21">'Xylenes-total'!$H$1:$H$13</definedName>
    <definedName name="fdet">base_f!$H$1:$H$13</definedName>
    <definedName name="fude" localSheetId="15">Acetaldehyde!$D$14:$D$31</definedName>
    <definedName name="fude" localSheetId="14">'Atmospheric Particulate Matter'!$D$14:$D$31</definedName>
    <definedName name="fude" localSheetId="16">Benzene!$D$14:$D$31</definedName>
    <definedName name="fude" localSheetId="12">'Carbon Monoxide'!$D$14:$D$31</definedName>
    <definedName name="fude" localSheetId="20">Dichlorobenzene!$D$14:$D$31</definedName>
    <definedName name="fude" localSheetId="22">Formaldehyde!$D$14:$D$31</definedName>
    <definedName name="fude" localSheetId="19">'Naphthalene '!$D$14:$D$31</definedName>
    <definedName name="fude" localSheetId="13">Ozone!$D$14:$D$31</definedName>
    <definedName name="fude" localSheetId="17">Styrene!$D$14:$D$31</definedName>
    <definedName name="fude" localSheetId="18">Toluene!$D$14:$D$31</definedName>
    <definedName name="fude" localSheetId="21">'Xylenes-total'!$D$14:$D$31</definedName>
    <definedName name="fude">base_f!$D$14:$D$31</definedName>
    <definedName name="fuel1" localSheetId="15">Acetaldehyde!$L$16:$L$23</definedName>
    <definedName name="fuel1" localSheetId="14">'Atmospheric Particulate Matter'!$L$16:$L$23</definedName>
    <definedName name="fuel1" localSheetId="16">Benzene!$L$16:$L$23</definedName>
    <definedName name="fuel1" localSheetId="12">'Carbon Monoxide'!$L$16:$L$23</definedName>
    <definedName name="fuel1" localSheetId="20">Dichlorobenzene!$L$16:$L$23</definedName>
    <definedName name="fuel1" localSheetId="22">Formaldehyde!$L$16:$L$23</definedName>
    <definedName name="fuel1" localSheetId="19">'Naphthalene '!$L$16:$L$23</definedName>
    <definedName name="fuel1" localSheetId="13">Ozone!$L$16:$L$23</definedName>
    <definedName name="fuel1" localSheetId="17">Styrene!$L$16:$L$23</definedName>
    <definedName name="fuel1" localSheetId="18">Toluene!$L$16:$L$23</definedName>
    <definedName name="fuel1" localSheetId="21">'Xylenes-total'!$L$16:$L$23</definedName>
    <definedName name="fuel1">base_f!$L$16:$L$23</definedName>
    <definedName name="fuel2" localSheetId="15">Acetaldehyde!$M$16:$M$23</definedName>
    <definedName name="fuel2" localSheetId="14">'Atmospheric Particulate Matter'!$M$16:$M$23</definedName>
    <definedName name="fuel2" localSheetId="16">Benzene!$M$16:$M$23</definedName>
    <definedName name="fuel2" localSheetId="12">'Carbon Monoxide'!$M$16:$M$23</definedName>
    <definedName name="fuel2" localSheetId="20">Dichlorobenzene!$M$16:$M$23</definedName>
    <definedName name="fuel2" localSheetId="22">Formaldehyde!$M$16:$M$23</definedName>
    <definedName name="fuel2" localSheetId="19">'Naphthalene '!$M$16:$M$23</definedName>
    <definedName name="fuel2" localSheetId="13">Ozone!$M$16:$M$23</definedName>
    <definedName name="fuel2" localSheetId="17">Styrene!$M$16:$M$23</definedName>
    <definedName name="fuel2" localSheetId="18">Toluene!$M$16:$M$23</definedName>
    <definedName name="fuel2" localSheetId="21">'Xylenes-total'!$M$16:$M$23</definedName>
    <definedName name="fuel2">base_f!$M$16:$M$23</definedName>
    <definedName name="fuelname" localSheetId="15">Acetaldehyde!#REF!</definedName>
    <definedName name="fuelname" localSheetId="10">base_f!#REF!</definedName>
    <definedName name="fuelname" localSheetId="11">base_f!#REF!</definedName>
    <definedName name="fuelname" localSheetId="14">'Atmospheric Particulate Matter'!#REF!</definedName>
    <definedName name="fuelname" localSheetId="16">Benzene!#REF!</definedName>
    <definedName name="fuelname" localSheetId="12">'Carbon Monoxide'!#REF!</definedName>
    <definedName name="fuelname" localSheetId="20">Dichlorobenzene!#REF!</definedName>
    <definedName name="fuelname" localSheetId="22">Formaldehyde!#REF!</definedName>
    <definedName name="fuelname" localSheetId="19">'Naphthalene '!#REF!</definedName>
    <definedName name="fuelname" localSheetId="13">Ozone!#REF!</definedName>
    <definedName name="fuelname" localSheetId="17">Styrene!#REF!</definedName>
    <definedName name="fuelname" localSheetId="18">Toluene!#REF!</definedName>
    <definedName name="fuelname" localSheetId="21">'Xylenes-total'!#REF!</definedName>
    <definedName name="fuelname">base_f!#REF!</definedName>
    <definedName name="kerosene" localSheetId="15">Acetaldehyde!$K$16:$K$23</definedName>
    <definedName name="kerosene" localSheetId="14">'Atmospheric Particulate Matter'!$K$16:$K$23</definedName>
    <definedName name="kerosene" localSheetId="16">Benzene!$K$16:$K$23</definedName>
    <definedName name="kerosene" localSheetId="12">'Carbon Monoxide'!$K$16:$K$23</definedName>
    <definedName name="kerosene" localSheetId="20">Dichlorobenzene!$K$16:$K$23</definedName>
    <definedName name="kerosene" localSheetId="22">Formaldehyde!$K$16:$K$23</definedName>
    <definedName name="kerosene" localSheetId="19">'Naphthalene '!$K$16:$K$23</definedName>
    <definedName name="kerosene" localSheetId="13">Ozone!$K$16:$K$23</definedName>
    <definedName name="kerosene" localSheetId="17">Styrene!$K$16:$K$23</definedName>
    <definedName name="kerosene" localSheetId="18">Toluene!$K$16:$K$23</definedName>
    <definedName name="kerosene" localSheetId="21">'Xylenes-total'!$K$16:$K$23</definedName>
    <definedName name="kerosene">base_f!$K$16:$K$23</definedName>
    <definedName name="liquid" localSheetId="15">Acetaldehyde!$J$16:$J$25</definedName>
    <definedName name="liquid" localSheetId="14">'Atmospheric Particulate Matter'!$J$16:$J$25</definedName>
    <definedName name="liquid" localSheetId="16">Benzene!$J$16:$J$25</definedName>
    <definedName name="liquid" localSheetId="12">'Carbon Monoxide'!$J$16:$J$25</definedName>
    <definedName name="liquid" localSheetId="20">Dichlorobenzene!$J$16:$J$25</definedName>
    <definedName name="liquid" localSheetId="22">Formaldehyde!$J$16:$J$25</definedName>
    <definedName name="liquid" localSheetId="19">'Naphthalene '!$J$16:$J$25</definedName>
    <definedName name="liquid" localSheetId="13">Ozone!$J$16:$J$25</definedName>
    <definedName name="liquid" localSheetId="17">Styrene!$J$16:$J$25</definedName>
    <definedName name="liquid" localSheetId="18">Toluene!$J$16:$J$25</definedName>
    <definedName name="liquid" localSheetId="21">'Xylenes-total'!$J$16:$J$25</definedName>
    <definedName name="liquid">base_f!$J$16:$J$25</definedName>
    <definedName name="Meter" localSheetId="10">Instructions!#REF!</definedName>
    <definedName name="Meter" localSheetId="11">Instructions!#REF!</definedName>
    <definedName name="Meter">Instructions!#REF!</definedName>
    <definedName name="meterName">Instructions!$O$36:$O$53</definedName>
    <definedName name="MeterTypes">Instructions!$L$294:$L$320</definedName>
    <definedName name="myCategoryH" localSheetId="15">Acetaldehyde!$G$19:$G$36</definedName>
    <definedName name="myCategoryH" localSheetId="14">'Atmospheric Particulate Matter'!$G$19:$G$36</definedName>
    <definedName name="myCategoryH" localSheetId="16">Benzene!$G$19:$G$36</definedName>
    <definedName name="myCategoryH" localSheetId="12">'Carbon Monoxide'!$G$19:$G$36</definedName>
    <definedName name="myCategoryH" localSheetId="20">Dichlorobenzene!$G$19:$G$36</definedName>
    <definedName name="myCategoryH" localSheetId="22">Formaldehyde!$G$19:$G$36</definedName>
    <definedName name="myCategoryH" localSheetId="19">'Naphthalene '!$G$19:$G$36</definedName>
    <definedName name="myCategoryH" localSheetId="13">Ozone!$G$19:$G$36</definedName>
    <definedName name="myCategoryH" localSheetId="17">Styrene!$G$19:$G$36</definedName>
    <definedName name="myCategoryH" localSheetId="18">Toluene!$G$19:$G$36</definedName>
    <definedName name="myCategoryH" localSheetId="21">'Xylenes-total'!$G$19:$G$36</definedName>
    <definedName name="myCategoryH">base_f!$G$19:$G$36</definedName>
    <definedName name="myitem" localSheetId="15">OFFSET(myItemList,0,0,1,COUNTA(myItemList))</definedName>
    <definedName name="myitem" localSheetId="10">OFFSET(myItemList,0,0,1,COUNTA(myItemList))</definedName>
    <definedName name="myitem" localSheetId="11">OFFSET(myItemList,0,0,1,COUNTA(myItemList))</definedName>
    <definedName name="myitem" localSheetId="14">OFFSET(myItemList,0,0,1,COUNTA(myItemList))</definedName>
    <definedName name="myitem" localSheetId="16">OFFSET(myItemList,0,0,1,COUNTA(myItemList))</definedName>
    <definedName name="myitem" localSheetId="12">OFFSET(myItemList,0,0,1,COUNTA(myItemList))</definedName>
    <definedName name="myitem" localSheetId="20">OFFSET(myItemList,0,0,1,COUNTA(myItemList))</definedName>
    <definedName name="myitem" localSheetId="22">OFFSET(myItemList,0,0,1,COUNTA(myItemList))</definedName>
    <definedName name="myitem" localSheetId="19">OFFSET(myItemList,0,0,1,COUNTA(myItemList))</definedName>
    <definedName name="myitem" localSheetId="13">OFFSET(myItemList,0,0,1,COUNTA(myItemList))</definedName>
    <definedName name="myitem" localSheetId="17">OFFSET(myItemList,0,0,1,COUNTA(myItemList))</definedName>
    <definedName name="myitem" localSheetId="18">OFFSET(myItemList,0,0,1,COUNTA(myItemList))</definedName>
    <definedName name="myitem" localSheetId="21">OFFSET(myItemList,0,0,1,COUNTA(myItemList))</definedName>
    <definedName name="myitem">OFFSET(myItemList,0,0,1,COUNTA(myItemList))</definedName>
    <definedName name="myItemListH" localSheetId="15">INDEX(Acetaldehyde!myTableH,MATCH(Acetaldehyde!A1048576,Acetaldehyde!myCategoryH,0),0)</definedName>
    <definedName name="myItemListH" localSheetId="14">INDEX('Atmospheric Particulate Matter'!myTableH,MATCH('Atmospheric Particulate Matter'!A1048576,'Atmospheric Particulate Matter'!myCategoryH,0),0)</definedName>
    <definedName name="myItemListH" localSheetId="16">INDEX(Benzene!myTableH,MATCH(Benzene!A1048576,Benzene!myCategoryH,0),0)</definedName>
    <definedName name="myItemListH" localSheetId="12">INDEX('Carbon Monoxide'!myTableH,MATCH('Carbon Monoxide'!A1048576,'Carbon Monoxide'!myCategoryH,0),0)</definedName>
    <definedName name="myItemListH" localSheetId="20">INDEX(Dichlorobenzene!myTableH,MATCH(Dichlorobenzene!A1048576,Dichlorobenzene!myCategoryH,0),0)</definedName>
    <definedName name="myItemListH" localSheetId="22">INDEX(Formaldehyde!myTableH,MATCH(Formaldehyde!A1048576,Formaldehyde!myCategoryH,0),0)</definedName>
    <definedName name="myItemListH" localSheetId="19">INDEX('Naphthalene '!myTableH,MATCH('Naphthalene '!A1048576,'Naphthalene '!myCategoryH,0),0)</definedName>
    <definedName name="myItemListH" localSheetId="13">INDEX(Ozone!myTableH,MATCH(Ozone!A1048576,Ozone!myCategoryH,0),0)</definedName>
    <definedName name="myItemListH" localSheetId="17">INDEX(Styrene!myTableH,MATCH(Styrene!A1048576,Styrene!myCategoryH,0),0)</definedName>
    <definedName name="myItemListH" localSheetId="18">INDEX(Toluene!myTableH,MATCH(Toluene!A1048576,Toluene!myCategoryH,0),0)</definedName>
    <definedName name="myItemListH" localSheetId="21">INDEX('Xylenes-total'!myTableH,MATCH('Xylenes-total'!A1048576,'Xylenes-total'!myCategoryH,0),0)</definedName>
    <definedName name="myItemListH">INDEX(myTableH,MATCH(base_f!A1048576,myCategoryH,0),0)</definedName>
    <definedName name="myTableH" localSheetId="15">Acetaldehyde!$H$19:$V$36</definedName>
    <definedName name="myTableH" localSheetId="14">'Atmospheric Particulate Matter'!$H$19:$V$36</definedName>
    <definedName name="myTableH" localSheetId="16">Benzene!$H$19:$V$36</definedName>
    <definedName name="myTableH" localSheetId="12">'Carbon Monoxide'!$H$19:$V$36</definedName>
    <definedName name="myTableH" localSheetId="20">Dichlorobenzene!$H$19:$V$36</definedName>
    <definedName name="myTableH" localSheetId="22">Formaldehyde!$H$19:$V$36</definedName>
    <definedName name="myTableH" localSheetId="19">'Naphthalene '!$H$19:$V$36</definedName>
    <definedName name="myTableH" localSheetId="13">Ozone!$H$19:$V$36</definedName>
    <definedName name="myTableH" localSheetId="17">Styrene!$H$19:$V$36</definedName>
    <definedName name="myTableH" localSheetId="18">Toluene!$H$19:$V$36</definedName>
    <definedName name="myTableH" localSheetId="21">'Xylenes-total'!$H$19:$V$36</definedName>
    <definedName name="myTableH">base_f!$H$19:$V$36</definedName>
    <definedName name="newMet" localSheetId="15">Instructions!$Q$36:$Q$37</definedName>
    <definedName name="newMet" localSheetId="14">Instructions!$Q$36:$Q$37</definedName>
    <definedName name="newMet" localSheetId="16">Instructions!$Q$36:$Q$37</definedName>
    <definedName name="newMet" localSheetId="12">Instructions!$Q$36:$Q$37</definedName>
    <definedName name="newMet" localSheetId="20">Instructions!$Q$36:$Q$37</definedName>
    <definedName name="newMet" localSheetId="22">Instructions!$Q$36:$Q$37</definedName>
    <definedName name="newMet" localSheetId="19">Instructions!$Q$36:$Q$37</definedName>
    <definedName name="newMet" localSheetId="13">Instructions!$Q$36:$Q$37</definedName>
    <definedName name="newMet" localSheetId="17">Instructions!$Q$36:$Q$37</definedName>
    <definedName name="newMet" localSheetId="18">Instructions!$Q$36:$Q$37</definedName>
    <definedName name="newMet" localSheetId="21">Instructions!$Q$36:$Q$37</definedName>
    <definedName name="newMet">Instructions!$Q$36:$Q$37</definedName>
    <definedName name="newWaUnit" localSheetId="15">'Waste Stream'!$I$12:$I$14</definedName>
    <definedName name="newWaUnit" localSheetId="14">'Waste Stream'!$I$12:$I$14</definedName>
    <definedName name="newWaUnit" localSheetId="16">'Waste Stream'!$I$12:$I$14</definedName>
    <definedName name="newWaUnit" localSheetId="12">'Waste Stream'!$I$12:$I$14</definedName>
    <definedName name="newWaUnit" localSheetId="20">'Waste Stream'!$I$12:$I$14</definedName>
    <definedName name="newWaUnit" localSheetId="22">'Waste Stream'!$I$12:$I$14</definedName>
    <definedName name="newWaUnit" localSheetId="19">'Waste Stream'!$I$12:$I$14</definedName>
    <definedName name="newWaUnit" localSheetId="13">'Waste Stream'!$I$12:$I$14</definedName>
    <definedName name="newWaUnit" localSheetId="17">'Waste Stream'!$I$12:$I$14</definedName>
    <definedName name="newWaUnit" localSheetId="18">'Waste Stream'!$I$12:$I$14</definedName>
    <definedName name="newWaUnit" localSheetId="21">'Waste Stream'!$I$12:$I$14</definedName>
    <definedName name="newWaUnit">'Waste Stream'!$I$12:$I$14</definedName>
    <definedName name="Other_Fuels_Drp" localSheetId="15">Acetaldehyde!$V$10</definedName>
    <definedName name="Other_Fuels_Drp" localSheetId="14">'Atmospheric Particulate Matter'!$V$10</definedName>
    <definedName name="Other_Fuels_Drp" localSheetId="16">Benzene!$V$10</definedName>
    <definedName name="Other_Fuels_Drp" localSheetId="12">'Carbon Monoxide'!$V$10</definedName>
    <definedName name="Other_Fuels_Drp" localSheetId="20">Dichlorobenzene!$V$10</definedName>
    <definedName name="Other_Fuels_Drp" localSheetId="22">Formaldehyde!$V$10</definedName>
    <definedName name="Other_Fuels_Drp" localSheetId="19">'Naphthalene '!$V$10</definedName>
    <definedName name="Other_Fuels_Drp" localSheetId="13">Ozone!$V$10</definedName>
    <definedName name="Other_Fuels_Drp" localSheetId="17">Styrene!$V$10</definedName>
    <definedName name="Other_Fuels_Drp" localSheetId="18">Toluene!$V$10</definedName>
    <definedName name="Other_Fuels_Drp" localSheetId="21">'Xylenes-total'!$V$10</definedName>
    <definedName name="Other_Fuels_Drp">base_f!$V$10</definedName>
    <definedName name="Period__Start_Date" localSheetId="15">COUNTIF(base_w!$B:$B,base_w!A1)=1</definedName>
    <definedName name="Period__Start_Date" localSheetId="11">COUNTIF('AnalyticsWater meter via upload'!$B:$B,'AnalyticsWater meter via upload'!A1)=1</definedName>
    <definedName name="Period__Start_Date" localSheetId="14">COUNTIF(base_w!$B:$B,base_w!A1)=1</definedName>
    <definedName name="Period__Start_Date" localSheetId="16">COUNTIF(base_w!$B:$B,base_w!A1)=1</definedName>
    <definedName name="Period__Start_Date" localSheetId="12">COUNTIF(base_w!$B:$B,base_w!A1)=1</definedName>
    <definedName name="Period__Start_Date" localSheetId="20">COUNTIF(base_w!$B:$B,base_w!A1)=1</definedName>
    <definedName name="Period__Start_Date" localSheetId="22">COUNTIF(base_w!$B:$B,base_w!A1)=1</definedName>
    <definedName name="Period__Start_Date" localSheetId="19">COUNTIF(base_w!$B:$B,base_w!A1)=1</definedName>
    <definedName name="Period__Start_Date" localSheetId="13">COUNTIF(base_w!$B:$B,base_w!A1)=1</definedName>
    <definedName name="Period__Start_Date" localSheetId="17">COUNTIF(base_w!$B:$B,base_w!A1)=1</definedName>
    <definedName name="Period__Start_Date" localSheetId="18">COUNTIF(base_w!$B:$B,base_w!A1)=1</definedName>
    <definedName name="Period__Start_Date" localSheetId="21">COUNTIF(base_w!$B:$B,base_w!A1)=1</definedName>
    <definedName name="Period__Start_Date">COUNTIF(base_w!$B:$B,base_w!A1)=1</definedName>
    <definedName name="Propane" localSheetId="15">Acetaldehyde!$I$16:$I$27</definedName>
    <definedName name="Propane" localSheetId="14">'Atmospheric Particulate Matter'!$I$16:$I$27</definedName>
    <definedName name="Propane" localSheetId="16">Benzene!$I$16:$I$27</definedName>
    <definedName name="Propane" localSheetId="12">'Carbon Monoxide'!$I$16:$I$27</definedName>
    <definedName name="Propane" localSheetId="20">Dichlorobenzene!$I$16:$I$27</definedName>
    <definedName name="Propane" localSheetId="22">Formaldehyde!$I$16:$I$27</definedName>
    <definedName name="Propane" localSheetId="19">'Naphthalene '!$I$16:$I$27</definedName>
    <definedName name="Propane" localSheetId="13">Ozone!$I$16:$I$27</definedName>
    <definedName name="Propane" localSheetId="17">Styrene!$I$16:$I$27</definedName>
    <definedName name="Propane" localSheetId="18">Toluene!$I$16:$I$27</definedName>
    <definedName name="Propane" localSheetId="21">'Xylenes-total'!$I$16:$I$27</definedName>
    <definedName name="Propane">base_f!$I$16:$I$27</definedName>
    <definedName name="propanes" localSheetId="15">Acetaldehyde!$I$16:$I$25</definedName>
    <definedName name="propanes" localSheetId="14">'Atmospheric Particulate Matter'!$I$16:$I$25</definedName>
    <definedName name="propanes" localSheetId="16">Benzene!$I$16:$I$25</definedName>
    <definedName name="propanes" localSheetId="12">'Carbon Monoxide'!$I$16:$I$25</definedName>
    <definedName name="propanes" localSheetId="20">Dichlorobenzene!$I$16:$I$25</definedName>
    <definedName name="propanes" localSheetId="22">Formaldehyde!$I$16:$I$25</definedName>
    <definedName name="propanes" localSheetId="19">'Naphthalene '!$I$16:$I$25</definedName>
    <definedName name="propanes" localSheetId="13">Ozone!$I$16:$I$25</definedName>
    <definedName name="propanes" localSheetId="17">Styrene!$I$16:$I$25</definedName>
    <definedName name="propanes" localSheetId="18">Toluene!$I$16:$I$25</definedName>
    <definedName name="propanes" localSheetId="21">'Xylenes-total'!$I$16:$I$25</definedName>
    <definedName name="propanes">base_f!$I$16:$I$25</definedName>
    <definedName name="prounit" localSheetId="15">Acetaldehyde!$I$16:$I$25</definedName>
    <definedName name="prounit" localSheetId="14">'Atmospheric Particulate Matter'!$I$16:$I$25</definedName>
    <definedName name="prounit" localSheetId="16">Benzene!$I$16:$I$25</definedName>
    <definedName name="prounit" localSheetId="12">'Carbon Monoxide'!$I$16:$I$25</definedName>
    <definedName name="prounit" localSheetId="20">Dichlorobenzene!$I$16:$I$25</definedName>
    <definedName name="prounit" localSheetId="22">Formaldehyde!$I$16:$I$25</definedName>
    <definedName name="prounit" localSheetId="19">'Naphthalene '!$I$16:$I$25</definedName>
    <definedName name="prounit" localSheetId="13">Ozone!$I$16:$I$25</definedName>
    <definedName name="prounit" localSheetId="17">Styrene!$I$16:$I$25</definedName>
    <definedName name="prounit" localSheetId="18">Toluene!$I$16:$I$25</definedName>
    <definedName name="prounit" localSheetId="21">'Xylenes-total'!$I$16:$I$25</definedName>
    <definedName name="prounit">base_f!$I$16:$I$25</definedName>
    <definedName name="RangeCount">'CO2 Reading for Upload'!$B$6:$B$11</definedName>
    <definedName name="RangeCountVOC">'TVOC Reading for Upload'!$B$6:$B$10</definedName>
    <definedName name="ReadingTable" localSheetId="15">'CO2 Readings'!$15:$16</definedName>
    <definedName name="ReadingTable" localSheetId="14">'CO2 Readings'!$15:$16</definedName>
    <definedName name="ReadingTable" localSheetId="16">'CO2 Readings'!$15:$16</definedName>
    <definedName name="ReadingTable" localSheetId="12">'CO2 Readings'!$15:$16</definedName>
    <definedName name="ReadingTable" localSheetId="20">'CO2 Readings'!$15:$16</definedName>
    <definedName name="ReadingTable" localSheetId="22">'CO2 Readings'!$15:$16</definedName>
    <definedName name="ReadingTable" localSheetId="19">'CO2 Readings'!$15:$16</definedName>
    <definedName name="ReadingTable" localSheetId="13">'CO2 Readings'!$15:$16</definedName>
    <definedName name="ReadingTable" localSheetId="17">'CO2 Readings'!$15:$16</definedName>
    <definedName name="ReadingTable" localSheetId="18">'CO2 Readings'!$15:$16</definedName>
    <definedName name="ReadingTable" localSheetId="21">'CO2 Readings'!$15:$16</definedName>
    <definedName name="ReadingTable">'CO2 Readings'!$15:$16</definedName>
    <definedName name="ReadingTableVOC" localSheetId="15">'TVOC Readings'!$13:$14</definedName>
    <definedName name="ReadingTableVOC" localSheetId="14">'TVOC Readings'!$13:$14</definedName>
    <definedName name="ReadingTableVOC" localSheetId="16">'TVOC Readings'!$13:$14</definedName>
    <definedName name="ReadingTableVOC" localSheetId="12">'TVOC Readings'!$13:$14</definedName>
    <definedName name="ReadingTableVOC" localSheetId="20">'TVOC Readings'!$13:$14</definedName>
    <definedName name="ReadingTableVOC" localSheetId="22">'TVOC Readings'!$13:$14</definedName>
    <definedName name="ReadingTableVOC" localSheetId="19">'TVOC Readings'!$13:$14</definedName>
    <definedName name="ReadingTableVOC" localSheetId="13">'TVOC Readings'!$13:$14</definedName>
    <definedName name="ReadingTableVOC" localSheetId="17">'TVOC Readings'!$13:$14</definedName>
    <definedName name="ReadingTableVOC" localSheetId="18">'TVOC Readings'!$13:$14</definedName>
    <definedName name="ReadingTableVOC" localSheetId="21">'TVOC Readings'!$13:$14</definedName>
    <definedName name="ReadingTableVOC">'TVOC Readings'!$13:$14</definedName>
    <definedName name="Sheets">TRANSPOSE(GET.WORKBOOK(1))&amp;T(NOW())</definedName>
    <definedName name="spacetype" localSheetId="15">Instructions!$S$45:$S$107</definedName>
    <definedName name="spacetype" localSheetId="14">Instructions!$S$45:$S$107</definedName>
    <definedName name="spacetype" localSheetId="16">Instructions!$S$45:$S$107</definedName>
    <definedName name="spacetype" localSheetId="12">Instructions!$S$45:$S$107</definedName>
    <definedName name="spacetype" localSheetId="20">Instructions!$S$45:$S$107</definedName>
    <definedName name="spacetype" localSheetId="22">Instructions!$S$45:$S$107</definedName>
    <definedName name="spacetype" localSheetId="19">Instructions!$S$45:$S$107</definedName>
    <definedName name="spacetype" localSheetId="13">Instructions!$S$45:$S$107</definedName>
    <definedName name="spacetype" localSheetId="17">Instructions!$S$45:$S$107</definedName>
    <definedName name="spacetype" localSheetId="18">Instructions!$S$45:$S$107</definedName>
    <definedName name="spacetype" localSheetId="21">Instructions!$S$45:$S$107</definedName>
    <definedName name="spacetype">Instructions!$S$36:$S$91</definedName>
    <definedName name="sumAnchor">'CO2 Readings'!$F$7:$F$16</definedName>
    <definedName name="sumAnchorVOC">'TVOC Readings'!$G$6:$G$14</definedName>
    <definedName name="sumDate">'CO2 Readings'!$G$7:$G$16</definedName>
    <definedName name="sumDateVOC">'TVOC Readings'!$H$6:$H$14</definedName>
    <definedName name="UniqueDate">'CO2 Readings'!$B$22</definedName>
    <definedName name="UniqueDateVOC">'TVOC Readings'!$B$20</definedName>
    <definedName name="UniqueLoc">'CO2 Readings'!$C$22</definedName>
    <definedName name="UniqueLocVOC">'TVOC Readings'!$C$20</definedName>
    <definedName name="Units">Instructions!$M$6:$M$7</definedName>
    <definedName name="UserFormat">'CO2 Readings'!$A$25:$E$25</definedName>
    <definedName name="validUnits">Instructions!$L$323:$L$341</definedName>
    <definedName name="water_meter_type" localSheetId="11">'AnalyticsWater meter via upload'!$H$27:$I$39</definedName>
    <definedName name="water_meter_type">base_w!$H$27:$I$39</definedName>
    <definedName name="water_type" localSheetId="11">'AnalyticsWater meter via upload'!$H$27:$I$39</definedName>
    <definedName name="water_type">base_w!$H$27:$I$39</definedName>
    <definedName name="water_units" localSheetId="11">'AnalyticsWater meter via upload'!$H$15:$H$23</definedName>
    <definedName name="water_units">base_w!$H$15:$H$23</definedName>
    <definedName name="WaterDrp" localSheetId="15">base_w!$I$9:$I$11</definedName>
    <definedName name="WaterDrp" localSheetId="11">'AnalyticsWater meter via upload'!$I$9:$I$11</definedName>
    <definedName name="WaterDrp" localSheetId="14">base_w!$I$9:$I$11</definedName>
    <definedName name="WaterDrp" localSheetId="16">base_w!$I$9:$I$11</definedName>
    <definedName name="WaterDrp" localSheetId="12">base_w!$I$9:$I$11</definedName>
    <definedName name="WaterDrp" localSheetId="20">base_w!$I$9:$I$11</definedName>
    <definedName name="WaterDrp" localSheetId="22">base_w!$I$9:$I$11</definedName>
    <definedName name="WaterDrp" localSheetId="19">base_w!$I$9:$I$11</definedName>
    <definedName name="WaterDrp" localSheetId="13">base_w!$I$9:$I$11</definedName>
    <definedName name="WaterDrp" localSheetId="17">base_w!$I$9:$I$11</definedName>
    <definedName name="WaterDrp" localSheetId="18">base_w!$I$9:$I$11</definedName>
    <definedName name="WaterDrp" localSheetId="21">base_w!$I$9:$I$11</definedName>
    <definedName name="WaterDrp">base_w!$I$9:$I$11</definedName>
    <definedName name="waterType" localSheetId="11">'AnalyticsWater meter via upload'!$H$27:$H$39</definedName>
    <definedName name="waterType">base_w!$H$27:$H$39</definedName>
    <definedName name="waterUnits" localSheetId="11">'AnalyticsWater meter via upload'!$J$10:$J$14</definedName>
    <definedName name="waterUnits">base_w!$J$10:$J$14</definedName>
    <definedName name="watUn" localSheetId="11">'AnalyticsWater meter via upload'!$H$15:$H$23</definedName>
    <definedName name="watUn">base_w!$H$15:$H$23</definedName>
    <definedName name="watUni" localSheetId="15">base_w!$H$15:$H$29</definedName>
    <definedName name="watUni" localSheetId="11">'AnalyticsWater meter via upload'!$H$15:$H$29</definedName>
    <definedName name="watUni" localSheetId="14">base_w!$H$15:$H$29</definedName>
    <definedName name="watUni" localSheetId="16">base_w!$H$15:$H$29</definedName>
    <definedName name="watUni" localSheetId="12">base_w!$H$15:$H$29</definedName>
    <definedName name="watUni" localSheetId="20">base_w!$H$15:$H$29</definedName>
    <definedName name="watUni" localSheetId="22">base_w!$H$15:$H$29</definedName>
    <definedName name="watUni" localSheetId="19">base_w!$H$15:$H$29</definedName>
    <definedName name="watUni" localSheetId="13">base_w!$H$15:$H$29</definedName>
    <definedName name="watUni" localSheetId="17">base_w!$H$15:$H$29</definedName>
    <definedName name="watUni" localSheetId="18">base_w!$H$15:$H$29</definedName>
    <definedName name="watUni" localSheetId="21">base_w!$H$15:$H$29</definedName>
    <definedName name="watUni">base_w!$H$15:$H$29</definedName>
    <definedName name="waUn">'Waste Stream'!$I$12:$I$18</definedName>
    <definedName name="waunit">'Waste Stream'!$J$9:$J$11</definedName>
    <definedName name="Wood" localSheetId="15">Acetaldehyde!$H$16:$H$27</definedName>
    <definedName name="Wood" localSheetId="14">'Atmospheric Particulate Matter'!$H$16:$H$27</definedName>
    <definedName name="Wood" localSheetId="16">Benzene!$H$16:$H$27</definedName>
    <definedName name="Wood" localSheetId="12">'Carbon Monoxide'!$H$16:$H$27</definedName>
    <definedName name="Wood" localSheetId="20">Dichlorobenzene!$H$16:$H$27</definedName>
    <definedName name="Wood" localSheetId="22">Formaldehyde!$H$16:$H$27</definedName>
    <definedName name="Wood" localSheetId="19">'Naphthalene '!$H$16:$H$27</definedName>
    <definedName name="Wood" localSheetId="13">Ozone!$H$16:$H$27</definedName>
    <definedName name="Wood" localSheetId="17">Styrene!$H$16:$H$27</definedName>
    <definedName name="Wood" localSheetId="18">Toluene!$H$16:$H$27</definedName>
    <definedName name="Wood" localSheetId="21">'Xylenes-total'!$H$16:$H$27</definedName>
    <definedName name="Wood">base_f!$H$16:$H$27</definedName>
    <definedName name="woods" localSheetId="15">Acetaldehyde!$H$16:$H$22</definedName>
    <definedName name="woods" localSheetId="14">'Atmospheric Particulate Matter'!$H$16:$H$22</definedName>
    <definedName name="woods" localSheetId="16">Benzene!$H$16:$H$22</definedName>
    <definedName name="woods" localSheetId="12">'Carbon Monoxide'!$H$16:$H$22</definedName>
    <definedName name="woods" localSheetId="20">Dichlorobenzene!$H$16:$H$22</definedName>
    <definedName name="woods" localSheetId="22">Formaldehyde!$H$16:$H$22</definedName>
    <definedName name="woods" localSheetId="19">'Naphthalene '!$H$16:$H$22</definedName>
    <definedName name="woods" localSheetId="13">Ozone!$H$16:$H$22</definedName>
    <definedName name="woods" localSheetId="17">Styrene!$H$16:$H$22</definedName>
    <definedName name="woods" localSheetId="18">Toluene!$H$16:$H$22</definedName>
    <definedName name="woods" localSheetId="21">'Xylenes-total'!$H$16:$H$22</definedName>
    <definedName name="woods">base_f!$H$16:$H$22</definedName>
    <definedName name="woodunit" localSheetId="15">Acetaldehyde!$H$16:$H$22</definedName>
    <definedName name="woodunit" localSheetId="14">'Atmospheric Particulate Matter'!$H$16:$H$22</definedName>
    <definedName name="woodunit" localSheetId="16">Benzene!$H$16:$H$22</definedName>
    <definedName name="woodunit" localSheetId="12">'Carbon Monoxide'!$H$16:$H$22</definedName>
    <definedName name="woodunit" localSheetId="20">Dichlorobenzene!$H$16:$H$22</definedName>
    <definedName name="woodunit" localSheetId="22">Formaldehyde!$H$16:$H$22</definedName>
    <definedName name="woodunit" localSheetId="19">'Naphthalene '!$H$16:$H$22</definedName>
    <definedName name="woodunit" localSheetId="13">Ozone!$H$16:$H$22</definedName>
    <definedName name="woodunit" localSheetId="17">Styrene!$H$16:$H$22</definedName>
    <definedName name="woodunit" localSheetId="18">Toluene!$H$16:$H$22</definedName>
    <definedName name="woodunit" localSheetId="21">'Xylenes-total'!$H$16:$H$22</definedName>
    <definedName name="woodunit">base_f!$H$16:$H$22</definedName>
    <definedName name="zep" localSheetId="11">'AnalyticsWater meter via upload'!$J$8</definedName>
    <definedName name="zep">base_w!$J$8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6" i="31" l="1"/>
  <c r="B1" i="31"/>
  <c r="D1" i="31" s="1"/>
  <c r="D6" i="30"/>
  <c r="B1" i="30"/>
  <c r="D1" i="30" s="1"/>
  <c r="E7" i="13"/>
  <c r="B7" i="13" s="1"/>
  <c r="D7" i="13" s="1" a="1"/>
  <c r="D7" i="13" s="1"/>
  <c r="A7" i="13" s="1"/>
  <c r="E7" i="12"/>
  <c r="B7" i="12" s="1"/>
  <c r="H9" i="14" a="1"/>
  <c r="H9" i="14" s="1"/>
  <c r="D26" i="16"/>
  <c r="C7" i="13" l="1"/>
  <c r="E8" i="12"/>
  <c r="B8" i="12" s="1"/>
  <c r="C8" i="12" s="1"/>
  <c r="D7" i="12"/>
  <c r="A7" i="12" s="1"/>
  <c r="C7" i="12"/>
  <c r="H15" i="14"/>
  <c r="H11" i="14" a="1"/>
  <c r="H11" i="14" s="1"/>
  <c r="H7" i="14"/>
  <c r="H12" i="14" a="1"/>
  <c r="H12" i="14" s="1"/>
  <c r="D8" i="12" l="1"/>
  <c r="A8" i="12" s="1"/>
  <c r="H16" i="14"/>
  <c r="J9" i="16"/>
  <c r="J10" i="16"/>
  <c r="J11" i="16"/>
  <c r="J12" i="16"/>
  <c r="J13" i="16"/>
  <c r="J14" i="16"/>
  <c r="J15" i="16"/>
  <c r="J16" i="16"/>
  <c r="J17" i="16"/>
  <c r="J18" i="16"/>
  <c r="I19" i="16"/>
  <c r="F19" i="16" l="1"/>
  <c r="K8" i="16" l="1"/>
  <c r="J8" i="16" s="1"/>
  <c r="K9" i="16"/>
  <c r="K10" i="16"/>
  <c r="K11" i="16"/>
  <c r="K12" i="16"/>
  <c r="K13" i="16"/>
  <c r="K14" i="16"/>
  <c r="K15" i="16"/>
  <c r="K16" i="16"/>
  <c r="K17" i="16"/>
  <c r="K18" i="16"/>
  <c r="K7" i="16"/>
  <c r="J7" i="16" s="1"/>
  <c r="G19" i="16" l="1"/>
  <c r="B50" i="16" l="1"/>
  <c r="B44" i="16"/>
  <c r="B38" i="16"/>
  <c r="D6" i="27" l="1" a="1"/>
  <c r="D6" i="27" s="1"/>
  <c r="B1" i="27"/>
  <c r="D1" i="27" s="1"/>
  <c r="D6" i="26" a="1"/>
  <c r="D6" i="26" s="1"/>
  <c r="B1" i="26"/>
  <c r="D1" i="26" s="1"/>
  <c r="D6" i="25" a="1"/>
  <c r="D6" i="25" s="1"/>
  <c r="B1" i="25"/>
  <c r="D1" i="25" s="1"/>
  <c r="D6" i="24" a="1"/>
  <c r="D6" i="24" s="1"/>
  <c r="B1" i="24"/>
  <c r="D1" i="24" s="1"/>
  <c r="D6" i="23" a="1"/>
  <c r="D6" i="23" s="1"/>
  <c r="B1" i="23"/>
  <c r="D1" i="23" s="1"/>
  <c r="D6" i="22" a="1"/>
  <c r="D6" i="22" s="1"/>
  <c r="B1" i="22"/>
  <c r="D1" i="22" s="1"/>
  <c r="D6" i="21"/>
  <c r="D6" i="21" a="1"/>
  <c r="B1" i="21"/>
  <c r="D1" i="21" s="1"/>
  <c r="D6" i="20" a="1"/>
  <c r="D6" i="20" s="1"/>
  <c r="B1" i="20"/>
  <c r="D1" i="20" s="1"/>
  <c r="D6" i="19" a="1"/>
  <c r="D6" i="19" s="1"/>
  <c r="B1" i="19"/>
  <c r="D1" i="19" s="1"/>
  <c r="D6" i="18" a="1"/>
  <c r="D6" i="18" s="1"/>
  <c r="B1" i="18"/>
  <c r="D1" i="18" s="1"/>
  <c r="D6" i="17" a="1"/>
  <c r="D6" i="17" s="1"/>
  <c r="B1" i="17"/>
  <c r="D1" i="17" s="1"/>
  <c r="D19" i="16" l="1"/>
  <c r="L8" i="16" l="1"/>
  <c r="L9" i="16"/>
  <c r="L10" i="16"/>
  <c r="L11" i="16"/>
  <c r="L12" i="16"/>
  <c r="L13" i="16"/>
  <c r="L14" i="16"/>
  <c r="L15" i="16"/>
  <c r="L16" i="16"/>
  <c r="L7" i="16" l="1"/>
  <c r="D25" i="16" s="1"/>
  <c r="H19" i="16" l="1"/>
  <c r="H8" i="15" l="1" a="1"/>
  <c r="H8" i="15" s="1"/>
  <c r="G9" i="14" a="1"/>
  <c r="G9" i="14" s="1"/>
  <c r="E19" i="16" l="1"/>
  <c r="L17" i="16" l="1"/>
  <c r="L18" i="16"/>
  <c r="B10" i="15" l="1" a="1"/>
  <c r="B10" i="15" s="1"/>
  <c r="B11" i="14" a="1"/>
  <c r="B11" i="14" s="1"/>
  <c r="D24" i="16"/>
  <c r="B24" i="16"/>
  <c r="D6" i="16"/>
  <c r="D6" i="13"/>
  <c r="D6" i="12"/>
  <c r="E17" i="15"/>
  <c r="C20" i="15" a="1"/>
  <c r="C20" i="15" s="1"/>
  <c r="B20" i="15" a="1"/>
  <c r="B20" i="15" s="1"/>
  <c r="C22" i="14" a="1"/>
  <c r="C22" i="14" s="1"/>
  <c r="B22" i="14" a="1"/>
  <c r="B22" i="14" s="1"/>
  <c r="E19" i="14"/>
  <c r="B1" i="6"/>
  <c r="B1" i="8"/>
  <c r="B1" i="4"/>
  <c r="D6" i="8"/>
  <c r="D6" i="6"/>
  <c r="D6" i="4"/>
  <c r="E6" i="11"/>
  <c r="D6" i="11"/>
  <c r="B12" i="14" l="1" a="1"/>
  <c r="B12" i="14" s="1"/>
  <c r="A10" i="15"/>
  <c r="H10" i="15" a="1"/>
  <c r="H10" i="15" s="1"/>
  <c r="H6" i="15"/>
  <c r="H13" i="15"/>
  <c r="D1" i="8"/>
  <c r="D1" i="6"/>
  <c r="D1" i="4"/>
  <c r="J19" i="16"/>
  <c r="G7" i="14"/>
  <c r="G15" i="14"/>
  <c r="A11" i="14"/>
  <c r="G11" i="14" a="1"/>
  <c r="G11" i="14" s="1"/>
  <c r="D28" i="16" l="1"/>
  <c r="D27" i="16"/>
  <c r="B17" i="15"/>
  <c r="C17" i="15" s="1"/>
  <c r="G12" i="14" a="1"/>
  <c r="G12" i="14" s="1"/>
  <c r="A12" i="14"/>
  <c r="H14" i="15"/>
  <c r="B19" i="14"/>
  <c r="C19" i="14" s="1"/>
  <c r="D17" i="15" l="1" a="1"/>
  <c r="D17" i="15" s="1"/>
  <c r="A17" i="15" s="1"/>
  <c r="G16" i="14"/>
  <c r="D19" i="14" l="1"/>
  <c r="A19"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Group10</author>
  </authors>
  <commentList>
    <comment ref="B25" authorId="0" shapeId="0" xr:uid="{F101D415-3DA5-42CF-8584-143C7AF7158C}">
      <text>
        <r>
          <rPr>
            <sz val="9"/>
            <color indexed="81"/>
            <rFont val="Tahoma"/>
            <family val="2"/>
          </rPr>
          <t>operating hours are area-weighted based on space information provided above</t>
        </r>
      </text>
    </comment>
  </commentList>
</comments>
</file>

<file path=xl/sharedStrings.xml><?xml version="1.0" encoding="utf-8"?>
<sst xmlns="http://schemas.openxmlformats.org/spreadsheetml/2006/main" count="3889" uniqueCount="755">
  <si>
    <t>Step 1.</t>
  </si>
  <si>
    <t>Enable macros</t>
  </si>
  <si>
    <t>Note: This calculator is for use with Excel for Mac 2011 and Excel 2007 or later.</t>
  </si>
  <si>
    <t>Ip Units</t>
  </si>
  <si>
    <t>Si Units</t>
  </si>
  <si>
    <r>
      <rPr>
        <b/>
        <sz val="10"/>
        <rFont val="Arial"/>
        <family val="2"/>
      </rPr>
      <t>Step 3.</t>
    </r>
    <r>
      <rPr>
        <sz val="10"/>
        <rFont val="Arial"/>
        <family val="2"/>
      </rPr>
      <t xml:space="preserve"> </t>
    </r>
  </si>
  <si>
    <t>Aland Islands</t>
  </si>
  <si>
    <t>AX</t>
  </si>
  <si>
    <t>Albania</t>
  </si>
  <si>
    <t>AL</t>
  </si>
  <si>
    <t>Algeria</t>
  </si>
  <si>
    <t>DZ</t>
  </si>
  <si>
    <t>American Samoa</t>
  </si>
  <si>
    <t>AS</t>
  </si>
  <si>
    <t>Andorra</t>
  </si>
  <si>
    <t>AD</t>
  </si>
  <si>
    <t>Angola</t>
  </si>
  <si>
    <t>AO</t>
  </si>
  <si>
    <t>Anguilla</t>
  </si>
  <si>
    <t>AI</t>
  </si>
  <si>
    <t>Antarctica</t>
  </si>
  <si>
    <t>AQ</t>
  </si>
  <si>
    <t>Antigua And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</si>
  <si>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</si>
  <si>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</si>
  <si>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</si>
  <si>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</si>
  <si>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</si>
  <si>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</si>
  <si>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</si>
  <si>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</si>
  <si>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</si>
  <si>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</si>
  <si>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</si>
  <si>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</si>
  <si>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</si>
  <si>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</si>
  <si>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</si>
  <si>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</si>
  <si>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</si>
  <si>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</si>
  <si>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</si>
  <si>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</si>
  <si>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</si>
  <si>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</si>
  <si>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</si>
  <si>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</si>
  <si>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</si>
  <si>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</si>
  <si>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</si>
  <si>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</si>
  <si>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</si>
  <si>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</si>
  <si>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</si>
  <si>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</si>
  <si>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</si>
  <si>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</si>
  <si>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</si>
  <si>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</si>
  <si>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</si>
  <si>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</si>
  <si>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</si>
  <si>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</si>
  <si>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</si>
  <si>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</si>
  <si>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t>
  </si>
  <si>
    <t>British Indian Ocean Territory</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</si>
  <si>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</si>
  <si>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</si>
  <si>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</si>
  <si>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</si>
  <si>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</si>
  <si>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</si>
  <si>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</si>
  <si>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</si>
  <si>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</si>
  <si>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</si>
  <si>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</si>
  <si>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</si>
  <si>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</si>
  <si>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</si>
  <si>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</si>
  <si>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</si>
  <si>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</si>
  <si>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</si>
  <si>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</si>
  <si>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</si>
  <si>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</si>
  <si>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</si>
  <si>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</si>
  <si>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</si>
  <si>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</si>
  <si>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</si>
  <si>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</si>
  <si>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</si>
  <si>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</si>
  <si>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</si>
  <si>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</si>
  <si>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</si>
  <si>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</si>
  <si>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</si>
  <si>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</si>
  <si>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</si>
  <si>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</si>
  <si>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The Democratic Republic Of The</t>
  </si>
  <si>
    <t>CD</t>
  </si>
  <si>
    <t>Cook Islands</t>
  </si>
  <si>
    <t>CK</t>
  </si>
  <si>
    <t>Costa Rica</t>
  </si>
  <si>
    <t>CR</t>
  </si>
  <si>
    <t>Cote D'Ivoire</t>
  </si>
  <si>
    <t>CI</t>
  </si>
  <si>
    <t>Croatia</t>
  </si>
  <si>
    <t>HR</t>
  </si>
  <si>
    <t>Cuba</t>
  </si>
  <si>
    <t>CU</t>
  </si>
  <si>
    <t>Cyprus</t>
  </si>
  <si>
    <t>CY</t>
  </si>
  <si>
    <t>Czech Republic</t>
  </si>
  <si>
    <t>CZ</t>
  </si>
  <si>
    <t>Denmark</t>
  </si>
  <si>
    <t>DK</t>
  </si>
  <si>
    <t>Djibouti</t>
  </si>
  <si>
    <t>DJ</t>
  </si>
  <si>
    <t>Dominica</t>
  </si>
  <si>
    <t>DM</t>
  </si>
  <si>
    <t>Dominican Republic</t>
  </si>
  <si>
    <t>DO</t>
  </si>
  <si>
    <t>Ecuador</t>
  </si>
  <si>
    <t>EC</t>
  </si>
  <si>
    <t>Egypt</t>
  </si>
  <si>
    <t>EG</t>
  </si>
  <si>
    <t>El Salvador</t>
  </si>
  <si>
    <t>SV</t>
  </si>
  <si>
    <t>Equatorial Guinea</t>
  </si>
  <si>
    <t>GQ</t>
  </si>
  <si>
    <t>Eritrea</t>
  </si>
  <si>
    <t>ER</t>
  </si>
  <si>
    <t>Estonia</t>
  </si>
  <si>
    <t>EE</t>
  </si>
  <si>
    <t>Ethiopia</t>
  </si>
  <si>
    <t>ET</t>
  </si>
  <si>
    <t>Falkland Islands (Malvinas)</t>
  </si>
  <si>
    <t>FK</t>
  </si>
  <si>
    <t>Faroe Islands</t>
  </si>
  <si>
    <t>FO</t>
  </si>
  <si>
    <t>Fiji</t>
  </si>
  <si>
    <t>FJ</t>
  </si>
  <si>
    <t>Finland</t>
  </si>
  <si>
    <t>FI</t>
  </si>
  <si>
    <t>France</t>
  </si>
  <si>
    <t>FR</t>
  </si>
  <si>
    <t>French Guiana</t>
  </si>
  <si>
    <t>GF</t>
  </si>
  <si>
    <t>French Polynesia</t>
  </si>
  <si>
    <t>PF</t>
  </si>
  <si>
    <t>French Southern Territories</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</si>
  <si>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</si>
  <si>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</si>
  <si>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</si>
  <si>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</si>
  <si>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</si>
  <si>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</si>
  <si>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</si>
  <si>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</si>
  <si>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</si>
  <si>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</si>
  <si>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</si>
  <si>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</si>
  <si>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</si>
  <si>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</si>
  <si>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</si>
  <si>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</si>
  <si>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</si>
  <si>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</si>
  <si>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</si>
  <si>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</si>
  <si>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</si>
  <si>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</si>
  <si>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</si>
  <si>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</si>
  <si>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</si>
  <si>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Guernsey</t>
  </si>
  <si>
    <t xml:space="preserve"> GG</t>
  </si>
  <si>
    <t>Guinea</t>
  </si>
  <si>
    <t>GN</t>
  </si>
  <si>
    <t>Guinea-Bissau</t>
  </si>
  <si>
    <t>GW</t>
  </si>
  <si>
    <t>Guyana</t>
  </si>
  <si>
    <t>GY</t>
  </si>
  <si>
    <t>Haiti</t>
  </si>
  <si>
    <t>HT</t>
  </si>
  <si>
    <t>Heard Island And Mcdonald Islands</t>
  </si>
  <si>
    <t>HM</t>
  </si>
  <si>
    <t>Holy See (Vatican City State)</t>
  </si>
  <si>
    <t>VA</t>
  </si>
  <si>
    <t>Honduras</t>
  </si>
  <si>
    <t>HN</t>
  </si>
  <si>
    <t>Hong Kong</t>
  </si>
  <si>
    <t>HK</t>
  </si>
  <si>
    <t>Hungary</t>
  </si>
  <si>
    <t>HU</t>
  </si>
  <si>
    <t>Iceland</t>
  </si>
  <si>
    <t>IS</t>
  </si>
  <si>
    <t>India</t>
  </si>
  <si>
    <t>IN</t>
  </si>
  <si>
    <t>Indonesia</t>
  </si>
  <si>
    <t>ID</t>
  </si>
  <si>
    <t>Iran, Islamic Republic Of</t>
  </si>
  <si>
    <t>IR</t>
  </si>
  <si>
    <t>Iraq</t>
  </si>
  <si>
    <t>IQ</t>
  </si>
  <si>
    <t>Ireland</t>
  </si>
  <si>
    <t>IE</t>
  </si>
  <si>
    <t>Isle Of Man</t>
  </si>
  <si>
    <t>IM</t>
  </si>
  <si>
    <t>Israel</t>
  </si>
  <si>
    <t>IL</t>
  </si>
  <si>
    <t>Italy</t>
  </si>
  <si>
    <t>IT</t>
  </si>
  <si>
    <t>Jamaica</t>
  </si>
  <si>
    <t>JM</t>
  </si>
  <si>
    <t>Japan</t>
  </si>
  <si>
    <t>JP</t>
  </si>
  <si>
    <t>Jersey</t>
  </si>
  <si>
    <t>JE</t>
  </si>
  <si>
    <t>Jordan</t>
  </si>
  <si>
    <t>JO</t>
  </si>
  <si>
    <t>Kazakhstan</t>
  </si>
  <si>
    <t>KZ</t>
  </si>
  <si>
    <t>Kenya</t>
  </si>
  <si>
    <t>KE</t>
  </si>
  <si>
    <t>Kiribati</t>
  </si>
  <si>
    <t>KI</t>
  </si>
  <si>
    <t>Korea, Democratic People'S Republic Of</t>
  </si>
  <si>
    <t>KP</t>
  </si>
  <si>
    <t>Korea, Republic Of</t>
  </si>
  <si>
    <t>KR</t>
  </si>
  <si>
    <t>Kuwait</t>
  </si>
  <si>
    <t>KW</t>
  </si>
  <si>
    <t>Kyrgyzstan</t>
  </si>
  <si>
    <t>KG</t>
  </si>
  <si>
    <t>Lao People'S Democratic Republic</t>
  </si>
  <si>
    <t>LA</t>
  </si>
  <si>
    <t>Latvia</t>
  </si>
  <si>
    <t>LV</t>
  </si>
  <si>
    <t>Lebanon</t>
  </si>
  <si>
    <t>LB</t>
  </si>
  <si>
    <t>Lesotho</t>
  </si>
  <si>
    <t>LS</t>
  </si>
  <si>
    <t>Liberia</t>
  </si>
  <si>
    <t>LR</t>
  </si>
  <si>
    <t>Libyan Arab Jamahiriya</t>
  </si>
  <si>
    <t>LY</t>
  </si>
  <si>
    <t>Liechtenstein</t>
  </si>
  <si>
    <t>LI</t>
  </si>
  <si>
    <t>Lithuania</t>
  </si>
  <si>
    <t>LT</t>
  </si>
  <si>
    <t>Luxembourg</t>
  </si>
  <si>
    <t>LU</t>
  </si>
  <si>
    <t>Macao</t>
  </si>
  <si>
    <t>MO</t>
  </si>
  <si>
    <t>Macedonia, The Former Yugoslav Republic Of</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</si>
  <si>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</si>
  <si>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</si>
  <si>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</si>
  <si>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</si>
  <si>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</si>
  <si>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</si>
  <si>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</si>
  <si>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</si>
  <si>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</si>
  <si>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</si>
  <si>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</si>
  <si>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</si>
  <si>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</si>
  <si>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</si>
  <si>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</si>
  <si>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</si>
  <si>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</si>
  <si>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</si>
  <si>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</si>
  <si>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</si>
  <si>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</si>
  <si>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</si>
  <si>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</si>
  <si>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</si>
  <si>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</si>
  <si>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 Federated States Of</t>
  </si>
  <si>
    <t>FM</t>
  </si>
  <si>
    <t>Moldova, Republic Of</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</si>
  <si>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</si>
  <si>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</si>
  <si>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</si>
  <si>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</si>
  <si>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</si>
  <si>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</si>
  <si>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</si>
  <si>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</si>
  <si>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</si>
  <si>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</si>
  <si>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</si>
  <si>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</si>
  <si>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</si>
  <si>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</si>
  <si>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</si>
  <si>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</si>
  <si>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</si>
  <si>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</si>
  <si>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</si>
  <si>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</si>
  <si>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</si>
  <si>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</si>
  <si>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</si>
  <si>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</si>
  <si>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</si>
  <si>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</si>
  <si>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</si>
  <si>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</si>
  <si>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</si>
  <si>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</si>
  <si>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</si>
  <si>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</si>
  <si>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</si>
  <si>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</si>
  <si>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</si>
  <si>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</si>
  <si>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</si>
  <si>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</si>
  <si>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</si>
  <si>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</si>
  <si>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</si>
  <si>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</si>
  <si>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</si>
  <si>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</si>
  <si>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</si>
  <si>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</si>
  <si>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</si>
  <si>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 Occupied</t>
  </si>
  <si>
    <t>PS</t>
  </si>
  <si>
    <t>Panama</t>
  </si>
  <si>
    <t>PA</t>
  </si>
  <si>
    <t>Papua New Guinea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</si>
  <si>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</si>
  <si>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</si>
  <si>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</si>
  <si>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</si>
  <si>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</si>
  <si>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</si>
  <si>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</si>
  <si>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</si>
  <si>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</si>
  <si>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</si>
  <si>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</si>
  <si>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</si>
  <si>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</si>
  <si>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</si>
  <si>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</si>
  <si>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</si>
  <si>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</si>
  <si>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</si>
  <si>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</si>
  <si>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</si>
  <si>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</si>
  <si>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</si>
  <si>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</si>
  <si>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</si>
  <si>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</si>
  <si>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Helena</t>
  </si>
  <si>
    <t>SH</t>
  </si>
  <si>
    <t>Saint Kitts And Nevis</t>
  </si>
  <si>
    <t>KN</t>
  </si>
  <si>
    <t>Saint Lucia</t>
  </si>
  <si>
    <t>LC</t>
  </si>
  <si>
    <t>Saint Pierre And Miquelon</t>
  </si>
  <si>
    <t>PM</t>
  </si>
  <si>
    <t>Saint Vincent And The Grenadines</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</si>
  <si>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</si>
  <si>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</si>
  <si>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</si>
  <si>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</si>
  <si>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</si>
  <si>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</si>
  <si>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</si>
  <si>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</si>
  <si>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</si>
  <si>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</si>
  <si>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</si>
  <si>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</si>
  <si>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</si>
  <si>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</si>
  <si>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</si>
  <si>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</si>
  <si>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</si>
  <si>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</si>
  <si>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</si>
  <si>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</si>
  <si>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</si>
  <si>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</si>
  <si>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</si>
  <si>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</si>
  <si>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</si>
  <si>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</si>
  <si>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</si>
  <si>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</si>
  <si>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</si>
  <si>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South Georgia And The South Sandwich Islands</t>
  </si>
  <si>
    <t>GS</t>
  </si>
  <si>
    <t>Spain</t>
  </si>
  <si>
    <t>ES</t>
  </si>
  <si>
    <t>Sri Lanka</t>
  </si>
  <si>
    <t>LK</t>
  </si>
  <si>
    <t>Sudan</t>
  </si>
  <si>
    <t>SD</t>
  </si>
  <si>
    <t>Suriname</t>
  </si>
  <si>
    <t>SR</t>
  </si>
  <si>
    <t>Svalbard And Jan Mayen</t>
  </si>
  <si>
    <t>SJ</t>
  </si>
  <si>
    <t>Swaziland</t>
  </si>
  <si>
    <t>SZ</t>
  </si>
  <si>
    <t>Sweden</t>
  </si>
  <si>
    <t>SE</t>
  </si>
  <si>
    <t>Switzerland</t>
  </si>
  <si>
    <t>CH</t>
  </si>
  <si>
    <t>Syrian Arab Republic</t>
  </si>
  <si>
    <t>SY</t>
  </si>
  <si>
    <t>Taiwan, Province Of China</t>
  </si>
  <si>
    <t>TW</t>
  </si>
  <si>
    <t>Tajikistan</t>
  </si>
  <si>
    <t>TJ</t>
  </si>
  <si>
    <t>Tanzania, United Republic Of</t>
  </si>
  <si>
    <t>TZ</t>
  </si>
  <si>
    <t>Thailand</t>
  </si>
  <si>
    <t>TH</t>
  </si>
  <si>
    <t>Timor-Leste</t>
  </si>
  <si>
    <t>TL</t>
  </si>
  <si>
    <t>Togo</t>
  </si>
  <si>
    <t>TG</t>
  </si>
  <si>
    <t>Tokelau</t>
  </si>
  <si>
    <t>TK</t>
  </si>
  <si>
    <t>Tonga</t>
  </si>
  <si>
    <t>TO</t>
  </si>
  <si>
    <t>Trinidad And Tobago</t>
  </si>
  <si>
    <t>TT</t>
  </si>
  <si>
    <t>Tunisia</t>
  </si>
  <si>
    <t>TN</t>
  </si>
  <si>
    <t>Turkey</t>
  </si>
  <si>
    <t>TR</t>
  </si>
  <si>
    <t>Turkmenistan</t>
  </si>
  <si>
    <t>TM</t>
  </si>
  <si>
    <t>Turks And Caicos Islands</t>
  </si>
  <si>
    <t>TC</t>
  </si>
  <si>
    <t>Tuvalu</t>
  </si>
  <si>
    <t>TV</t>
  </si>
  <si>
    <t>Uganda</t>
  </si>
  <si>
    <t>UG</t>
  </si>
  <si>
    <t>Ukraine</t>
  </si>
  <si>
    <t>UA</t>
  </si>
  <si>
    <t>United Arab Emirates</t>
  </si>
  <si>
    <t>AE</t>
  </si>
  <si>
    <t>United Kingdom</t>
  </si>
  <si>
    <t>GB</t>
  </si>
  <si>
    <t>United States</t>
  </si>
  <si>
    <t>US</t>
  </si>
  <si>
    <t>United States Minor Outlying Islands</t>
  </si>
  <si>
    <t>UM</t>
  </si>
  <si>
    <t>Uruguay</t>
  </si>
  <si>
    <t>UY</t>
  </si>
  <si>
    <t>Uzbekistan</t>
  </si>
  <si>
    <t>UZ</t>
  </si>
  <si>
    <t>Vanuatu</t>
  </si>
  <si>
    <t>VU</t>
  </si>
  <si>
    <t>Venezuela</t>
  </si>
  <si>
    <t>VE</t>
  </si>
  <si>
    <t>Viet Nam</t>
  </si>
  <si>
    <t>VN</t>
  </si>
  <si>
    <t>Virgin Islands, British</t>
  </si>
  <si>
    <t>VG</t>
  </si>
  <si>
    <t>Virgin Islands, U.S.</t>
  </si>
  <si>
    <t>VI</t>
  </si>
  <si>
    <t>Wallis And Futuna</t>
  </si>
  <si>
    <t>WF</t>
  </si>
  <si>
    <t>Western Sahara</t>
  </si>
  <si>
    <t>EH</t>
  </si>
  <si>
    <t>Yemen</t>
  </si>
  <si>
    <t>YE</t>
  </si>
  <si>
    <t>Zambia</t>
  </si>
  <si>
    <t>ZM</t>
  </si>
  <si>
    <t>Zimbabwe</t>
  </si>
  <si>
    <t>ZW</t>
  </si>
  <si>
    <t>(Not Specified)</t>
  </si>
  <si>
    <t>ZZ</t>
  </si>
  <si>
    <t>Meter Types</t>
  </si>
  <si>
    <t>Coal (anthracite)</t>
  </si>
  <si>
    <t>Coal (bituminous)</t>
  </si>
  <si>
    <t>Coke</t>
  </si>
  <si>
    <t>Diesel</t>
  </si>
  <si>
    <t>District Chilled Water- Absorption Chiller Using Natural Gas</t>
  </si>
  <si>
    <t>District Chilled Water- Electric Driven Chiller</t>
  </si>
  <si>
    <t>District Chilled Water- Engine Driven Chiller Using Natural Gas</t>
  </si>
  <si>
    <t>District Chilled Water- Other</t>
  </si>
  <si>
    <t>District Hot Water</t>
  </si>
  <si>
    <t>District Steam</t>
  </si>
  <si>
    <t>Electricity-Grid Purchase</t>
  </si>
  <si>
    <t>Electricity-On-Site Solar</t>
  </si>
  <si>
    <t>Electricity-On-Site Wind</t>
  </si>
  <si>
    <t>Fuel Oil (No. 1)</t>
  </si>
  <si>
    <t>Fuel Oil (No. 2)</t>
  </si>
  <si>
    <t>Fuel Oil (No. 4)</t>
  </si>
  <si>
    <t>Fuel Oil (No. 5 and No. 6)</t>
  </si>
  <si>
    <t>Kerosene</t>
  </si>
  <si>
    <t>Liquid Propane</t>
  </si>
  <si>
    <t>Natural Gas</t>
  </si>
  <si>
    <t>Propane</t>
  </si>
  <si>
    <t>Wood</t>
  </si>
  <si>
    <t>Indoor Water</t>
  </si>
  <si>
    <t>Outdoor Water</t>
  </si>
  <si>
    <t>Indoor and Outdoor Water</t>
  </si>
  <si>
    <t>Wastewater/Sewer</t>
  </si>
  <si>
    <t>Other Water</t>
  </si>
  <si>
    <t>Units</t>
  </si>
  <si>
    <t>ccf</t>
  </si>
  <si>
    <t>cu ft</t>
  </si>
  <si>
    <t>cu m</t>
  </si>
  <si>
    <t>gal</t>
  </si>
  <si>
    <t>kBtu</t>
  </si>
  <si>
    <t>kcf</t>
  </si>
  <si>
    <t>kGal</t>
  </si>
  <si>
    <t>kLb</t>
  </si>
  <si>
    <t>kWh</t>
  </si>
  <si>
    <t>lb</t>
  </si>
  <si>
    <t>liters</t>
  </si>
  <si>
    <t>Mbtu</t>
  </si>
  <si>
    <t>Mcf</t>
  </si>
  <si>
    <t>Mgal</t>
  </si>
  <si>
    <t>MLb</t>
  </si>
  <si>
    <t>MWh</t>
  </si>
  <si>
    <t>therms</t>
  </si>
  <si>
    <t>ton hours</t>
  </si>
  <si>
    <t>tons</t>
  </si>
  <si>
    <t>Water</t>
  </si>
  <si>
    <t>mcf</t>
  </si>
  <si>
    <t>gal(UK)</t>
  </si>
  <si>
    <t>Period 
Start Date</t>
  </si>
  <si>
    <t>Period 
End Date</t>
  </si>
  <si>
    <t>A</t>
  </si>
  <si>
    <t>MGal</t>
  </si>
  <si>
    <t>cf</t>
  </si>
  <si>
    <t>Electricity</t>
  </si>
  <si>
    <t>GJ</t>
  </si>
  <si>
    <t>District Chilled Water (Absorption Chiller using Natural Gas)</t>
  </si>
  <si>
    <t>MBtu</t>
  </si>
  <si>
    <t>Lbs</t>
  </si>
  <si>
    <t>MLbs</t>
  </si>
  <si>
    <t>kg</t>
  </si>
  <si>
    <t>Waste</t>
  </si>
  <si>
    <t>VOCs</t>
  </si>
  <si>
    <t>CO2</t>
  </si>
  <si>
    <t>Other Fuels</t>
  </si>
  <si>
    <t>lbs</t>
  </si>
  <si>
    <t>l</t>
  </si>
  <si>
    <t>kGal(UK)</t>
  </si>
  <si>
    <t>MGal(UK)</t>
  </si>
  <si>
    <t>Meter name</t>
  </si>
  <si>
    <t>Unit of measurement</t>
  </si>
  <si>
    <t>Fuel type</t>
  </si>
  <si>
    <t>All Rights Reserved</t>
  </si>
  <si>
    <t>Approved LEED Dynamic Plaque -V01</t>
  </si>
  <si>
    <t>Waste Stream</t>
  </si>
  <si>
    <t>Fuel Oil (No. 5 &amp; No. 6)</t>
  </si>
  <si>
    <t>District Chilled Water (Electric Driven Chiller)</t>
  </si>
  <si>
    <t>District Chilled Water (Engine-Driven Chiller using Natural Gas)</t>
  </si>
  <si>
    <t>KLbs</t>
  </si>
  <si>
    <t>ppm</t>
  </si>
  <si>
    <t>Location</t>
  </si>
  <si>
    <t>Date</t>
  </si>
  <si>
    <t>Time</t>
  </si>
  <si>
    <t># of unique dates</t>
  </si>
  <si>
    <t>Average for each date</t>
  </si>
  <si>
    <t>Period Start Date</t>
  </si>
  <si>
    <t>B</t>
  </si>
  <si>
    <t>95th Percentile</t>
  </si>
  <si>
    <t>CO2 Reading
(ppm)</t>
  </si>
  <si>
    <t>User-entered table formatting</t>
  </si>
  <si>
    <t>Start Time</t>
  </si>
  <si>
    <t>End Time</t>
  </si>
  <si>
    <t>Average for each location</t>
  </si>
  <si>
    <t>Maximum level for each date</t>
  </si>
  <si>
    <t>TVOC Reading
(µg/m3 )</t>
  </si>
  <si>
    <t>$</t>
  </si>
  <si>
    <t>ug/m3</t>
  </si>
  <si>
    <t>Default CO2 Meter</t>
  </si>
  <si>
    <t>Visitors</t>
  </si>
  <si>
    <t>Space Name or Description</t>
  </si>
  <si>
    <t>Space Usage Type</t>
  </si>
  <si>
    <t>Regular Building Occupants</t>
  </si>
  <si>
    <t>Weighted Average Hours of Operation</t>
  </si>
  <si>
    <t>Weighted Operating Hours</t>
  </si>
  <si>
    <t>Weighted Total Building Occupants</t>
  </si>
  <si>
    <t>Step 2.</t>
  </si>
  <si>
    <t>Note: This selection must match the unit of measurement chosen during project registration.</t>
  </si>
  <si>
    <r>
      <rPr>
        <b/>
        <sz val="10"/>
        <rFont val="Arial"/>
        <family val="2"/>
      </rPr>
      <t>Step 4.</t>
    </r>
    <r>
      <rPr>
        <sz val="10"/>
        <rFont val="Arial"/>
        <family val="2"/>
      </rPr>
      <t xml:space="preserve"> </t>
    </r>
  </si>
  <si>
    <t>Step 5.</t>
  </si>
  <si>
    <t>Default TVOC Meter</t>
  </si>
  <si>
    <t>TVOCs</t>
  </si>
  <si>
    <t>Copyright © 2016</t>
  </si>
  <si>
    <t>CO2 Readings</t>
  </si>
  <si>
    <t>TVOC Readings</t>
  </si>
  <si>
    <t>Complete values on readings tab.</t>
  </si>
  <si>
    <t>Complete readings on readings tab.</t>
  </si>
  <si>
    <t>Circulation space</t>
  </si>
  <si>
    <t>Core learning space, College or university</t>
  </si>
  <si>
    <t>Core learning space, K-12 - elementary or middle school</t>
  </si>
  <si>
    <t>Core learning space, K-12 - high school</t>
  </si>
  <si>
    <t>Core learning space, Preschool or daycare</t>
  </si>
  <si>
    <t>Core learning space, Other</t>
  </si>
  <si>
    <t>Data center</t>
  </si>
  <si>
    <t>Health care, Clinic or other outpatient</t>
  </si>
  <si>
    <t>Health care, Inpatient</t>
  </si>
  <si>
    <t>Health care, Nursing home or assisted living</t>
  </si>
  <si>
    <t>Health care, Outpatient, office (diagnostic)</t>
  </si>
  <si>
    <t>Industrial manufacturing</t>
  </si>
  <si>
    <t>Laboratory </t>
  </si>
  <si>
    <t>Lodging, Dormitory</t>
  </si>
  <si>
    <t>Lodging, Hotel/motel/resort (full service)</t>
  </si>
  <si>
    <t>Lodging, Hotel/motel/resort (limited service)</t>
  </si>
  <si>
    <t>Lodging, Hotel/motel/resort (select service )</t>
  </si>
  <si>
    <t>Lodging, Inn </t>
  </si>
  <si>
    <t>Lodging, Other</t>
  </si>
  <si>
    <t>Multi-family residential, Apartment</t>
  </si>
  <si>
    <t>Multi-family residential, Condominium </t>
  </si>
  <si>
    <t>Office, Administrative or professional</t>
  </si>
  <si>
    <t>Office, Financial </t>
  </si>
  <si>
    <t>Office, Government </t>
  </si>
  <si>
    <t>Office, Medical (non-diagnostic)</t>
  </si>
  <si>
    <t>Office, Mixed-use</t>
  </si>
  <si>
    <t>Office, Other</t>
  </si>
  <si>
    <t>Public assembly, Convention center</t>
  </si>
  <si>
    <t>Public assembly, Entertainment </t>
  </si>
  <si>
    <t>Public assembly, Library </t>
  </si>
  <si>
    <t>Public assembly, Recreation </t>
  </si>
  <si>
    <t>Public assembly, Social or meeting </t>
  </si>
  <si>
    <t>Public assembly: Stadium or arena </t>
  </si>
  <si>
    <t>Public assembly, Other</t>
  </si>
  <si>
    <t>Public order and safety, Fire or police station</t>
  </si>
  <si>
    <t>Public order and safety, Other</t>
  </si>
  <si>
    <t>Religious worship </t>
  </si>
  <si>
    <t>Retail, Bank branch</t>
  </si>
  <si>
    <t>Retail, Convenience store</t>
  </si>
  <si>
    <t>Retail, Enclosed mall </t>
  </si>
  <si>
    <t>Retail, Fast food </t>
  </si>
  <si>
    <t>Retail, Grocery store or food market</t>
  </si>
  <si>
    <t>Retail, Open shopping center</t>
  </si>
  <si>
    <t>Retail, Restaurant or cafeteria </t>
  </si>
  <si>
    <t>Retail, Vehicle dealership </t>
  </si>
  <si>
    <t>Retail, Other</t>
  </si>
  <si>
    <t>Service, Post office or postal center </t>
  </si>
  <si>
    <t>Service, Repair shop </t>
  </si>
  <si>
    <t>Service, Vehicle service or repair </t>
  </si>
  <si>
    <t>Service, Vehicle storage or maintenance </t>
  </si>
  <si>
    <t>Service, Other</t>
  </si>
  <si>
    <t>Warehouse, Nonrefrigerated, distribution or shipping</t>
  </si>
  <si>
    <t>Warehouse, Refrigerated</t>
  </si>
  <si>
    <t>Warehouse, Self storage units</t>
  </si>
  <si>
    <t>Warehouse, General</t>
  </si>
  <si>
    <t>Other</t>
  </si>
  <si>
    <t>Kcm</t>
  </si>
  <si>
    <t>Purchased from Grid</t>
  </si>
  <si>
    <t>Municipality supplied potable water</t>
  </si>
  <si>
    <t>Municipality supplied reclaimed water</t>
  </si>
  <si>
    <t>Reclaimed onsite</t>
  </si>
  <si>
    <t>cGal (UK)</t>
  </si>
  <si>
    <t>cGal (US)</t>
  </si>
  <si>
    <t>Meter Source</t>
  </si>
  <si>
    <t>Data Source</t>
  </si>
  <si>
    <t>Generated onsite - solar</t>
  </si>
  <si>
    <t>Gj</t>
  </si>
  <si>
    <t>Tonnes(metric)</t>
  </si>
  <si>
    <t>Tonnes (metric)</t>
  </si>
  <si>
    <t>IP units</t>
  </si>
  <si>
    <t>Audit Number</t>
  </si>
  <si>
    <t>Carbon Monoxide</t>
  </si>
  <si>
    <t>mg/m3</t>
  </si>
  <si>
    <t>Ozone</t>
  </si>
  <si>
    <t>µg/m3</t>
  </si>
  <si>
    <t>Atmospheric Particulate Matter (PM2.5)</t>
  </si>
  <si>
    <t>Acetaldehyde</t>
  </si>
  <si>
    <t>Benzene</t>
  </si>
  <si>
    <t>Styrene</t>
  </si>
  <si>
    <t xml:space="preserve"> µg/m3</t>
  </si>
  <si>
    <t>Toluene</t>
  </si>
  <si>
    <t xml:space="preserve">Naphthalene </t>
  </si>
  <si>
    <t>Dichlorobenzene</t>
  </si>
  <si>
    <t>Xylenes-total</t>
  </si>
  <si>
    <t>Formaldehyde</t>
  </si>
  <si>
    <t xml:space="preserve">µg/m3 </t>
  </si>
  <si>
    <t>ppb</t>
  </si>
  <si>
    <t>Building</t>
  </si>
  <si>
    <t>Human Experience - CO2</t>
  </si>
  <si>
    <t>Human Experience - TVOC</t>
  </si>
  <si>
    <t>Human Experience - Inorganic contaminants (Carbon Monoxide (CO), Ozone (O3), Particulate Matter 2.5 (PM2.5))</t>
  </si>
  <si>
    <t>Human Experience - Volatile organic compounds (Acetaldehyde, Benzene, Styrene, Toluene, Naphthalene, Dichlorobenzene, Xylenes-total, Formaldehyde)</t>
  </si>
  <si>
    <t>Days per week with visitors</t>
  </si>
  <si>
    <t>Visitors per week</t>
  </si>
  <si>
    <t>Energy Performance</t>
  </si>
  <si>
    <t>Water Performance</t>
  </si>
  <si>
    <t>Waste Performance</t>
  </si>
  <si>
    <t>Transportation Performance</t>
  </si>
  <si>
    <t>Indoor Environmental Quality Performance prerequisite (Human Experience)</t>
  </si>
  <si>
    <t>Include</t>
  </si>
  <si>
    <t>Weighted Regular Building Occupants</t>
  </si>
  <si>
    <t>Weighted Visitors</t>
  </si>
  <si>
    <t>Effective date</t>
  </si>
  <si>
    <t>Adjusted Values for Category Scoring</t>
  </si>
  <si>
    <t>v4.4</t>
  </si>
  <si>
    <t>Values for Energy Performance Score (adjusted to account for spaces excluded from the prerequisite)</t>
  </si>
  <si>
    <t>Values for Water Performance Score (adjusted to account for spaces excluded from the prerequisite)</t>
  </si>
  <si>
    <t>Values for Waste Performance Score (adjusted to account for spaces excluded from the prerequisite)</t>
  </si>
  <si>
    <t>Values for Transportation Performance Score (adjusted to account for spaces excluded from the prerequisite)</t>
  </si>
  <si>
    <t>Values for Human Experience Performance Score (adjusted to account for spaces excluded from the prerequisite)</t>
  </si>
  <si>
    <t>LEED v4.1 Tenant space exclusion: Indicate whether the space is being excluded from the specific prerequisite/performance score</t>
  </si>
  <si>
    <t>Duration of Visit (in hours/day) (HH:MM)</t>
  </si>
  <si>
    <t>Totals</t>
  </si>
  <si>
    <r>
      <rPr>
        <b/>
        <sz val="16"/>
        <rFont val="Arial Black"/>
        <family val="2"/>
      </rPr>
      <t>Performance Data Upload Calculator</t>
    </r>
    <r>
      <rPr>
        <b/>
        <sz val="14"/>
        <rFont val="Arial"/>
        <family val="2"/>
      </rPr>
      <t xml:space="preserve">
</t>
    </r>
    <r>
      <rPr>
        <sz val="10"/>
        <rFont val="Arial"/>
        <family val="2"/>
      </rPr>
      <t>for Buildings and Spaces</t>
    </r>
  </si>
  <si>
    <r>
      <t xml:space="preserve">Use this calculator to upload data into the platform. </t>
    </r>
    <r>
      <rPr>
        <b/>
        <sz val="10"/>
        <rFont val="Arial"/>
        <family val="2"/>
      </rPr>
      <t>To ensure proper upload, refer to detailed steps below and the Arc tips article.</t>
    </r>
  </si>
  <si>
    <t>Year Built</t>
  </si>
  <si>
    <r>
      <t xml:space="preserve">Select the data you would like to upload. </t>
    </r>
    <r>
      <rPr>
        <i/>
        <sz val="10"/>
        <color rgb="FFFF0000"/>
        <rFont val="Arial"/>
        <family val="2"/>
      </rPr>
      <t>Note: the data must not conflict or overlap with data already in the platform (Learn more).</t>
    </r>
  </si>
  <si>
    <t>Energy - Electricity</t>
  </si>
  <si>
    <t>Energy - Other fuels</t>
  </si>
  <si>
    <t>Complete the required information for each selected tab.</t>
  </si>
  <si>
    <r>
      <t xml:space="preserve">Upload the completed file to Arc or LEED Online, as applicable. </t>
    </r>
    <r>
      <rPr>
        <i/>
        <sz val="10"/>
        <rFont val="Arial"/>
        <family val="2"/>
      </rPr>
      <t>Note: Upon upload, you will receive confirmation of success or an error message (Learn about avoiding error messages here).</t>
    </r>
  </si>
  <si>
    <t>Definitions</t>
  </si>
  <si>
    <t>Gross Floor Area</t>
  </si>
  <si>
    <t xml:space="preserve">Include basements, mezzanine and intermediate-floored tiers, and penthouses with headroom height of 7.5 ft (2.2 meters) or greater. Exclude non-enclosed (or non-enclosable) roofed-over areas, such as exterior covered walkways, porches, terraces or steps, roof overhangs, and similar features. Excludes air shafts, pipe trenches, chimneys and floor area dedicated to the parking and circulation of motor vehicles._x000D_
_x000D_
Floor area calculations are taken from the exterior faces of exterior walls OR from the centerline of walls separating buildings, OR (for Interiors projects) from the centerline of walls separating spaces. </t>
  </si>
  <si>
    <t xml:space="preserve">Weekly Operating hours </t>
  </si>
  <si>
    <t xml:space="preserve">Your weekly operating hours are the total number of hours per week where most of the building occupants are present and/or when the building is typically open for operation._x000D_
_x000D_
24/7 operation = 168 hours_x000D_
</t>
  </si>
  <si>
    <t>Regular building occupants are habitual users of the building (Examples are:  employees or staff, volunteers who regularly use the building, residents including residents of a dormitory, primary and secondary school students, hotel guests, and inpatients.) _x000D_
_x000D_
Enter a daily, time-weighted average: the typical number of occupants in the space at any given time. Count employees based on a standard eight-hour occupancy period. For example: employees = sum of all employee hours in a 24 hour period / 8</t>
  </si>
  <si>
    <t>“Visitors (also called “transients”) intermittently use the building. (Examples are: retail customers, outpatients, volunteers who periodically use the building, and higher-education students.)</t>
  </si>
  <si>
    <t>Arc Skoru</t>
  </si>
  <si>
    <t>Building Settings</t>
  </si>
  <si>
    <r>
      <t xml:space="preserve">Use this tab to determine key parameters for your project.  Definitions are included on the instructions tab.  These values are used in conjunction with your performance data to calculate the performance score(s) (Learn more).
</t>
    </r>
    <r>
      <rPr>
        <b/>
        <sz val="10"/>
        <color theme="1"/>
        <rFont val="Arial"/>
        <family val="2"/>
      </rPr>
      <t>You must enter an "effective date"</t>
    </r>
    <r>
      <rPr>
        <sz val="10"/>
        <color theme="1"/>
        <rFont val="Arial"/>
        <family val="2"/>
      </rPr>
      <t xml:space="preserve">,  which is the date this project information came into effect. If this is the first time you are uploading this information for your project, use the project registration date. Otherwise, enter the date this information changed (Need help?).  </t>
    </r>
  </si>
  <si>
    <t>Weekly Operating Hours</t>
  </si>
  <si>
    <r>
      <t xml:space="preserve">Regular Building Occupants 
</t>
    </r>
    <r>
      <rPr>
        <i/>
        <sz val="10"/>
        <rFont val="Arial"/>
        <family val="2"/>
      </rPr>
      <t>(daily average)</t>
    </r>
  </si>
  <si>
    <t># visitors each day</t>
  </si>
  <si>
    <r>
      <t xml:space="preserve">Visitors 
</t>
    </r>
    <r>
      <rPr>
        <i/>
        <sz val="10"/>
        <rFont val="Arial"/>
        <family val="2"/>
      </rPr>
      <t>(daily average)</t>
    </r>
  </si>
  <si>
    <t>Summary Building Settings for Upload</t>
  </si>
  <si>
    <t>Operating Hours</t>
  </si>
  <si>
    <t>Total Building Occupants</t>
  </si>
  <si>
    <t>Building Settings (Project size, occupants, and operating hours)</t>
  </si>
  <si>
    <t>F</t>
  </si>
  <si>
    <t>Goa</t>
  </si>
  <si>
    <t>Test 1</t>
  </si>
  <si>
    <t>Hyd</t>
  </si>
  <si>
    <t>AnalyticsEnergy Meter via upload</t>
  </si>
  <si>
    <t>AnalyticsWater meter via upload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</si>
</sst>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_(* \(#,##0.00\);_(* &quot;-&quot;??_);_(@_)"/>
    <numFmt numFmtId="164" formatCode="#,##0.00_ ;\-#,##0.00\ "/>
    <numFmt numFmtId="165" formatCode="mm/dd/yyyy"/>
    <numFmt numFmtId="166" formatCode="[$-F400]h:mm:ss\ AM/PM"/>
    <numFmt numFmtId="167" formatCode="0.0"/>
    <numFmt numFmtId="168" formatCode="0.00_ ;\-0.00\ "/>
    <numFmt numFmtId="169" formatCode="0.00;[Red]0.00"/>
    <numFmt numFmtId="170" formatCode="0;[Red]0"/>
    <numFmt numFmtId="171" formatCode="h:mm;@"/>
    <numFmt numFmtId="172" formatCode="[h]:mm:ss;@"/>
  </numFmts>
  <fonts count="35" x14ac:knownFonts="1">
    <font>
      <sz val="11"/>
      <color theme="1"/>
      <name val="Calibri"/>
      <family val="2"/>
      <scheme val="minor"/>
    </font>
    <font>
      <sz val="11"/>
      <color theme="1"/>
      <name val="Calibri"/>
      <family val="2"/>
      <scheme val="minor"/>
    </font>
    <font>
      <sz val="10"/>
      <color theme="1"/>
      <name val="Arial"/>
      <family val="2"/>
    </font>
    <font>
      <sz val="10"/>
      <name val="Arial"/>
      <family val="2"/>
    </font>
    <font>
      <sz val="9"/>
      <name val="Arial"/>
      <family val="2"/>
    </font>
    <font>
      <b/>
      <sz val="12"/>
      <name val="Arial"/>
      <family val="2"/>
    </font>
    <font>
      <sz val="8"/>
      <name val="Arial"/>
      <family val="2"/>
    </font>
    <font>
      <b/>
      <sz val="10"/>
      <name val="Arial"/>
      <family val="2"/>
    </font>
    <font>
      <sz val="9"/>
      <color theme="1"/>
      <name val="Arial"/>
      <family val="2"/>
    </font>
    <font>
      <sz val="11"/>
      <color rgb="FF000000"/>
      <name val="Calibri"/>
      <family val="2"/>
    </font>
    <font>
      <sz val="11"/>
      <color theme="0"/>
      <name val="Calibri"/>
      <family val="2"/>
      <scheme val="minor"/>
    </font>
    <font>
      <b/>
      <sz val="14"/>
      <name val="Arial"/>
      <family val="2"/>
    </font>
    <font>
      <sz val="10"/>
      <color rgb="FF000000"/>
      <name val="Arial"/>
      <family val="2"/>
    </font>
    <font>
      <b/>
      <sz val="16"/>
      <name val="Arial Black"/>
      <family val="2"/>
    </font>
    <font>
      <sz val="8"/>
      <color theme="0" tint="-4.9989318521683403E-2"/>
      <name val="Arial"/>
      <family val="2"/>
    </font>
    <font>
      <sz val="11"/>
      <name val="Calibri"/>
      <family val="2"/>
      <scheme val="minor"/>
    </font>
    <font>
      <sz val="9"/>
      <color rgb="FF000000"/>
      <name val="Arial"/>
      <family val="2"/>
    </font>
    <font>
      <sz val="10"/>
      <color theme="0"/>
      <name val="Arial"/>
      <family val="2"/>
    </font>
    <font>
      <sz val="11"/>
      <color rgb="FFFF0000"/>
      <name val="Calibri"/>
      <family val="2"/>
      <scheme val="minor"/>
    </font>
    <font>
      <b/>
      <sz val="11"/>
      <name val="Arial"/>
      <family val="2"/>
    </font>
    <font>
      <sz val="10"/>
      <color rgb="FFFF0000"/>
      <name val="Arial"/>
      <family val="2"/>
    </font>
    <font>
      <sz val="9"/>
      <color rgb="FFFF0000"/>
      <name val="Arial"/>
      <family val="2"/>
    </font>
    <font>
      <b/>
      <sz val="10"/>
      <color rgb="FFFF0000"/>
      <name val="Arial"/>
      <family val="2"/>
    </font>
    <font>
      <b/>
      <sz val="10"/>
      <color theme="0"/>
      <name val="Arial"/>
      <family val="2"/>
    </font>
    <font>
      <sz val="9"/>
      <color theme="0"/>
      <name val="Arial"/>
      <family val="2"/>
    </font>
    <font>
      <sz val="8"/>
      <color theme="0" tint="-0.499984740745262"/>
      <name val="Arial"/>
      <family val="2"/>
    </font>
    <font>
      <sz val="16"/>
      <color theme="0"/>
      <name val="Arial Black"/>
      <family val="2"/>
    </font>
    <font>
      <sz val="9"/>
      <color indexed="81"/>
      <name val="Tahoma"/>
      <family val="2"/>
    </font>
    <font>
      <sz val="8"/>
      <color theme="1"/>
      <name val="Arial"/>
      <family val="2"/>
    </font>
    <font>
      <b/>
      <sz val="10"/>
      <color theme="1"/>
      <name val="Arial"/>
      <family val="2"/>
    </font>
    <font>
      <sz val="8"/>
      <color rgb="FF000000"/>
      <name val="Segoe UI"/>
      <family val="2"/>
    </font>
    <font>
      <i/>
      <sz val="10"/>
      <color rgb="FFFF0000"/>
      <name val="Arial"/>
      <family val="2"/>
    </font>
    <font>
      <i/>
      <sz val="10"/>
      <name val="Arial"/>
      <family val="2"/>
    </font>
    <font>
      <b/>
      <sz val="11"/>
      <color theme="1"/>
      <name val="Arial"/>
      <family val="2"/>
    </font>
    <font>
      <sz val="11"/>
      <color theme="1"/>
      <name val="Arial"/>
      <family val="2"/>
    </font>
  </fonts>
  <fills count="1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rgb="FF333333"/>
        <bgColor indexed="64"/>
      </patternFill>
    </fill>
    <fill>
      <patternFill patternType="solid">
        <fgColor theme="0" tint="-0.24994659260841701"/>
        <bgColor indexed="64"/>
      </patternFill>
    </fill>
  </fills>
  <borders count="7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499984740745262"/>
      </left>
      <right/>
      <top/>
      <bottom style="thin">
        <color theme="0" tint="-0.24994659260841701"/>
      </bottom>
      <diagonal/>
    </border>
    <border>
      <left/>
      <right/>
      <top/>
      <bottom style="thin">
        <color theme="0" tint="-0.24994659260841701"/>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24994659260841701"/>
      </bottom>
      <diagonal/>
    </border>
    <border>
      <left/>
      <right/>
      <top style="thin">
        <color theme="0" tint="-0.499984740745262"/>
      </top>
      <bottom/>
      <diagonal/>
    </border>
    <border>
      <left/>
      <right/>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auto="1"/>
      </right>
      <top style="thin">
        <color theme="0" tint="-0.499984740745262"/>
      </top>
      <bottom/>
      <diagonal/>
    </border>
    <border>
      <left/>
      <right/>
      <top/>
      <bottom style="thin">
        <color theme="1" tint="0.34998626667073579"/>
      </bottom>
      <diagonal/>
    </border>
    <border>
      <left/>
      <right style="thin">
        <color theme="1" tint="0.34998626667073579"/>
      </right>
      <top/>
      <bottom/>
      <diagonal/>
    </border>
    <border>
      <left style="thin">
        <color theme="1" tint="0.34998626667073579"/>
      </left>
      <right/>
      <top style="thin">
        <color theme="1" tint="0.34998626667073579"/>
      </top>
      <bottom/>
      <diagonal/>
    </border>
    <border>
      <left style="thin">
        <color theme="1" tint="0.34998626667073579"/>
      </left>
      <right/>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14999847407452621"/>
      </left>
      <right style="thin">
        <color theme="0" tint="-0.499984740745262"/>
      </right>
      <top/>
      <bottom style="thin">
        <color theme="0" tint="-0.14999847407452621"/>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right style="thin">
        <color theme="1" tint="0.499984740745262"/>
      </right>
      <top/>
      <bottom/>
      <diagonal/>
    </border>
    <border>
      <left style="thin">
        <color theme="1" tint="0.499984740745262"/>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1" tint="0.499984740745262"/>
      </right>
      <top style="thin">
        <color theme="1" tint="0.499984740745262"/>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style="thin">
        <color theme="1" tint="0.499984740745262"/>
      </right>
      <top/>
      <bottom style="thin">
        <color theme="0" tint="-0.499984740745262"/>
      </bottom>
      <diagonal/>
    </border>
    <border>
      <left/>
      <right style="thin">
        <color theme="0" tint="-0.24994659260841701"/>
      </right>
      <top style="thin">
        <color theme="0" tint="-0.24994659260841701"/>
      </top>
      <bottom style="thin">
        <color theme="0" tint="-0.24994659260841701"/>
      </bottom>
      <diagonal/>
    </border>
    <border>
      <left style="thin">
        <color auto="1"/>
      </left>
      <right style="thin">
        <color auto="1"/>
      </right>
      <top/>
      <bottom style="thin">
        <color auto="1"/>
      </bottom>
      <diagonal/>
    </border>
    <border>
      <left/>
      <right/>
      <top style="thin">
        <color theme="1" tint="0.34998626667073579"/>
      </top>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theme="1" tint="0.499984740745262"/>
      </left>
      <right style="thin">
        <color theme="0" tint="-0.34998626667073579"/>
      </right>
      <top style="thin">
        <color theme="0" tint="-0.34998626667073579"/>
      </top>
      <bottom style="thin">
        <color theme="1" tint="0.499984740745262"/>
      </bottom>
      <diagonal/>
    </border>
    <border>
      <left style="thin">
        <color theme="0" tint="-0.34998626667073579"/>
      </left>
      <right style="thin">
        <color theme="0" tint="-0.34998626667073579"/>
      </right>
      <top style="thin">
        <color theme="0" tint="-0.34998626667073579"/>
      </top>
      <bottom style="thin">
        <color theme="1" tint="0.499984740745262"/>
      </bottom>
      <diagonal/>
    </border>
    <border>
      <left style="thin">
        <color theme="0" tint="-0.499984740745262"/>
      </left>
      <right style="thin">
        <color theme="1" tint="0.34998626667073579"/>
      </right>
      <top/>
      <bottom/>
      <diagonal/>
    </border>
  </borders>
  <cellStyleXfs count="9">
    <xf numFmtId="0" fontId="0" fillId="0" borderId="0"/>
    <xf numFmtId="0" fontId="1" fillId="0" borderId="0"/>
    <xf numFmtId="0" fontId="3" fillId="0" borderId="0"/>
    <xf numFmtId="0" fontId="3" fillId="0" borderId="0"/>
    <xf numFmtId="0" fontId="3" fillId="0" borderId="0"/>
    <xf numFmtId="0" fontId="1" fillId="0" borderId="0"/>
    <xf numFmtId="0" fontId="3" fillId="0" borderId="0"/>
    <xf numFmtId="9" fontId="3" fillId="0" borderId="0" applyFont="0" applyFill="0" applyBorder="0" applyAlignment="0" applyProtection="0"/>
    <xf numFmtId="43" fontId="1" fillId="0" borderId="0" applyFont="0" applyFill="0" applyBorder="0" applyAlignment="0" applyProtection="0"/>
  </cellStyleXfs>
  <cellXfs count="248">
    <xf numFmtId="0" fontId="0" fillId="0" borderId="0" xfId="0"/>
    <xf numFmtId="0" fontId="0" fillId="2" borderId="0" xfId="0" applyFill="1"/>
    <xf numFmtId="0" fontId="0" fillId="5" borderId="0" xfId="0" applyFill="1"/>
    <xf numFmtId="0" fontId="2" fillId="4" borderId="1" xfId="0" applyFont="1" applyFill="1" applyBorder="1" applyAlignment="1">
      <alignment horizontal="center" vertical="center" wrapText="1"/>
    </xf>
    <xf numFmtId="0" fontId="10" fillId="2" borderId="0" xfId="0" applyFont="1" applyFill="1"/>
    <xf numFmtId="0" fontId="10" fillId="2" borderId="0" xfId="0" applyFont="1" applyFill="1" applyProtection="1">
      <protection locked="0"/>
    </xf>
    <xf numFmtId="0" fontId="10" fillId="5" borderId="0" xfId="0" applyFont="1" applyFill="1"/>
    <xf numFmtId="0" fontId="0" fillId="2" borderId="0" xfId="0" applyFill="1" applyProtection="1">
      <protection locked="0"/>
    </xf>
    <xf numFmtId="0" fontId="0" fillId="2" borderId="6" xfId="0" applyFill="1" applyBorder="1" applyProtection="1">
      <protection locked="0"/>
    </xf>
    <xf numFmtId="0" fontId="0" fillId="2" borderId="6" xfId="0" applyFill="1" applyBorder="1"/>
    <xf numFmtId="0" fontId="7" fillId="2" borderId="0" xfId="3" applyFont="1" applyFill="1" applyAlignment="1">
      <alignment vertical="center"/>
    </xf>
    <xf numFmtId="0" fontId="6" fillId="2" borderId="0" xfId="3" applyFont="1" applyFill="1" applyAlignment="1">
      <alignment vertical="center"/>
    </xf>
    <xf numFmtId="0" fontId="3" fillId="2" borderId="0" xfId="3" applyFill="1" applyAlignment="1">
      <alignment vertical="center"/>
    </xf>
    <xf numFmtId="0" fontId="4" fillId="2" borderId="0" xfId="5" applyFont="1" applyFill="1" applyAlignment="1">
      <alignment vertical="center"/>
    </xf>
    <xf numFmtId="0" fontId="2" fillId="2" borderId="0" xfId="4" applyFont="1" applyFill="1" applyAlignment="1">
      <alignment vertical="center"/>
    </xf>
    <xf numFmtId="0" fontId="3" fillId="2" borderId="0" xfId="2" applyFill="1" applyAlignment="1">
      <alignment vertical="top"/>
    </xf>
    <xf numFmtId="0" fontId="0" fillId="5" borderId="0" xfId="0" applyFill="1" applyAlignment="1">
      <alignment wrapText="1"/>
    </xf>
    <xf numFmtId="0" fontId="2" fillId="2" borderId="7" xfId="0" applyFont="1" applyFill="1" applyBorder="1" applyAlignment="1">
      <alignment horizontal="left" vertical="center" indent="1"/>
    </xf>
    <xf numFmtId="0" fontId="2" fillId="2" borderId="8" xfId="0" applyFont="1" applyFill="1" applyBorder="1" applyAlignment="1">
      <alignment horizontal="left" vertical="center" indent="1"/>
    </xf>
    <xf numFmtId="0" fontId="2" fillId="2" borderId="9" xfId="0" applyFont="1" applyFill="1" applyBorder="1" applyAlignment="1">
      <alignment horizontal="left" vertical="center" indent="1"/>
    </xf>
    <xf numFmtId="0" fontId="8" fillId="3" borderId="1" xfId="0" applyFont="1" applyFill="1" applyBorder="1" applyAlignment="1" applyProtection="1">
      <alignment horizontal="left"/>
      <protection locked="0"/>
    </xf>
    <xf numFmtId="164" fontId="8" fillId="3" borderId="1" xfId="0" applyNumberFormat="1" applyFont="1" applyFill="1" applyBorder="1" applyAlignment="1" applyProtection="1">
      <alignment horizontal="right" vertical="center"/>
      <protection locked="0"/>
    </xf>
    <xf numFmtId="4" fontId="8" fillId="3" borderId="1" xfId="0" applyNumberFormat="1" applyFont="1" applyFill="1" applyBorder="1" applyAlignment="1" applyProtection="1">
      <alignment horizontal="right" vertical="center"/>
      <protection locked="0"/>
    </xf>
    <xf numFmtId="2" fontId="3" fillId="2" borderId="0" xfId="0" applyNumberFormat="1" applyFont="1" applyFill="1" applyAlignment="1">
      <alignment horizontal="left" vertical="center"/>
    </xf>
    <xf numFmtId="2" fontId="15" fillId="2" borderId="0" xfId="0" applyNumberFormat="1" applyFont="1" applyFill="1"/>
    <xf numFmtId="2" fontId="3" fillId="2" borderId="0" xfId="0" applyNumberFormat="1" applyFont="1" applyFill="1" applyAlignment="1" applyProtection="1">
      <alignment horizontal="left" vertical="center"/>
      <protection locked="0"/>
    </xf>
    <xf numFmtId="2" fontId="3" fillId="2" borderId="0" xfId="0" applyNumberFormat="1" applyFont="1" applyFill="1" applyAlignment="1">
      <alignment horizontal="right" vertical="center"/>
    </xf>
    <xf numFmtId="4" fontId="3" fillId="2" borderId="0" xfId="0" applyNumberFormat="1" applyFont="1" applyFill="1" applyAlignment="1">
      <alignment horizontal="right" vertical="center"/>
    </xf>
    <xf numFmtId="2" fontId="3" fillId="2" borderId="0" xfId="0" applyNumberFormat="1" applyFont="1" applyFill="1" applyAlignment="1" applyProtection="1">
      <alignment horizontal="right" vertical="center"/>
      <protection locked="0"/>
    </xf>
    <xf numFmtId="4" fontId="3" fillId="2" borderId="0" xfId="0" applyNumberFormat="1" applyFont="1" applyFill="1" applyAlignment="1" applyProtection="1">
      <alignment horizontal="right" vertical="center"/>
      <protection locked="0"/>
    </xf>
    <xf numFmtId="0" fontId="15" fillId="2" borderId="0" xfId="0" applyFont="1" applyFill="1"/>
    <xf numFmtId="0" fontId="8" fillId="2" borderId="1" xfId="0" applyFont="1" applyFill="1" applyBorder="1" applyAlignment="1">
      <alignment horizontal="left"/>
    </xf>
    <xf numFmtId="0" fontId="8" fillId="2" borderId="1" xfId="0" applyFont="1" applyFill="1" applyBorder="1"/>
    <xf numFmtId="0" fontId="8" fillId="2" borderId="11" xfId="0" applyFont="1" applyFill="1" applyBorder="1" applyAlignment="1">
      <alignment horizontal="left"/>
    </xf>
    <xf numFmtId="2" fontId="0" fillId="2" borderId="0" xfId="0" applyNumberFormat="1" applyFill="1"/>
    <xf numFmtId="165" fontId="8" fillId="3" borderId="1" xfId="0" applyNumberFormat="1" applyFont="1" applyFill="1" applyBorder="1" applyAlignment="1" applyProtection="1">
      <alignment horizontal="left" vertical="center"/>
      <protection locked="0"/>
    </xf>
    <xf numFmtId="0" fontId="18" fillId="5" borderId="0" xfId="0" applyFont="1" applyFill="1"/>
    <xf numFmtId="0" fontId="17" fillId="2" borderId="0" xfId="0" applyFont="1" applyFill="1" applyAlignment="1">
      <alignment horizontal="center" vertical="center"/>
    </xf>
    <xf numFmtId="0" fontId="17" fillId="0" borderId="0" xfId="0" applyFont="1" applyAlignment="1">
      <alignment horizontal="left" vertical="center"/>
    </xf>
    <xf numFmtId="0" fontId="3" fillId="0" borderId="0" xfId="0" applyFont="1" applyAlignment="1">
      <alignment horizontal="left" vertical="center"/>
    </xf>
    <xf numFmtId="0" fontId="19" fillId="0" borderId="0" xfId="0" applyFont="1" applyAlignment="1">
      <alignment horizontal="left" vertical="center"/>
    </xf>
    <xf numFmtId="0" fontId="3" fillId="6" borderId="14" xfId="0" applyFont="1" applyFill="1" applyBorder="1" applyAlignment="1">
      <alignment horizontal="center" vertical="center"/>
    </xf>
    <xf numFmtId="0" fontId="3" fillId="6" borderId="24" xfId="0" applyFont="1" applyFill="1" applyBorder="1" applyAlignment="1">
      <alignment horizontal="center" vertical="center"/>
    </xf>
    <xf numFmtId="14" fontId="3" fillId="6" borderId="24" xfId="0" applyNumberFormat="1" applyFont="1" applyFill="1" applyBorder="1" applyAlignment="1">
      <alignment horizontal="center" vertical="center"/>
    </xf>
    <xf numFmtId="166" fontId="3" fillId="6" borderId="24" xfId="0" applyNumberFormat="1" applyFont="1" applyFill="1" applyBorder="1" applyAlignment="1">
      <alignment horizontal="center" vertical="center"/>
    </xf>
    <xf numFmtId="0" fontId="3" fillId="6" borderId="15" xfId="0" applyFont="1" applyFill="1" applyBorder="1" applyAlignment="1">
      <alignment horizontal="center" vertical="center" wrapText="1"/>
    </xf>
    <xf numFmtId="14" fontId="3" fillId="0" borderId="0" xfId="0" applyNumberFormat="1" applyFont="1" applyAlignment="1">
      <alignment horizontal="left" vertical="center"/>
    </xf>
    <xf numFmtId="0" fontId="3" fillId="6" borderId="19" xfId="0" applyFont="1" applyFill="1" applyBorder="1" applyAlignment="1">
      <alignment horizontal="center" vertical="center"/>
    </xf>
    <xf numFmtId="0" fontId="4" fillId="0" borderId="26" xfId="0" applyFont="1" applyBorder="1" applyAlignment="1">
      <alignment horizontal="left" vertical="center" indent="1"/>
    </xf>
    <xf numFmtId="0" fontId="3" fillId="0" borderId="27" xfId="0" applyFont="1" applyBorder="1" applyAlignment="1">
      <alignment horizontal="left" vertical="center"/>
    </xf>
    <xf numFmtId="0" fontId="3" fillId="6" borderId="25" xfId="0" applyFont="1" applyFill="1" applyBorder="1" applyAlignment="1">
      <alignment horizontal="center" vertical="center" wrapText="1"/>
    </xf>
    <xf numFmtId="0" fontId="4" fillId="0" borderId="0" xfId="0" applyFont="1" applyAlignment="1">
      <alignment horizontal="center" vertical="center" wrapText="1"/>
    </xf>
    <xf numFmtId="14" fontId="4" fillId="0" borderId="1" xfId="0" applyNumberFormat="1" applyFont="1" applyBorder="1" applyAlignment="1">
      <alignment horizontal="left" vertical="center"/>
    </xf>
    <xf numFmtId="167" fontId="4" fillId="0" borderId="1" xfId="0" applyNumberFormat="1" applyFont="1" applyBorder="1" applyAlignment="1">
      <alignment horizontal="right" vertical="center"/>
    </xf>
    <xf numFmtId="0" fontId="4" fillId="0" borderId="12" xfId="0" applyFont="1" applyBorder="1" applyAlignment="1">
      <alignment horizontal="center" vertical="center"/>
    </xf>
    <xf numFmtId="0" fontId="3" fillId="7" borderId="13" xfId="0" applyFont="1" applyFill="1" applyBorder="1" applyAlignment="1">
      <alignment horizontal="left" vertical="center" indent="1"/>
    </xf>
    <xf numFmtId="0" fontId="3" fillId="7" borderId="31" xfId="0" applyFont="1" applyFill="1" applyBorder="1" applyAlignment="1">
      <alignment horizontal="left" vertical="center"/>
    </xf>
    <xf numFmtId="0" fontId="3" fillId="7" borderId="32" xfId="0" applyFont="1" applyFill="1" applyBorder="1" applyAlignment="1">
      <alignment horizontal="left" vertical="center" indent="1"/>
    </xf>
    <xf numFmtId="0" fontId="3" fillId="0" borderId="33" xfId="0" applyFont="1" applyBorder="1" applyAlignment="1">
      <alignment horizontal="left" vertical="center"/>
    </xf>
    <xf numFmtId="0" fontId="20" fillId="0" borderId="0" xfId="0" applyFont="1" applyAlignment="1">
      <alignment horizontal="left" vertical="center"/>
    </xf>
    <xf numFmtId="0" fontId="21" fillId="0" borderId="0" xfId="0" applyFont="1" applyAlignment="1">
      <alignment horizontal="center"/>
    </xf>
    <xf numFmtId="0" fontId="3" fillId="6" borderId="34" xfId="0" applyFont="1" applyFill="1" applyBorder="1" applyAlignment="1">
      <alignment vertical="center"/>
    </xf>
    <xf numFmtId="0" fontId="3" fillId="6" borderId="22" xfId="0" applyFont="1" applyFill="1" applyBorder="1" applyAlignment="1">
      <alignment vertical="center"/>
    </xf>
    <xf numFmtId="0" fontId="3" fillId="6" borderId="0" xfId="0" applyFont="1" applyFill="1" applyAlignment="1">
      <alignment vertical="center"/>
    </xf>
    <xf numFmtId="0" fontId="3" fillId="6" borderId="18" xfId="0" applyFont="1" applyFill="1" applyBorder="1" applyAlignment="1">
      <alignment vertical="center"/>
    </xf>
    <xf numFmtId="0" fontId="3" fillId="6" borderId="35" xfId="0" applyFont="1" applyFill="1" applyBorder="1" applyAlignment="1">
      <alignment vertical="center"/>
    </xf>
    <xf numFmtId="0" fontId="3" fillId="6" borderId="29" xfId="0" applyFont="1" applyFill="1" applyBorder="1" applyAlignment="1">
      <alignment vertical="center"/>
    </xf>
    <xf numFmtId="0" fontId="22" fillId="0" borderId="0" xfId="0" applyFont="1" applyAlignment="1">
      <alignment horizontal="center" vertical="center"/>
    </xf>
    <xf numFmtId="0" fontId="23" fillId="2" borderId="0" xfId="0" applyFont="1" applyFill="1" applyAlignment="1">
      <alignment horizontal="center" vertical="center"/>
    </xf>
    <xf numFmtId="0" fontId="24" fillId="0" borderId="0" xfId="0" applyFont="1" applyAlignment="1">
      <alignment horizontal="center"/>
    </xf>
    <xf numFmtId="168" fontId="8" fillId="3" borderId="1" xfId="0" applyNumberFormat="1" applyFont="1" applyFill="1" applyBorder="1" applyAlignment="1" applyProtection="1">
      <alignment horizontal="right" vertical="center"/>
      <protection locked="0"/>
    </xf>
    <xf numFmtId="0" fontId="3" fillId="6" borderId="30" xfId="0" applyFont="1" applyFill="1" applyBorder="1" applyAlignment="1">
      <alignment horizontal="center" vertical="center"/>
    </xf>
    <xf numFmtId="14" fontId="4" fillId="0" borderId="0" xfId="0" applyNumberFormat="1" applyFont="1" applyAlignment="1">
      <alignment horizontal="center" vertical="center"/>
    </xf>
    <xf numFmtId="166" fontId="3" fillId="6" borderId="36" xfId="0" applyNumberFormat="1" applyFont="1" applyFill="1" applyBorder="1" applyAlignment="1">
      <alignment horizontal="center" vertical="center"/>
    </xf>
    <xf numFmtId="0" fontId="3" fillId="6" borderId="30" xfId="0" applyFont="1" applyFill="1" applyBorder="1" applyAlignment="1">
      <alignment horizontal="center" vertical="center" wrapText="1"/>
    </xf>
    <xf numFmtId="0" fontId="8" fillId="3" borderId="16" xfId="0" applyFont="1" applyFill="1" applyBorder="1" applyAlignment="1" applyProtection="1">
      <alignment horizontal="left" vertical="center"/>
      <protection locked="0"/>
    </xf>
    <xf numFmtId="0" fontId="8" fillId="3" borderId="10" xfId="0" applyFont="1" applyFill="1" applyBorder="1" applyAlignment="1" applyProtection="1">
      <alignment horizontal="left" vertical="center"/>
      <protection locked="0"/>
    </xf>
    <xf numFmtId="0" fontId="0" fillId="3" borderId="0" xfId="0" applyFill="1" applyProtection="1">
      <protection locked="0"/>
    </xf>
    <xf numFmtId="0" fontId="0" fillId="3" borderId="0" xfId="0" applyFill="1"/>
    <xf numFmtId="0" fontId="14" fillId="3" borderId="0" xfId="0" applyFont="1" applyFill="1"/>
    <xf numFmtId="0" fontId="8" fillId="3" borderId="10" xfId="1" applyFont="1" applyFill="1" applyBorder="1" applyAlignment="1">
      <alignment horizontal="left" vertical="center"/>
    </xf>
    <xf numFmtId="0" fontId="2" fillId="3" borderId="10" xfId="1" applyFont="1" applyFill="1" applyBorder="1" applyAlignment="1">
      <alignment horizontal="left" vertical="center"/>
    </xf>
    <xf numFmtId="0" fontId="15" fillId="3" borderId="0" xfId="0" applyFont="1" applyFill="1"/>
    <xf numFmtId="0" fontId="0" fillId="2" borderId="20" xfId="0" applyFill="1" applyBorder="1"/>
    <xf numFmtId="0" fontId="10" fillId="2" borderId="34" xfId="0" applyFont="1" applyFill="1" applyBorder="1"/>
    <xf numFmtId="0" fontId="0" fillId="2" borderId="34" xfId="0" applyFill="1" applyBorder="1"/>
    <xf numFmtId="0" fontId="0" fillId="2" borderId="41" xfId="0" applyFill="1" applyBorder="1"/>
    <xf numFmtId="0" fontId="0" fillId="2" borderId="22" xfId="0" applyFill="1" applyBorder="1"/>
    <xf numFmtId="0" fontId="0" fillId="2" borderId="21" xfId="0" applyFill="1" applyBorder="1"/>
    <xf numFmtId="0" fontId="0" fillId="2" borderId="18" xfId="0" applyFill="1" applyBorder="1"/>
    <xf numFmtId="0" fontId="25" fillId="3" borderId="0" xfId="0" applyFont="1" applyFill="1" applyAlignment="1">
      <alignment horizontal="right"/>
    </xf>
    <xf numFmtId="165" fontId="8" fillId="3" borderId="10" xfId="0" applyNumberFormat="1" applyFont="1" applyFill="1" applyBorder="1" applyAlignment="1" applyProtection="1">
      <alignment horizontal="left" vertical="center"/>
      <protection locked="0"/>
    </xf>
    <xf numFmtId="169" fontId="8" fillId="3" borderId="17" xfId="0" applyNumberFormat="1" applyFont="1" applyFill="1" applyBorder="1" applyAlignment="1" applyProtection="1">
      <alignment horizontal="right" vertical="center"/>
      <protection locked="0"/>
    </xf>
    <xf numFmtId="169" fontId="4" fillId="0" borderId="23" xfId="0" applyNumberFormat="1" applyFont="1" applyBorder="1" applyAlignment="1">
      <alignment horizontal="right" vertical="center"/>
    </xf>
    <xf numFmtId="169" fontId="3" fillId="0" borderId="0" xfId="0" applyNumberFormat="1" applyFont="1" applyAlignment="1">
      <alignment horizontal="left" vertical="center"/>
    </xf>
    <xf numFmtId="169" fontId="4" fillId="0" borderId="12" xfId="0" applyNumberFormat="1" applyFont="1" applyBorder="1" applyAlignment="1">
      <alignment horizontal="right" vertical="center"/>
    </xf>
    <xf numFmtId="169" fontId="4" fillId="0" borderId="0" xfId="0" applyNumberFormat="1" applyFont="1" applyAlignment="1">
      <alignment horizontal="center" vertical="center"/>
    </xf>
    <xf numFmtId="20" fontId="8" fillId="3" borderId="10" xfId="0" applyNumberFormat="1" applyFont="1" applyFill="1" applyBorder="1" applyAlignment="1" applyProtection="1">
      <alignment horizontal="left" vertical="center"/>
      <protection locked="0"/>
    </xf>
    <xf numFmtId="20" fontId="8" fillId="3" borderId="37" xfId="0" applyNumberFormat="1" applyFont="1" applyFill="1" applyBorder="1" applyAlignment="1" applyProtection="1">
      <alignment horizontal="left" vertical="center"/>
      <protection locked="0"/>
    </xf>
    <xf numFmtId="0" fontId="2" fillId="2" borderId="0" xfId="0" applyFont="1" applyFill="1" applyAlignment="1">
      <alignment horizontal="left" vertical="center" indent="1"/>
    </xf>
    <xf numFmtId="0" fontId="2" fillId="8" borderId="0" xfId="1" applyFont="1" applyFill="1"/>
    <xf numFmtId="0" fontId="2" fillId="0" borderId="0" xfId="1" applyFont="1"/>
    <xf numFmtId="0" fontId="26" fillId="8" borderId="0" xfId="1" applyFont="1" applyFill="1" applyAlignment="1">
      <alignment vertical="center"/>
    </xf>
    <xf numFmtId="0" fontId="17" fillId="8" borderId="0" xfId="1" applyFont="1" applyFill="1" applyAlignment="1">
      <alignment vertical="center" wrapText="1"/>
    </xf>
    <xf numFmtId="0" fontId="2" fillId="0" borderId="0" xfId="0" applyFont="1"/>
    <xf numFmtId="0" fontId="2" fillId="6" borderId="0" xfId="0" applyFont="1" applyFill="1" applyAlignment="1">
      <alignment horizontal="left" vertical="center" wrapText="1"/>
    </xf>
    <xf numFmtId="0" fontId="2" fillId="6" borderId="44" xfId="0" applyFont="1" applyFill="1" applyBorder="1" applyAlignment="1">
      <alignment horizontal="left" vertical="center" wrapText="1"/>
    </xf>
    <xf numFmtId="0" fontId="2" fillId="6" borderId="44" xfId="0" applyFont="1" applyFill="1" applyBorder="1" applyAlignment="1">
      <alignment horizontal="center" vertical="center" wrapText="1"/>
    </xf>
    <xf numFmtId="0" fontId="2" fillId="6" borderId="45" xfId="1" applyFont="1" applyFill="1" applyBorder="1" applyAlignment="1">
      <alignment horizontal="center" vertical="top"/>
    </xf>
    <xf numFmtId="0" fontId="3" fillId="6" borderId="45" xfId="2" applyFill="1" applyBorder="1" applyAlignment="1">
      <alignment horizontal="center" vertical="top" wrapText="1"/>
    </xf>
    <xf numFmtId="0" fontId="3" fillId="6" borderId="46" xfId="2" applyFill="1" applyBorder="1" applyAlignment="1">
      <alignment horizontal="center" vertical="top" wrapText="1"/>
    </xf>
    <xf numFmtId="0" fontId="3" fillId="6" borderId="47" xfId="2" applyFill="1" applyBorder="1" applyAlignment="1">
      <alignment horizontal="center" vertical="top" wrapText="1"/>
    </xf>
    <xf numFmtId="0" fontId="3" fillId="6" borderId="48" xfId="2" applyFill="1" applyBorder="1" applyAlignment="1">
      <alignment horizontal="center" vertical="top" wrapText="1"/>
    </xf>
    <xf numFmtId="0" fontId="3" fillId="6" borderId="32" xfId="2" applyFill="1" applyBorder="1" applyAlignment="1">
      <alignment horizontal="center" vertical="center" wrapText="1"/>
    </xf>
    <xf numFmtId="0" fontId="17" fillId="0" borderId="0" xfId="0" applyFont="1" applyProtection="1">
      <protection hidden="1"/>
    </xf>
    <xf numFmtId="0" fontId="8" fillId="3" borderId="49" xfId="0" applyFont="1" applyFill="1" applyBorder="1" applyAlignment="1" applyProtection="1">
      <alignment horizontal="left" vertical="center"/>
      <protection locked="0"/>
    </xf>
    <xf numFmtId="3" fontId="4" fillId="3" borderId="50" xfId="8" applyNumberFormat="1" applyFont="1" applyFill="1" applyBorder="1" applyAlignment="1" applyProtection="1">
      <alignment horizontal="right" vertical="center" indent="1"/>
      <protection locked="0"/>
    </xf>
    <xf numFmtId="4" fontId="4" fillId="3" borderId="50" xfId="8" applyNumberFormat="1" applyFont="1" applyFill="1" applyBorder="1" applyAlignment="1" applyProtection="1">
      <alignment horizontal="right" vertical="center" indent="1"/>
      <protection locked="0"/>
    </xf>
    <xf numFmtId="0" fontId="4" fillId="3" borderId="10" xfId="8" applyNumberFormat="1" applyFont="1" applyFill="1" applyBorder="1" applyAlignment="1" applyProtection="1">
      <alignment horizontal="left" vertical="center"/>
      <protection locked="0"/>
    </xf>
    <xf numFmtId="3" fontId="4" fillId="0" borderId="52" xfId="8" applyNumberFormat="1" applyFont="1" applyBorder="1" applyAlignment="1">
      <alignment horizontal="right" vertical="center" indent="1"/>
    </xf>
    <xf numFmtId="3" fontId="4" fillId="0" borderId="60" xfId="8" applyNumberFormat="1" applyFont="1" applyBorder="1" applyAlignment="1">
      <alignment horizontal="right" vertical="center" indent="1"/>
    </xf>
    <xf numFmtId="0" fontId="2" fillId="0" borderId="61" xfId="0" applyFont="1" applyBorder="1"/>
    <xf numFmtId="0" fontId="7" fillId="0" borderId="0" xfId="5" applyFont="1" applyAlignment="1">
      <alignment horizontal="left" vertical="top"/>
    </xf>
    <xf numFmtId="0" fontId="3" fillId="0" borderId="0" xfId="5" applyFont="1" applyAlignment="1">
      <alignment horizontal="left" vertical="top" wrapText="1"/>
    </xf>
    <xf numFmtId="0" fontId="3" fillId="0" borderId="0" xfId="4"/>
    <xf numFmtId="0" fontId="3" fillId="0" borderId="0" xfId="3"/>
    <xf numFmtId="0" fontId="3" fillId="0" borderId="0" xfId="5" applyFont="1" applyAlignment="1">
      <alignment vertical="top"/>
    </xf>
    <xf numFmtId="0" fontId="4" fillId="3" borderId="12" xfId="5" applyFont="1" applyFill="1" applyBorder="1" applyAlignment="1" applyProtection="1">
      <alignment horizontal="left" vertical="center" indent="1"/>
      <protection locked="0"/>
    </xf>
    <xf numFmtId="0" fontId="4" fillId="0" borderId="0" xfId="5" applyFont="1" applyAlignment="1">
      <alignment vertical="center"/>
    </xf>
    <xf numFmtId="0" fontId="2" fillId="0" borderId="0" xfId="3" applyFont="1" applyAlignment="1">
      <alignment vertical="center"/>
    </xf>
    <xf numFmtId="0" fontId="7" fillId="0" borderId="0" xfId="2" applyFont="1" applyAlignment="1">
      <alignment vertical="top"/>
    </xf>
    <xf numFmtId="0" fontId="3" fillId="0" borderId="0" xfId="2" applyAlignment="1">
      <alignment vertical="top"/>
    </xf>
    <xf numFmtId="0" fontId="14" fillId="0" borderId="0" xfId="0" applyFont="1"/>
    <xf numFmtId="0" fontId="0" fillId="0" borderId="35" xfId="0" applyBorder="1"/>
    <xf numFmtId="0" fontId="0" fillId="0" borderId="62" xfId="0" applyBorder="1"/>
    <xf numFmtId="0" fontId="8" fillId="3" borderId="64" xfId="1" applyFont="1" applyFill="1" applyBorder="1" applyAlignment="1">
      <alignment horizontal="left" vertical="center"/>
    </xf>
    <xf numFmtId="0" fontId="0" fillId="0" borderId="63" xfId="0" applyBorder="1"/>
    <xf numFmtId="0" fontId="8" fillId="2" borderId="0" xfId="0" applyFont="1" applyFill="1"/>
    <xf numFmtId="0" fontId="28" fillId="2" borderId="0" xfId="0" applyFont="1" applyFill="1" applyAlignment="1">
      <alignment horizontal="left" vertical="center" indent="1"/>
    </xf>
    <xf numFmtId="0" fontId="3" fillId="0" borderId="0" xfId="2" applyAlignment="1">
      <alignment horizontal="center" vertical="center" wrapText="1"/>
    </xf>
    <xf numFmtId="0" fontId="17" fillId="8" borderId="0" xfId="1" applyFont="1" applyFill="1"/>
    <xf numFmtId="0" fontId="17" fillId="0" borderId="0" xfId="0" applyFont="1"/>
    <xf numFmtId="0" fontId="17" fillId="0" borderId="43" xfId="0" applyFont="1" applyBorder="1"/>
    <xf numFmtId="0" fontId="17" fillId="0" borderId="53" xfId="0" applyFont="1" applyBorder="1"/>
    <xf numFmtId="2" fontId="2" fillId="0" borderId="0" xfId="0" applyNumberFormat="1" applyFont="1"/>
    <xf numFmtId="165" fontId="4" fillId="0" borderId="23" xfId="0" applyNumberFormat="1" applyFont="1" applyBorder="1" applyAlignment="1">
      <alignment horizontal="center" vertical="center"/>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8" fillId="3" borderId="11" xfId="0" applyFont="1" applyFill="1" applyBorder="1" applyAlignment="1" applyProtection="1">
      <alignment horizontal="left"/>
      <protection locked="0"/>
    </xf>
    <xf numFmtId="0" fontId="8" fillId="3" borderId="11" xfId="0" applyFont="1" applyFill="1" applyBorder="1" applyAlignment="1" applyProtection="1">
      <alignment horizontal="left" vertical="center" wrapText="1" shrinkToFit="1"/>
      <protection locked="0"/>
    </xf>
    <xf numFmtId="4" fontId="8" fillId="3" borderId="11" xfId="0" applyNumberFormat="1" applyFont="1" applyFill="1" applyBorder="1" applyAlignment="1" applyProtection="1">
      <alignment horizontal="left" vertical="center"/>
      <protection locked="0"/>
    </xf>
    <xf numFmtId="0" fontId="2" fillId="4" borderId="65" xfId="0" applyFont="1" applyFill="1" applyBorder="1" applyAlignment="1">
      <alignment horizontal="center" vertical="center" wrapText="1"/>
    </xf>
    <xf numFmtId="0" fontId="0" fillId="2" borderId="4" xfId="0" applyFill="1" applyBorder="1"/>
    <xf numFmtId="4" fontId="2" fillId="2" borderId="6" xfId="0" applyNumberFormat="1" applyFont="1" applyFill="1" applyBorder="1" applyAlignment="1">
      <alignment horizontal="right" vertical="center"/>
    </xf>
    <xf numFmtId="0" fontId="0" fillId="2" borderId="9" xfId="0" applyFill="1" applyBorder="1"/>
    <xf numFmtId="0" fontId="24" fillId="0" borderId="1" xfId="0" applyFont="1" applyBorder="1" applyAlignment="1">
      <alignment horizontal="left"/>
    </xf>
    <xf numFmtId="4" fontId="4" fillId="0" borderId="56" xfId="8" applyNumberFormat="1" applyFont="1" applyBorder="1" applyAlignment="1">
      <alignment horizontal="right" vertical="center" indent="1"/>
    </xf>
    <xf numFmtId="3" fontId="4" fillId="0" borderId="59" xfId="8" applyNumberFormat="1" applyFont="1" applyBorder="1" applyAlignment="1">
      <alignment horizontal="right" vertical="center" indent="1"/>
    </xf>
    <xf numFmtId="4" fontId="4" fillId="0" borderId="52" xfId="8" applyNumberFormat="1" applyFont="1" applyBorder="1" applyAlignment="1">
      <alignment horizontal="right" vertical="center" indent="1"/>
    </xf>
    <xf numFmtId="0" fontId="8" fillId="3" borderId="11" xfId="0" applyFont="1" applyFill="1" applyBorder="1" applyAlignment="1">
      <alignment horizontal="left"/>
    </xf>
    <xf numFmtId="4" fontId="8" fillId="3" borderId="11" xfId="0" applyNumberFormat="1" applyFont="1" applyFill="1" applyBorder="1" applyAlignment="1">
      <alignment horizontal="left" vertical="center"/>
    </xf>
    <xf numFmtId="165" fontId="8" fillId="2" borderId="0" xfId="0" applyNumberFormat="1" applyFont="1" applyFill="1" applyAlignment="1" applyProtection="1">
      <alignment horizontal="left" vertical="center"/>
      <protection locked="0"/>
    </xf>
    <xf numFmtId="0" fontId="0" fillId="2" borderId="0" xfId="0" applyFill="1" applyBorder="1"/>
    <xf numFmtId="0" fontId="2" fillId="2" borderId="0" xfId="0" applyFont="1" applyFill="1"/>
    <xf numFmtId="0" fontId="2" fillId="6" borderId="57" xfId="0" applyFont="1" applyFill="1" applyBorder="1" applyAlignment="1">
      <alignment horizontal="left" vertical="center" indent="1"/>
    </xf>
    <xf numFmtId="0" fontId="2" fillId="4" borderId="0" xfId="0" applyFont="1" applyFill="1" applyAlignment="1">
      <alignment horizontal="center" vertical="center" wrapText="1"/>
    </xf>
    <xf numFmtId="0" fontId="2" fillId="9" borderId="46" xfId="0" applyFont="1" applyFill="1" applyBorder="1" applyAlignment="1">
      <alignment horizontal="center" vertical="center" wrapText="1"/>
    </xf>
    <xf numFmtId="0" fontId="2" fillId="0" borderId="0" xfId="0" applyFont="1" applyBorder="1" applyAlignment="1">
      <alignment horizontal="left" vertical="center" wrapText="1"/>
    </xf>
    <xf numFmtId="3" fontId="4" fillId="2" borderId="0" xfId="8" applyNumberFormat="1" applyFont="1" applyFill="1" applyBorder="1" applyAlignment="1">
      <alignment horizontal="right" vertical="center" indent="1"/>
    </xf>
    <xf numFmtId="3" fontId="4" fillId="0" borderId="0" xfId="8" applyNumberFormat="1" applyFont="1" applyBorder="1" applyAlignment="1">
      <alignment horizontal="right" vertical="center" indent="1"/>
    </xf>
    <xf numFmtId="0" fontId="3" fillId="6" borderId="47" xfId="2" applyFill="1" applyBorder="1" applyAlignment="1">
      <alignment horizontal="center" vertical="center" wrapText="1"/>
    </xf>
    <xf numFmtId="0" fontId="2" fillId="6" borderId="31" xfId="0" applyFont="1" applyFill="1" applyBorder="1"/>
    <xf numFmtId="0" fontId="2" fillId="6" borderId="46" xfId="0" applyFont="1" applyFill="1" applyBorder="1" applyAlignment="1">
      <alignment horizontal="left" vertical="center" wrapText="1"/>
    </xf>
    <xf numFmtId="0" fontId="2" fillId="6" borderId="68" xfId="0" applyFont="1" applyFill="1" applyBorder="1" applyAlignment="1">
      <alignment horizontal="left" vertical="center" indent="1"/>
    </xf>
    <xf numFmtId="0" fontId="2" fillId="0" borderId="0" xfId="0" applyFont="1" applyBorder="1"/>
    <xf numFmtId="0" fontId="29" fillId="0" borderId="0" xfId="0" applyFont="1"/>
    <xf numFmtId="0" fontId="2" fillId="0" borderId="0" xfId="1" applyFont="1" applyFill="1" applyBorder="1" applyAlignment="1">
      <alignment horizontal="center" vertical="center" wrapText="1"/>
    </xf>
    <xf numFmtId="3" fontId="4" fillId="0" borderId="0" xfId="8" applyNumberFormat="1" applyFont="1" applyFill="1" applyBorder="1" applyAlignment="1" applyProtection="1">
      <alignment horizontal="center" vertical="center"/>
      <protection locked="0"/>
    </xf>
    <xf numFmtId="0" fontId="2" fillId="2" borderId="0" xfId="1" applyFont="1" applyFill="1" applyBorder="1" applyAlignment="1">
      <alignment horizontal="center" vertical="center" wrapText="1"/>
    </xf>
    <xf numFmtId="3" fontId="4" fillId="2" borderId="0" xfId="8" applyNumberFormat="1" applyFont="1" applyFill="1" applyBorder="1" applyAlignment="1" applyProtection="1">
      <alignment horizontal="center" vertical="center"/>
      <protection locked="0"/>
    </xf>
    <xf numFmtId="0" fontId="2" fillId="6" borderId="67" xfId="0" applyFont="1" applyFill="1" applyBorder="1" applyAlignment="1">
      <alignment horizontal="left" vertical="center" indent="1"/>
    </xf>
    <xf numFmtId="0" fontId="2" fillId="9" borderId="70" xfId="0" applyFont="1" applyFill="1" applyBorder="1" applyAlignment="1">
      <alignment horizontal="left" vertical="center" wrapText="1"/>
    </xf>
    <xf numFmtId="0" fontId="2" fillId="4" borderId="66" xfId="0" applyFont="1" applyFill="1" applyBorder="1" applyAlignment="1">
      <alignment horizontal="right" vertical="center" wrapText="1"/>
    </xf>
    <xf numFmtId="0" fontId="2" fillId="0" borderId="0" xfId="0" applyFont="1" applyAlignment="1">
      <alignment horizontal="right"/>
    </xf>
    <xf numFmtId="0" fontId="3" fillId="0" borderId="73" xfId="2" applyFill="1" applyBorder="1" applyAlignment="1">
      <alignment horizontal="center" vertical="center" wrapText="1"/>
    </xf>
    <xf numFmtId="0" fontId="2" fillId="0" borderId="73" xfId="0" applyFont="1" applyFill="1" applyBorder="1"/>
    <xf numFmtId="170" fontId="17" fillId="0" borderId="43" xfId="1" applyNumberFormat="1" applyFont="1" applyBorder="1"/>
    <xf numFmtId="4" fontId="4" fillId="2" borderId="51" xfId="8" applyNumberFormat="1" applyFont="1" applyFill="1" applyBorder="1" applyAlignment="1">
      <alignment horizontal="right" vertical="center" indent="1"/>
    </xf>
    <xf numFmtId="4" fontId="4" fillId="0" borderId="38" xfId="8" applyNumberFormat="1" applyFont="1" applyBorder="1" applyAlignment="1">
      <alignment horizontal="right" vertical="center" indent="1"/>
    </xf>
    <xf numFmtId="171" fontId="4" fillId="3" borderId="10" xfId="8" applyNumberFormat="1" applyFont="1" applyFill="1" applyBorder="1" applyAlignment="1" applyProtection="1">
      <alignment horizontal="right" vertical="center" indent="1"/>
      <protection locked="0" hidden="1"/>
    </xf>
    <xf numFmtId="172" fontId="4" fillId="0" borderId="52" xfId="8" applyNumberFormat="1" applyFont="1" applyBorder="1" applyAlignment="1" applyProtection="1">
      <alignment horizontal="right" vertical="center" indent="1"/>
      <protection hidden="1"/>
    </xf>
    <xf numFmtId="0" fontId="2" fillId="4" borderId="1" xfId="0" applyFont="1" applyFill="1" applyBorder="1" applyAlignment="1" applyProtection="1">
      <alignment horizontal="center" vertical="center" wrapText="1"/>
      <protection locked="0"/>
    </xf>
    <xf numFmtId="165" fontId="2" fillId="3" borderId="12" xfId="0" applyNumberFormat="1" applyFont="1" applyFill="1" applyBorder="1" applyProtection="1">
      <protection locked="0"/>
    </xf>
    <xf numFmtId="0" fontId="4" fillId="0" borderId="0" xfId="5" applyFont="1" applyAlignment="1">
      <alignment vertical="top"/>
    </xf>
    <xf numFmtId="0" fontId="0" fillId="0" borderId="0" xfId="0" applyFill="1" applyBorder="1"/>
    <xf numFmtId="0" fontId="14" fillId="0" borderId="0" xfId="0" applyFont="1" applyFill="1" applyBorder="1"/>
    <xf numFmtId="0" fontId="0" fillId="0" borderId="20" xfId="0" applyFill="1" applyBorder="1"/>
    <xf numFmtId="0" fontId="0" fillId="0" borderId="34" xfId="0" applyFill="1" applyBorder="1"/>
    <xf numFmtId="0" fontId="14" fillId="0" borderId="34" xfId="0" applyFont="1" applyFill="1" applyBorder="1"/>
    <xf numFmtId="0" fontId="15" fillId="0" borderId="22" xfId="0" applyFont="1" applyFill="1" applyBorder="1"/>
    <xf numFmtId="0" fontId="0" fillId="0" borderId="21" xfId="0" applyFill="1" applyBorder="1"/>
    <xf numFmtId="0" fontId="15" fillId="0" borderId="18" xfId="0" applyFont="1" applyFill="1" applyBorder="1"/>
    <xf numFmtId="0" fontId="0" fillId="0" borderId="28" xfId="0" applyFill="1" applyBorder="1"/>
    <xf numFmtId="0" fontId="0" fillId="0" borderId="35" xfId="0" applyFill="1" applyBorder="1"/>
    <xf numFmtId="0" fontId="14" fillId="0" borderId="35" xfId="0" applyFont="1" applyFill="1" applyBorder="1"/>
    <xf numFmtId="0" fontId="15" fillId="0" borderId="29" xfId="0" applyFont="1" applyFill="1" applyBorder="1"/>
    <xf numFmtId="0" fontId="33" fillId="0" borderId="0" xfId="0" applyFont="1" applyFill="1" applyBorder="1"/>
    <xf numFmtId="0" fontId="29" fillId="0" borderId="0" xfId="0" applyFont="1" applyFill="1" applyBorder="1"/>
    <xf numFmtId="0" fontId="2" fillId="0" borderId="42" xfId="0" applyFont="1" applyBorder="1" applyAlignment="1">
      <alignment vertical="center" wrapText="1"/>
    </xf>
    <xf numFmtId="0" fontId="2" fillId="0" borderId="50"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3" fillId="0" borderId="40" xfId="5" applyFont="1" applyBorder="1" applyAlignment="1">
      <alignment horizontal="left" vertical="center"/>
    </xf>
    <xf numFmtId="0" fontId="3" fillId="0" borderId="31" xfId="5" applyFont="1" applyBorder="1" applyAlignment="1">
      <alignment horizontal="left" vertical="center"/>
    </xf>
    <xf numFmtId="0" fontId="3" fillId="0" borderId="32" xfId="5" applyFont="1" applyBorder="1" applyAlignment="1">
      <alignment horizontal="left" vertical="center"/>
    </xf>
    <xf numFmtId="0" fontId="11" fillId="2" borderId="0" xfId="1" applyFont="1" applyFill="1" applyAlignment="1">
      <alignment horizontal="left" vertical="top" wrapText="1"/>
    </xf>
    <xf numFmtId="0" fontId="5" fillId="2" borderId="0" xfId="1" applyFont="1" applyFill="1" applyAlignment="1">
      <alignment horizontal="left" vertical="top" wrapText="1"/>
    </xf>
    <xf numFmtId="0" fontId="2" fillId="2" borderId="0" xfId="0" applyFont="1" applyFill="1" applyAlignment="1">
      <alignment horizontal="left" wrapText="1"/>
    </xf>
    <xf numFmtId="0" fontId="3" fillId="2" borderId="0" xfId="1" applyFont="1" applyFill="1" applyAlignment="1">
      <alignment horizontal="left" vertical="top" wrapText="1"/>
    </xf>
    <xf numFmtId="0" fontId="3" fillId="2" borderId="0" xfId="2" applyFill="1" applyAlignment="1">
      <alignment horizontal="left" vertical="top" wrapText="1"/>
    </xf>
    <xf numFmtId="0" fontId="2" fillId="0" borderId="0" xfId="0" applyFont="1" applyFill="1" applyBorder="1" applyAlignment="1">
      <alignment horizontal="left" vertical="top" wrapText="1"/>
    </xf>
    <xf numFmtId="0" fontId="34" fillId="0" borderId="0" xfId="0" applyFont="1" applyFill="1" applyBorder="1" applyAlignment="1">
      <alignment horizontal="left" vertical="top" wrapText="1"/>
    </xf>
    <xf numFmtId="0" fontId="3" fillId="0" borderId="0" xfId="2" applyFont="1" applyAlignment="1">
      <alignment horizontal="left" vertical="top" wrapText="1"/>
    </xf>
    <xf numFmtId="0" fontId="2" fillId="6" borderId="58" xfId="0" applyFont="1" applyFill="1" applyBorder="1" applyAlignment="1">
      <alignment horizontal="left" vertical="center" indent="1"/>
    </xf>
    <xf numFmtId="0" fontId="2" fillId="6" borderId="71" xfId="0" applyFont="1" applyFill="1" applyBorder="1" applyAlignment="1">
      <alignment horizontal="left" vertical="center" indent="1"/>
    </xf>
    <xf numFmtId="0" fontId="2" fillId="6" borderId="72" xfId="0" applyFont="1" applyFill="1" applyBorder="1" applyAlignment="1">
      <alignment horizontal="left" vertical="center" indent="1"/>
    </xf>
    <xf numFmtId="0" fontId="2" fillId="6" borderId="54" xfId="0" applyFont="1" applyFill="1" applyBorder="1" applyAlignment="1">
      <alignment horizontal="left" vertical="center" indent="1"/>
    </xf>
    <xf numFmtId="0" fontId="2" fillId="6" borderId="55" xfId="0" applyFont="1" applyFill="1" applyBorder="1" applyAlignment="1">
      <alignment horizontal="left" vertical="center" indent="1"/>
    </xf>
    <xf numFmtId="0" fontId="2" fillId="6" borderId="40" xfId="0" applyFont="1" applyFill="1" applyBorder="1" applyAlignment="1">
      <alignment horizontal="left" vertical="center" indent="1"/>
    </xf>
    <xf numFmtId="0" fontId="2" fillId="6" borderId="39" xfId="0" applyFont="1" applyFill="1" applyBorder="1" applyAlignment="1">
      <alignment horizontal="left" vertical="center" indent="1"/>
    </xf>
    <xf numFmtId="0" fontId="2" fillId="0" borderId="0" xfId="1" applyFont="1" applyFill="1" applyBorder="1" applyAlignment="1">
      <alignment horizontal="center" vertical="center"/>
    </xf>
    <xf numFmtId="0" fontId="2" fillId="6" borderId="57" xfId="0" applyFont="1" applyFill="1" applyBorder="1" applyAlignment="1">
      <alignment horizontal="left" vertical="center" indent="1"/>
    </xf>
    <xf numFmtId="0" fontId="2" fillId="0" borderId="42" xfId="0" applyFont="1" applyBorder="1" applyAlignment="1">
      <alignment horizontal="left" vertical="center" wrapText="1"/>
    </xf>
    <xf numFmtId="0" fontId="2" fillId="6" borderId="46" xfId="0" applyFont="1" applyFill="1" applyBorder="1" applyAlignment="1">
      <alignment horizontal="center" wrapText="1"/>
    </xf>
    <xf numFmtId="0" fontId="2" fillId="6" borderId="69" xfId="0" applyFont="1" applyFill="1" applyBorder="1" applyAlignment="1">
      <alignment horizontal="center" wrapText="1"/>
    </xf>
    <xf numFmtId="0" fontId="2" fillId="6" borderId="70" xfId="0" applyFont="1" applyFill="1" applyBorder="1" applyAlignment="1">
      <alignment horizontal="center" wrapText="1"/>
    </xf>
    <xf numFmtId="0" fontId="29" fillId="7" borderId="40" xfId="0" applyFont="1" applyFill="1" applyBorder="1" applyAlignment="1">
      <alignment horizontal="left" indent="1"/>
    </xf>
    <xf numFmtId="0" fontId="29" fillId="7" borderId="32" xfId="0" applyFont="1" applyFill="1" applyBorder="1" applyAlignment="1">
      <alignment horizontal="left" indent="1"/>
    </xf>
    <xf numFmtId="0" fontId="2" fillId="2" borderId="5" xfId="0" applyFont="1" applyFill="1" applyBorder="1" applyAlignment="1">
      <alignment horizontal="left" vertical="center" indent="1"/>
    </xf>
    <xf numFmtId="0" fontId="2" fillId="2" borderId="6" xfId="0" applyFont="1" applyFill="1" applyBorder="1" applyAlignment="1">
      <alignment horizontal="left" vertical="center" indent="1"/>
    </xf>
    <xf numFmtId="0" fontId="2" fillId="2" borderId="2" xfId="0" applyFont="1" applyFill="1" applyBorder="1" applyAlignment="1">
      <alignment horizontal="left" vertical="center" indent="1"/>
    </xf>
    <xf numFmtId="0" fontId="2" fillId="2" borderId="4" xfId="0" applyFont="1" applyFill="1" applyBorder="1" applyAlignment="1">
      <alignment horizontal="left" vertical="center" indent="1"/>
    </xf>
    <xf numFmtId="0" fontId="3" fillId="6" borderId="20" xfId="0" applyFont="1" applyFill="1" applyBorder="1" applyAlignment="1">
      <alignment horizontal="left" vertical="center" indent="1"/>
    </xf>
    <xf numFmtId="0" fontId="3" fillId="6" borderId="21" xfId="0" applyFont="1" applyFill="1" applyBorder="1" applyAlignment="1">
      <alignment horizontal="left" vertical="center" indent="1"/>
    </xf>
    <xf numFmtId="0" fontId="3" fillId="6" borderId="28" xfId="0" applyFont="1" applyFill="1" applyBorder="1" applyAlignment="1">
      <alignment horizontal="left" vertical="center" indent="1"/>
    </xf>
    <xf numFmtId="0" fontId="2" fillId="2" borderId="3" xfId="0" applyFont="1" applyFill="1" applyBorder="1" applyAlignment="1">
      <alignment horizontal="left" vertical="center" indent="1"/>
    </xf>
    <xf numFmtId="0" fontId="2" fillId="2" borderId="0" xfId="0" applyFont="1" applyFill="1" applyAlignment="1">
      <alignment horizontal="left" vertical="center" indent="1"/>
    </xf>
  </cellXfs>
  <cellStyles count="9">
    <cellStyle name="Comma" xfId="8" builtinId="3"/>
    <cellStyle name="Normal" xfId="0" builtinId="0"/>
    <cellStyle name="Normal 2" xfId="1" xr:uid="{00000000-0005-0000-0000-000002000000}"/>
    <cellStyle name="Normal 2 2" xfId="2" xr:uid="{00000000-0005-0000-0000-000003000000}"/>
    <cellStyle name="Normal 2 2 2" xfId="5" xr:uid="{00000000-0005-0000-0000-000004000000}"/>
    <cellStyle name="Normal 2 3" xfId="4" xr:uid="{00000000-0005-0000-0000-000005000000}"/>
    <cellStyle name="Normal 4" xfId="6" xr:uid="{00000000-0005-0000-0000-000006000000}"/>
    <cellStyle name="Normal 5" xfId="3" xr:uid="{00000000-0005-0000-0000-000007000000}"/>
    <cellStyle name="Percent 2" xfId="7" xr:uid="{00000000-0005-0000-0000-000008000000}"/>
  </cellStyles>
  <dxfs count="2">
    <dxf>
      <font>
        <b/>
        <i val="0"/>
        <color rgb="FF0070C0"/>
      </font>
    </dxf>
    <dxf>
      <font>
        <b/>
        <i val="0"/>
        <color theme="9" tint="-0.24994659260841701"/>
      </font>
      <fill>
        <patternFill>
          <bgColor theme="9" tint="0.79998168889431442"/>
        </patternFill>
      </fill>
    </dxf>
  </dxfs>
  <tableStyles count="1" defaultTableStyle="TableStyleMedium2" defaultPivotStyle="PivotStyleLight16">
    <tableStyle name="MySqlDefault"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504825</xdr:colOff>
          <xdr:row>15</xdr:row>
          <xdr:rowOff>161925</xdr:rowOff>
        </xdr:from>
        <xdr:to>
          <xdr:col>3</xdr:col>
          <xdr:colOff>66675</xdr:colOff>
          <xdr:row>17</xdr:row>
          <xdr:rowOff>28575</xdr:rowOff>
        </xdr:to>
        <xdr:sp macro="" textlink="">
          <xdr:nvSpPr>
            <xdr:cNvPr id="1057" name="CheckBox1"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114300</xdr:rowOff>
        </xdr:from>
        <xdr:to>
          <xdr:col>3</xdr:col>
          <xdr:colOff>95250</xdr:colOff>
          <xdr:row>20</xdr:row>
          <xdr:rowOff>9525</xdr:rowOff>
        </xdr:to>
        <xdr:sp macro="" textlink="">
          <xdr:nvSpPr>
            <xdr:cNvPr id="1058" name="CheckBox2"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161925</xdr:rowOff>
        </xdr:from>
        <xdr:to>
          <xdr:col>3</xdr:col>
          <xdr:colOff>104775</xdr:colOff>
          <xdr:row>21</xdr:row>
          <xdr:rowOff>0</xdr:rowOff>
        </xdr:to>
        <xdr:sp macro="" textlink="">
          <xdr:nvSpPr>
            <xdr:cNvPr id="1059" name="CheckBox3"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152400</xdr:rowOff>
        </xdr:from>
        <xdr:to>
          <xdr:col>3</xdr:col>
          <xdr:colOff>95250</xdr:colOff>
          <xdr:row>21</xdr:row>
          <xdr:rowOff>180975</xdr:rowOff>
        </xdr:to>
        <xdr:sp macro="" textlink="">
          <xdr:nvSpPr>
            <xdr:cNvPr id="1060" name="CheckBox4"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21</xdr:row>
          <xdr:rowOff>171450</xdr:rowOff>
        </xdr:from>
        <xdr:to>
          <xdr:col>3</xdr:col>
          <xdr:colOff>95250</xdr:colOff>
          <xdr:row>23</xdr:row>
          <xdr:rowOff>9525</xdr:rowOff>
        </xdr:to>
        <xdr:sp macro="" textlink="">
          <xdr:nvSpPr>
            <xdr:cNvPr id="1061" name="CheckBox5"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171450</xdr:rowOff>
        </xdr:from>
        <xdr:to>
          <xdr:col>3</xdr:col>
          <xdr:colOff>95250</xdr:colOff>
          <xdr:row>24</xdr:row>
          <xdr:rowOff>9525</xdr:rowOff>
        </xdr:to>
        <xdr:sp macro="" textlink="">
          <xdr:nvSpPr>
            <xdr:cNvPr id="1062" name="CheckBox6"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23</xdr:row>
          <xdr:rowOff>171450</xdr:rowOff>
        </xdr:from>
        <xdr:to>
          <xdr:col>3</xdr:col>
          <xdr:colOff>104775</xdr:colOff>
          <xdr:row>25</xdr:row>
          <xdr:rowOff>9525</xdr:rowOff>
        </xdr:to>
        <xdr:sp macro="" textlink="">
          <xdr:nvSpPr>
            <xdr:cNvPr id="1063" name="CheckBox7"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3</xdr:col>
          <xdr:colOff>95250</xdr:colOff>
          <xdr:row>25</xdr:row>
          <xdr:rowOff>228600</xdr:rowOff>
        </xdr:to>
        <xdr:sp macro="" textlink="">
          <xdr:nvSpPr>
            <xdr:cNvPr id="1064" name="CheckBox8"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19050</xdr:rowOff>
        </xdr:from>
        <xdr:to>
          <xdr:col>3</xdr:col>
          <xdr:colOff>76200</xdr:colOff>
          <xdr:row>26</xdr:row>
          <xdr:rowOff>238125</xdr:rowOff>
        </xdr:to>
        <xdr:sp macro="" textlink="">
          <xdr:nvSpPr>
            <xdr:cNvPr id="1065" name="CheckBox9"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161925</xdr:rowOff>
        </xdr:from>
        <xdr:to>
          <xdr:col>10</xdr:col>
          <xdr:colOff>28575</xdr:colOff>
          <xdr:row>19</xdr:row>
          <xdr:rowOff>28575</xdr:rowOff>
        </xdr:to>
        <xdr:sp macro="" textlink="">
          <xdr:nvSpPr>
            <xdr:cNvPr id="1067" name="CheckBox10"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I would like to exclude spaces from at least one performance section (per the LEED v4.1 tenant space exclusion)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xdr:row>
          <xdr:rowOff>104775</xdr:rowOff>
        </xdr:from>
        <xdr:to>
          <xdr:col>3</xdr:col>
          <xdr:colOff>352425</xdr:colOff>
          <xdr:row>28</xdr:row>
          <xdr:rowOff>171450</xdr:rowOff>
        </xdr:to>
        <xdr:sp macro="" textlink="">
          <xdr:nvSpPr>
            <xdr:cNvPr id="1068" name="Button 44" descr="Add Tab(s)"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Tab(s)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19</xdr:row>
          <xdr:rowOff>133350</xdr:rowOff>
        </xdr:from>
        <xdr:to>
          <xdr:col>1</xdr:col>
          <xdr:colOff>1400175</xdr:colOff>
          <xdr:row>19</xdr:row>
          <xdr:rowOff>400050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1495425</xdr:colOff>
          <xdr:row>19</xdr:row>
          <xdr:rowOff>133350</xdr:rowOff>
        </xdr:from>
        <xdr:to>
          <xdr:col>2</xdr:col>
          <xdr:colOff>295275</xdr:colOff>
          <xdr:row>19</xdr:row>
          <xdr:rowOff>400050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2952750</xdr:colOff>
          <xdr:row>0</xdr:row>
          <xdr:rowOff>180975</xdr:rowOff>
        </xdr:from>
        <xdr:to>
          <xdr:col>3</xdr:col>
          <xdr:colOff>933450</xdr:colOff>
          <xdr:row>1</xdr:row>
          <xdr:rowOff>247650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100-000008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32</xdr:row>
          <xdr:rowOff>85725</xdr:rowOff>
        </xdr:from>
        <xdr:to>
          <xdr:col>1</xdr:col>
          <xdr:colOff>1905000</xdr:colOff>
          <xdr:row>34</xdr:row>
          <xdr:rowOff>57150</xdr:rowOff>
        </xdr:to>
        <xdr:sp macro="" textlink="">
          <xdr:nvSpPr>
            <xdr:cNvPr id="23562" name="Button 10" hidden="1">
              <a:extLst>
                <a:ext uri="{63B3BB69-23CF-44E3-9099-C40C66FF867C}">
                  <a14:compatExt spid="_x0000_s23562"/>
                </a:ext>
                <a:ext uri="{FF2B5EF4-FFF2-40B4-BE49-F238E27FC236}">
                  <a16:creationId xmlns:a16="http://schemas.microsoft.com/office/drawing/2014/main" id="{00000000-0008-0000-0100-00000A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Refresh Summaries</a:t>
              </a:r>
            </a:p>
            <a:p>
              <a:pPr algn="ctr" rtl="0">
                <a:defRPr sz="1000"/>
              </a:pPr>
              <a:endParaRPr lang="en-IN"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1057275</xdr:colOff>
          <xdr:row>9</xdr:row>
          <xdr:rowOff>276225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400-000004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10</xdr:row>
          <xdr:rowOff>9525</xdr:rowOff>
        </xdr:from>
        <xdr:to>
          <xdr:col>2</xdr:col>
          <xdr:colOff>447675</xdr:colOff>
          <xdr:row>10</xdr:row>
          <xdr:rowOff>285750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500-000003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Copy from CO2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400050</xdr:rowOff>
        </xdr:from>
        <xdr:to>
          <xdr:col>3</xdr:col>
          <xdr:colOff>981075</xdr:colOff>
          <xdr:row>12</xdr:row>
          <xdr:rowOff>28575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5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6</xdr:row>
          <xdr:rowOff>190500</xdr:rowOff>
        </xdr:from>
        <xdr:to>
          <xdr:col>2</xdr:col>
          <xdr:colOff>885825</xdr:colOff>
          <xdr:row>6</xdr:row>
          <xdr:rowOff>504825</xdr:rowOff>
        </xdr:to>
        <xdr:sp macro="" textlink="">
          <xdr:nvSpPr>
            <xdr:cNvPr id="17435" name="Button 27" hidden="1">
              <a:extLst>
                <a:ext uri="{63B3BB69-23CF-44E3-9099-C40C66FF867C}">
                  <a14:compatExt spid="_x0000_s17435"/>
                </a:ext>
                <a:ext uri="{FF2B5EF4-FFF2-40B4-BE49-F238E27FC236}">
                  <a16:creationId xmlns:a16="http://schemas.microsoft.com/office/drawing/2014/main" id="{00000000-0008-0000-0600-00001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xdr:row>
          <xdr:rowOff>114300</xdr:rowOff>
        </xdr:from>
        <xdr:to>
          <xdr:col>2</xdr:col>
          <xdr:colOff>114300</xdr:colOff>
          <xdr:row>5</xdr:row>
          <xdr:rowOff>381000</xdr:rowOff>
        </xdr:to>
        <xdr:sp macro="" textlink="">
          <xdr:nvSpPr>
            <xdr:cNvPr id="17436" name="Button 28" hidden="1">
              <a:extLst>
                <a:ext uri="{63B3BB69-23CF-44E3-9099-C40C66FF867C}">
                  <a14:compatExt spid="_x0000_s17436"/>
                </a:ext>
                <a:ext uri="{FF2B5EF4-FFF2-40B4-BE49-F238E27FC236}">
                  <a16:creationId xmlns:a16="http://schemas.microsoft.com/office/drawing/2014/main" id="{00000000-0008-0000-0600-00001C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5</xdr:row>
          <xdr:rowOff>133350</xdr:rowOff>
        </xdr:from>
        <xdr:to>
          <xdr:col>3</xdr:col>
          <xdr:colOff>600075</xdr:colOff>
          <xdr:row>5</xdr:row>
          <xdr:rowOff>400050</xdr:rowOff>
        </xdr:to>
        <xdr:sp macro="" textlink="">
          <xdr:nvSpPr>
            <xdr:cNvPr id="17437" name="Button 29" hidden="1">
              <a:extLst>
                <a:ext uri="{63B3BB69-23CF-44E3-9099-C40C66FF867C}">
                  <a14:compatExt spid="_x0000_s17437"/>
                </a:ext>
                <a:ext uri="{FF2B5EF4-FFF2-40B4-BE49-F238E27FC236}">
                  <a16:creationId xmlns:a16="http://schemas.microsoft.com/office/drawing/2014/main" id="{00000000-0008-0000-0600-00001D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676275</xdr:colOff>
          <xdr:row>5</xdr:row>
          <xdr:rowOff>152400</xdr:rowOff>
        </xdr:from>
        <xdr:to>
          <xdr:col>4</xdr:col>
          <xdr:colOff>962025</xdr:colOff>
          <xdr:row>5</xdr:row>
          <xdr:rowOff>390525</xdr:rowOff>
        </xdr:to>
        <xdr:sp macro="" textlink="">
          <xdr:nvSpPr>
            <xdr:cNvPr id="17439" name="Button 31" hidden="1">
              <a:extLst>
                <a:ext uri="{63B3BB69-23CF-44E3-9099-C40C66FF867C}">
                  <a14:compatExt spid="_x0000_s17439"/>
                </a:ext>
                <a:ext uri="{FF2B5EF4-FFF2-40B4-BE49-F238E27FC236}">
                  <a16:creationId xmlns:a16="http://schemas.microsoft.com/office/drawing/2014/main" id="{00000000-0008-0000-0600-00001F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a:p>
              <a:pPr algn="ctr" rtl="0">
                <a:defRPr sz="1000"/>
              </a:pPr>
              <a:endParaRPr lang="en-IN"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9</xdr:row>
          <xdr:rowOff>28575</xdr:rowOff>
        </xdr:from>
        <xdr:to>
          <xdr:col>2</xdr:col>
          <xdr:colOff>466725</xdr:colOff>
          <xdr:row>9</xdr:row>
          <xdr:rowOff>304800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700-000003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Copy from TVOC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9</xdr:row>
          <xdr:rowOff>352425</xdr:rowOff>
        </xdr:from>
        <xdr:to>
          <xdr:col>3</xdr:col>
          <xdr:colOff>990600</xdr:colOff>
          <xdr:row>11</xdr:row>
          <xdr:rowOff>19050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700-000004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5</xdr:row>
          <xdr:rowOff>190500</xdr:rowOff>
        </xdr:from>
        <xdr:to>
          <xdr:col>2</xdr:col>
          <xdr:colOff>885825</xdr:colOff>
          <xdr:row>5</xdr:row>
          <xdr:rowOff>504825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xdr:row>
          <xdr:rowOff>114300</xdr:rowOff>
        </xdr:from>
        <xdr:to>
          <xdr:col>2</xdr:col>
          <xdr:colOff>114300</xdr:colOff>
          <xdr:row>4</xdr:row>
          <xdr:rowOff>381000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8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4</xdr:row>
          <xdr:rowOff>133350</xdr:rowOff>
        </xdr:from>
        <xdr:to>
          <xdr:col>3</xdr:col>
          <xdr:colOff>600075</xdr:colOff>
          <xdr:row>4</xdr:row>
          <xdr:rowOff>400050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800-000003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695325</xdr:colOff>
          <xdr:row>4</xdr:row>
          <xdr:rowOff>133350</xdr:rowOff>
        </xdr:from>
        <xdr:to>
          <xdr:col>4</xdr:col>
          <xdr:colOff>885825</xdr:colOff>
          <xdr:row>4</xdr:row>
          <xdr:rowOff>419100</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0800-000005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8</xdr:row>
          <xdr:rowOff>0</xdr:rowOff>
        </xdr:from>
        <xdr:to>
          <xdr:col>2</xdr:col>
          <xdr:colOff>9525</xdr:colOff>
          <xdr:row>9</xdr:row>
          <xdr:rowOff>266700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B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8</xdr:row>
          <xdr:rowOff>0</xdr:rowOff>
        </xdr:from>
        <xdr:to>
          <xdr:col>3</xdr:col>
          <xdr:colOff>9525</xdr:colOff>
          <xdr:row>9</xdr:row>
          <xdr:rowOff>266700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B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9</xdr:row>
          <xdr:rowOff>9525</xdr:rowOff>
        </xdr:from>
        <xdr:to>
          <xdr:col>3</xdr:col>
          <xdr:colOff>1200150</xdr:colOff>
          <xdr:row>9</xdr:row>
          <xdr:rowOff>266700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B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7E0590F7-2E6F-4FBD-808E-E12B309E9D2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18A100AE-4639-49F0-B2DF-960250881D9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FA153E23-A111-4082-90DF-95FB625E1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333918FF-CF13-4B2C-92D2-A0E3D7C8316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4D404393-F456-4FE4-964B-90214C0D3FD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60418" name="Button 2" hidden="1">
              <a:extLst>
                <a:ext uri="{63B3BB69-23CF-44E3-9099-C40C66FF867C}">
                  <a14:compatExt spid="_x0000_s60418"/>
                </a:ext>
                <a:ext uri="{FF2B5EF4-FFF2-40B4-BE49-F238E27FC236}">
                  <a16:creationId xmlns:a16="http://schemas.microsoft.com/office/drawing/2014/main" id="{8B75E6E0-1208-4253-9391-76123639E5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60419" name="Button 3" hidden="1">
              <a:extLst>
                <a:ext uri="{63B3BB69-23CF-44E3-9099-C40C66FF867C}">
                  <a14:compatExt spid="_x0000_s60419"/>
                </a:ext>
                <a:ext uri="{FF2B5EF4-FFF2-40B4-BE49-F238E27FC236}">
                  <a16:creationId xmlns:a16="http://schemas.microsoft.com/office/drawing/2014/main" id="{88EA2C6E-81C0-4F66-BF4D-3AF6D82B9C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C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C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1133475</xdr:colOff>
          <xdr:row>9</xdr:row>
          <xdr:rowOff>266700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C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D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D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0</xdr:rowOff>
        </xdr:from>
        <xdr:to>
          <xdr:col>3</xdr:col>
          <xdr:colOff>1247775</xdr:colOff>
          <xdr:row>9</xdr:row>
          <xdr:rowOff>266700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0D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E00-000001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E00-000002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1019175</xdr:colOff>
          <xdr:row>9</xdr:row>
          <xdr:rowOff>276225</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E00-000004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F00-000002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9525</xdr:rowOff>
        </xdr:from>
        <xdr:to>
          <xdr:col>3</xdr:col>
          <xdr:colOff>1181100</xdr:colOff>
          <xdr:row>9</xdr:row>
          <xdr:rowOff>276225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F00-00000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0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1000-000002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9525</xdr:rowOff>
        </xdr:from>
        <xdr:to>
          <xdr:col>3</xdr:col>
          <xdr:colOff>1076325</xdr:colOff>
          <xdr:row>9</xdr:row>
          <xdr:rowOff>276225</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10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1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100-000002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1104900</xdr:colOff>
          <xdr:row>9</xdr:row>
          <xdr:rowOff>276225</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1100-000004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2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12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1066800</xdr:colOff>
          <xdr:row>9</xdr:row>
          <xdr:rowOff>285750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12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13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300-000002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9</xdr:row>
          <xdr:rowOff>19050</xdr:rowOff>
        </xdr:from>
        <xdr:to>
          <xdr:col>3</xdr:col>
          <xdr:colOff>1152525</xdr:colOff>
          <xdr:row>9</xdr:row>
          <xdr:rowOff>285750</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1300-000004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4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1085850</xdr:colOff>
          <xdr:row>9</xdr:row>
          <xdr:rowOff>266700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1400-000004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15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1500-000002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28575</xdr:rowOff>
        </xdr:from>
        <xdr:to>
          <xdr:col>3</xdr:col>
          <xdr:colOff>1047750</xdr:colOff>
          <xdr:row>9</xdr:row>
          <xdr:rowOff>285750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1500-00000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1600-000001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1600-000002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28575</xdr:rowOff>
        </xdr:from>
        <xdr:to>
          <xdr:col>3</xdr:col>
          <xdr:colOff>1162050</xdr:colOff>
          <xdr:row>9</xdr:row>
          <xdr:rowOff>276225</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1600-000004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ctrlProp" Target="../ctrlProps/ctrlProp1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31.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7.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9.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0.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1.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5.vml"/><Relationship Id="rId1" Type="http://schemas.openxmlformats.org/officeDocument/2006/relationships/drawing" Target="../drawings/drawing15.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16.vml"/><Relationship Id="rId1" Type="http://schemas.openxmlformats.org/officeDocument/2006/relationships/drawing" Target="../drawings/drawing16.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17.vml"/><Relationship Id="rId1" Type="http://schemas.openxmlformats.org/officeDocument/2006/relationships/drawing" Target="../drawings/drawing17.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3.xml"/><Relationship Id="rId2" Type="http://schemas.openxmlformats.org/officeDocument/2006/relationships/vmlDrawing" Target="../drawings/vmlDrawing18.vml"/><Relationship Id="rId1" Type="http://schemas.openxmlformats.org/officeDocument/2006/relationships/drawing" Target="../drawings/drawing18.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19.vml"/><Relationship Id="rId1" Type="http://schemas.openxmlformats.org/officeDocument/2006/relationships/drawing" Target="../drawings/drawing1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9.xml"/><Relationship Id="rId2" Type="http://schemas.openxmlformats.org/officeDocument/2006/relationships/vmlDrawing" Target="../drawings/vmlDrawing20.vml"/><Relationship Id="rId1" Type="http://schemas.openxmlformats.org/officeDocument/2006/relationships/drawing" Target="../drawings/drawing20.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2.xml"/><Relationship Id="rId2" Type="http://schemas.openxmlformats.org/officeDocument/2006/relationships/vmlDrawing" Target="../drawings/vmlDrawing21.vml"/><Relationship Id="rId1" Type="http://schemas.openxmlformats.org/officeDocument/2006/relationships/drawing" Target="../drawings/drawing21.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5.xml"/><Relationship Id="rId2" Type="http://schemas.openxmlformats.org/officeDocument/2006/relationships/vmlDrawing" Target="../drawings/vmlDrawing22.vml"/><Relationship Id="rId1" Type="http://schemas.openxmlformats.org/officeDocument/2006/relationships/drawing" Target="../drawings/drawing22.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78.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2:T341"/>
  <sheetViews>
    <sheetView showGridLines="0" topLeftCell="A10" zoomScale="90" zoomScaleNormal="90" workbookViewId="0">
      <selection activeCell="K32" sqref="K32"/>
    </sheetView>
  </sheetViews>
  <sheetFormatPr defaultColWidth="9.140625" defaultRowHeight="15" x14ac:dyDescent="0.25"/>
  <cols>
    <col min="1" max="1" width="2.7109375" style="78" customWidth="1"/>
    <col min="2" max="2" width="5.7109375" style="78" customWidth="1"/>
    <col min="3" max="3" width="11.140625" style="78" customWidth="1"/>
    <col min="4" max="4" width="30.85546875" style="78" customWidth="1"/>
    <col min="5" max="5" width="29.140625" style="78" customWidth="1"/>
    <col min="6" max="6" width="21" style="78" customWidth="1"/>
    <col min="7" max="7" width="15.7109375" style="78" hidden="1" customWidth="1"/>
    <col min="8" max="8" width="110.28515625" style="78" hidden="1" customWidth="1"/>
    <col min="9" max="9" width="0.85546875" style="78" hidden="1" customWidth="1"/>
    <col min="10" max="10" width="9.140625" style="78" hidden="1" customWidth="1"/>
    <col min="11" max="11" width="4.5703125" style="78" customWidth="1"/>
    <col min="12" max="12" width="15.5703125" style="78" hidden="1" customWidth="1"/>
    <col min="13" max="18" width="9.140625" style="78" hidden="1" customWidth="1"/>
    <col min="19" max="19" width="26.140625" style="78" hidden="1" customWidth="1"/>
    <col min="20" max="20" width="25.5703125" style="78" hidden="1" customWidth="1"/>
    <col min="21" max="16384" width="9.140625" style="78"/>
  </cols>
  <sheetData>
    <row r="2" spans="2:14" x14ac:dyDescent="0.25">
      <c r="B2" s="83"/>
      <c r="C2" s="84" t="s">
        <v>567</v>
      </c>
      <c r="D2" s="85"/>
      <c r="E2" s="85"/>
      <c r="F2" s="85"/>
      <c r="G2" s="85"/>
      <c r="H2" s="85"/>
      <c r="I2" s="86"/>
      <c r="J2" s="85"/>
      <c r="K2" s="87"/>
      <c r="L2" s="77"/>
      <c r="M2" s="77"/>
      <c r="N2" s="77"/>
    </row>
    <row r="3" spans="2:14" ht="49.5" customHeight="1" x14ac:dyDescent="0.25">
      <c r="B3" s="88"/>
      <c r="C3" s="216" t="s">
        <v>723</v>
      </c>
      <c r="D3" s="217"/>
      <c r="E3" s="217"/>
      <c r="F3" s="217"/>
      <c r="G3" s="1"/>
      <c r="H3" s="1"/>
      <c r="I3" s="9"/>
      <c r="J3" s="1"/>
      <c r="K3" s="89"/>
      <c r="L3" s="77"/>
      <c r="M3" s="77"/>
      <c r="N3" s="77"/>
    </row>
    <row r="4" spans="2:14" ht="36" customHeight="1" x14ac:dyDescent="0.25">
      <c r="B4" s="88"/>
      <c r="C4" s="219" t="s">
        <v>724</v>
      </c>
      <c r="D4" s="219"/>
      <c r="E4" s="219"/>
      <c r="F4" s="219"/>
      <c r="G4" s="1"/>
      <c r="H4" s="1"/>
      <c r="I4" s="9"/>
      <c r="J4" s="1"/>
      <c r="K4" s="89"/>
      <c r="L4" s="77"/>
      <c r="M4" s="77"/>
      <c r="N4" s="77"/>
    </row>
    <row r="5" spans="2:14" x14ac:dyDescent="0.25">
      <c r="B5" s="88"/>
      <c r="C5" s="10" t="s">
        <v>0</v>
      </c>
      <c r="D5" s="11"/>
      <c r="E5" s="11"/>
      <c r="F5" s="1"/>
      <c r="G5" s="1"/>
      <c r="H5" s="1"/>
      <c r="I5" s="9"/>
      <c r="J5" s="1"/>
      <c r="K5" s="89"/>
      <c r="L5" s="77"/>
      <c r="M5" s="77"/>
      <c r="N5" s="77"/>
    </row>
    <row r="6" spans="2:14" x14ac:dyDescent="0.25">
      <c r="B6" s="88"/>
      <c r="C6" s="12" t="s">
        <v>1</v>
      </c>
      <c r="D6" s="11"/>
      <c r="E6" s="11"/>
      <c r="F6" s="1"/>
      <c r="G6" s="1"/>
      <c r="H6" s="1"/>
      <c r="I6" s="9"/>
      <c r="J6" s="1"/>
      <c r="K6" s="89"/>
      <c r="L6" s="77"/>
      <c r="M6" s="77" t="s">
        <v>3</v>
      </c>
      <c r="N6" s="77"/>
    </row>
    <row r="7" spans="2:14" x14ac:dyDescent="0.25">
      <c r="B7" s="88"/>
      <c r="C7" s="13" t="s">
        <v>2</v>
      </c>
      <c r="D7" s="13"/>
      <c r="E7" s="14"/>
      <c r="F7" s="1"/>
      <c r="G7" s="1"/>
      <c r="H7" s="1"/>
      <c r="I7" s="9"/>
      <c r="J7" s="1"/>
      <c r="K7" s="89"/>
      <c r="L7" s="77"/>
      <c r="M7" s="77" t="s">
        <v>4</v>
      </c>
      <c r="N7" s="77"/>
    </row>
    <row r="8" spans="2:14" x14ac:dyDescent="0.25">
      <c r="B8" s="88"/>
      <c r="C8" s="13"/>
      <c r="D8" s="13"/>
      <c r="E8" s="14"/>
      <c r="F8" s="1"/>
      <c r="G8" s="1"/>
      <c r="H8" s="1"/>
      <c r="I8" s="9"/>
      <c r="J8" s="1"/>
      <c r="K8" s="89"/>
      <c r="L8" s="77"/>
      <c r="M8" s="77"/>
      <c r="N8" s="77"/>
    </row>
    <row r="9" spans="2:14" x14ac:dyDescent="0.25">
      <c r="B9" s="88"/>
      <c r="C9" s="122" t="s">
        <v>599</v>
      </c>
      <c r="D9" s="123"/>
      <c r="E9" s="124"/>
      <c r="F9" s="125"/>
      <c r="G9" s="1"/>
      <c r="H9" s="1"/>
      <c r="I9" s="9"/>
      <c r="J9" s="1"/>
      <c r="K9" s="89"/>
      <c r="L9" s="77"/>
      <c r="M9" s="77"/>
      <c r="N9" s="77"/>
    </row>
    <row r="10" spans="2:14" ht="15" customHeight="1" x14ac:dyDescent="0.25">
      <c r="B10" s="88"/>
      <c r="C10" s="126" t="s">
        <v>564</v>
      </c>
      <c r="D10" s="123"/>
      <c r="E10" s="124"/>
      <c r="F10" s="127" t="s">
        <v>679</v>
      </c>
      <c r="G10" s="1"/>
      <c r="H10" s="1"/>
      <c r="I10" s="9"/>
      <c r="J10" s="1"/>
      <c r="K10" s="89"/>
      <c r="L10" s="77"/>
      <c r="M10" s="77"/>
      <c r="N10" s="77"/>
    </row>
    <row r="11" spans="2:14" ht="18.75" customHeight="1" x14ac:dyDescent="0.25">
      <c r="B11" s="88"/>
      <c r="C11" s="193" t="s">
        <v>600</v>
      </c>
      <c r="D11" s="128"/>
      <c r="E11" s="123"/>
      <c r="F11" s="129"/>
      <c r="G11" s="7"/>
      <c r="H11" s="7"/>
      <c r="I11" s="8"/>
      <c r="J11" s="7"/>
      <c r="K11" s="89"/>
      <c r="L11" s="77"/>
      <c r="M11" s="77"/>
      <c r="N11" s="77"/>
    </row>
    <row r="12" spans="2:14" ht="15" customHeight="1" x14ac:dyDescent="0.25">
      <c r="B12" s="88"/>
      <c r="C12" s="213" t="s">
        <v>725</v>
      </c>
      <c r="D12" s="214"/>
      <c r="E12" s="215"/>
      <c r="F12" s="127">
        <v>2019</v>
      </c>
      <c r="G12" s="7"/>
      <c r="H12" s="7"/>
      <c r="I12" s="8"/>
      <c r="J12" s="7"/>
      <c r="K12" s="89"/>
      <c r="L12" s="77"/>
      <c r="M12" s="77"/>
      <c r="N12" s="77"/>
    </row>
    <row r="13" spans="2:14" ht="9.75" customHeight="1" x14ac:dyDescent="0.25">
      <c r="B13" s="88"/>
      <c r="C13" s="128"/>
      <c r="D13" s="128"/>
      <c r="E13" s="123"/>
      <c r="F13" s="129"/>
      <c r="G13" s="7"/>
      <c r="H13" s="7"/>
      <c r="I13" s="8"/>
      <c r="J13" s="7"/>
      <c r="K13" s="89"/>
      <c r="L13" s="77"/>
      <c r="M13" s="77"/>
      <c r="N13" s="77"/>
    </row>
    <row r="14" spans="2:14" ht="15" customHeight="1" x14ac:dyDescent="0.25">
      <c r="B14" s="88"/>
      <c r="C14" s="15" t="s">
        <v>5</v>
      </c>
      <c r="D14" s="1"/>
      <c r="E14" s="1"/>
      <c r="F14" s="1"/>
      <c r="G14" s="7"/>
      <c r="H14" s="7"/>
      <c r="I14" s="8"/>
      <c r="J14" s="7"/>
      <c r="K14" s="89"/>
      <c r="L14" s="77"/>
      <c r="M14" s="77"/>
      <c r="N14" s="77"/>
    </row>
    <row r="15" spans="2:14" ht="27.75" customHeight="1" x14ac:dyDescent="0.25">
      <c r="B15" s="88"/>
      <c r="C15" s="220" t="s">
        <v>726</v>
      </c>
      <c r="D15" s="220"/>
      <c r="E15" s="220"/>
      <c r="F15" s="220"/>
      <c r="G15" s="7"/>
      <c r="H15" s="7"/>
      <c r="I15" s="8"/>
      <c r="J15" s="7"/>
      <c r="K15" s="89"/>
      <c r="L15" s="77"/>
      <c r="M15" s="77"/>
      <c r="N15" s="77"/>
    </row>
    <row r="16" spans="2:14" ht="6.75" customHeight="1" x14ac:dyDescent="0.25">
      <c r="B16" s="88"/>
      <c r="C16" s="15"/>
      <c r="D16" s="1"/>
      <c r="E16" s="1"/>
      <c r="F16" s="1"/>
      <c r="G16" s="7"/>
      <c r="H16" s="7"/>
      <c r="I16" s="8"/>
      <c r="J16" s="7"/>
      <c r="K16" s="89"/>
      <c r="L16" s="77"/>
      <c r="M16" s="77"/>
      <c r="N16" s="77"/>
    </row>
    <row r="17" spans="2:14" ht="15" customHeight="1" x14ac:dyDescent="0.25">
      <c r="B17" s="88"/>
      <c r="C17" s="15"/>
      <c r="D17" s="163" t="s">
        <v>748</v>
      </c>
      <c r="E17" s="1"/>
      <c r="F17" s="1"/>
      <c r="G17" s="7"/>
      <c r="H17" s="7"/>
      <c r="I17" s="8"/>
      <c r="J17" s="7"/>
      <c r="K17" s="89"/>
      <c r="L17" s="77"/>
      <c r="M17" s="77"/>
      <c r="N17" s="77"/>
    </row>
    <row r="18" spans="2:14" ht="15" customHeight="1" x14ac:dyDescent="0.25">
      <c r="B18" s="88"/>
      <c r="C18" s="15"/>
      <c r="D18" s="163"/>
      <c r="E18" s="1"/>
      <c r="F18" s="1"/>
      <c r="G18" s="7"/>
      <c r="H18" s="7"/>
      <c r="I18" s="8"/>
      <c r="J18" s="7"/>
      <c r="K18" s="89"/>
      <c r="L18" s="77"/>
      <c r="M18" s="77"/>
      <c r="N18" s="77"/>
    </row>
    <row r="19" spans="2:14" ht="10.5" customHeight="1" x14ac:dyDescent="0.25">
      <c r="B19" s="88"/>
      <c r="C19" s="15"/>
      <c r="D19" s="163"/>
      <c r="E19" s="1"/>
      <c r="F19" s="1"/>
      <c r="G19" s="7"/>
      <c r="H19" s="7"/>
      <c r="I19" s="8"/>
      <c r="J19" s="7"/>
      <c r="K19" s="89"/>
      <c r="L19" s="77"/>
      <c r="M19" s="77"/>
      <c r="N19" s="77"/>
    </row>
    <row r="20" spans="2:14" ht="15" customHeight="1" x14ac:dyDescent="0.25">
      <c r="B20" s="88"/>
      <c r="C20" s="15"/>
      <c r="D20" s="163" t="s">
        <v>727</v>
      </c>
      <c r="E20" s="1"/>
      <c r="F20" s="1"/>
      <c r="G20" s="7"/>
      <c r="H20" s="7"/>
      <c r="I20" s="8"/>
      <c r="J20" s="7"/>
      <c r="K20" s="89"/>
      <c r="L20" s="77"/>
      <c r="M20" s="77"/>
      <c r="N20" s="77"/>
    </row>
    <row r="21" spans="2:14" ht="15" customHeight="1" x14ac:dyDescent="0.25">
      <c r="B21" s="88"/>
      <c r="C21" s="15"/>
      <c r="D21" s="163" t="s">
        <v>540</v>
      </c>
      <c r="E21" s="1"/>
      <c r="F21" s="1"/>
      <c r="G21" s="7"/>
      <c r="H21" s="7"/>
      <c r="I21" s="8"/>
      <c r="J21" s="7"/>
      <c r="K21" s="89"/>
      <c r="L21" s="77"/>
      <c r="M21" s="77"/>
      <c r="N21" s="77"/>
    </row>
    <row r="22" spans="2:14" ht="15" customHeight="1" x14ac:dyDescent="0.25">
      <c r="B22" s="88"/>
      <c r="C22" s="15"/>
      <c r="D22" s="163" t="s">
        <v>728</v>
      </c>
      <c r="E22" s="1"/>
      <c r="F22" s="1"/>
      <c r="G22" s="7"/>
      <c r="H22" s="7"/>
      <c r="I22" s="8"/>
      <c r="J22" s="7"/>
      <c r="K22" s="89"/>
      <c r="L22" s="77"/>
      <c r="M22" s="77"/>
      <c r="N22" s="77"/>
    </row>
    <row r="23" spans="2:14" ht="15" customHeight="1" x14ac:dyDescent="0.25">
      <c r="B23" s="88"/>
      <c r="C23" s="15"/>
      <c r="D23" s="163" t="s">
        <v>555</v>
      </c>
      <c r="E23" s="1"/>
      <c r="F23" s="1"/>
      <c r="G23" s="7"/>
      <c r="H23" s="7"/>
      <c r="I23" s="8"/>
      <c r="J23" s="7"/>
      <c r="K23" s="89"/>
      <c r="L23" s="77"/>
      <c r="M23" s="77"/>
      <c r="N23" s="77"/>
    </row>
    <row r="24" spans="2:14" ht="15" customHeight="1" x14ac:dyDescent="0.25">
      <c r="B24" s="88"/>
      <c r="C24" s="15"/>
      <c r="D24" s="163" t="s">
        <v>698</v>
      </c>
      <c r="E24" s="1"/>
      <c r="F24" s="1"/>
      <c r="G24" s="7"/>
      <c r="H24" s="7"/>
      <c r="I24" s="8"/>
      <c r="J24" s="7"/>
      <c r="K24" s="89"/>
      <c r="L24" s="77"/>
      <c r="M24" s="77"/>
      <c r="N24" s="77"/>
    </row>
    <row r="25" spans="2:14" ht="15" customHeight="1" x14ac:dyDescent="0.25">
      <c r="B25" s="88"/>
      <c r="C25" s="15"/>
      <c r="D25" s="163" t="s">
        <v>699</v>
      </c>
      <c r="E25" s="1"/>
      <c r="F25" s="1"/>
      <c r="G25" s="7"/>
      <c r="H25" s="7"/>
      <c r="I25" s="8"/>
      <c r="J25" s="7"/>
      <c r="K25" s="89"/>
      <c r="L25" s="77"/>
      <c r="M25" s="77"/>
      <c r="N25" s="77"/>
    </row>
    <row r="26" spans="2:14" ht="30" customHeight="1" x14ac:dyDescent="0.25">
      <c r="B26" s="88"/>
      <c r="C26" s="15"/>
      <c r="D26" s="218" t="s">
        <v>700</v>
      </c>
      <c r="E26" s="218"/>
      <c r="F26" s="218"/>
      <c r="G26" s="7"/>
      <c r="H26" s="7"/>
      <c r="I26" s="8"/>
      <c r="J26" s="7"/>
      <c r="K26" s="89"/>
      <c r="L26" s="77"/>
      <c r="M26" s="77"/>
      <c r="N26" s="77"/>
    </row>
    <row r="27" spans="2:14" ht="30" customHeight="1" x14ac:dyDescent="0.25">
      <c r="B27" s="88"/>
      <c r="C27" s="15"/>
      <c r="D27" s="218" t="s">
        <v>701</v>
      </c>
      <c r="E27" s="218"/>
      <c r="F27" s="218"/>
      <c r="G27" s="7"/>
      <c r="H27" s="7"/>
      <c r="I27" s="8"/>
      <c r="J27" s="7"/>
      <c r="K27" s="89"/>
      <c r="L27" s="77"/>
      <c r="M27" s="77"/>
      <c r="N27" s="77"/>
    </row>
    <row r="28" spans="2:14" ht="15" customHeight="1" x14ac:dyDescent="0.25">
      <c r="B28" s="88"/>
      <c r="C28" s="15"/>
      <c r="D28" s="1"/>
      <c r="E28" s="1"/>
      <c r="F28" s="1"/>
      <c r="G28" s="7"/>
      <c r="H28" s="7"/>
      <c r="I28" s="8"/>
      <c r="J28" s="7"/>
      <c r="K28" s="89"/>
      <c r="L28" s="77"/>
      <c r="M28" s="77"/>
      <c r="N28" s="77"/>
    </row>
    <row r="29" spans="2:14" ht="15" customHeight="1" x14ac:dyDescent="0.25">
      <c r="B29" s="88"/>
      <c r="C29" s="15"/>
      <c r="D29" s="1"/>
      <c r="E29" s="1"/>
      <c r="F29" s="1"/>
      <c r="G29" s="7"/>
      <c r="H29" s="7"/>
      <c r="I29" s="8"/>
      <c r="J29" s="7"/>
      <c r="K29" s="89"/>
      <c r="L29" s="77"/>
      <c r="M29" s="77"/>
      <c r="N29" s="77"/>
    </row>
    <row r="30" spans="2:14" ht="15" customHeight="1" x14ac:dyDescent="0.25">
      <c r="B30" s="88"/>
      <c r="C30" s="15"/>
      <c r="D30" s="1"/>
      <c r="E30" s="1"/>
      <c r="F30" s="1"/>
      <c r="G30" s="7"/>
      <c r="H30" s="7"/>
      <c r="I30" s="8"/>
      <c r="J30" s="7"/>
      <c r="K30" s="89"/>
      <c r="L30" s="77"/>
      <c r="M30" s="77"/>
      <c r="N30" s="77"/>
    </row>
    <row r="31" spans="2:14" ht="15" customHeight="1" x14ac:dyDescent="0.25">
      <c r="B31" s="88"/>
      <c r="C31" s="15" t="s">
        <v>601</v>
      </c>
      <c r="D31" s="1"/>
      <c r="E31" s="1"/>
      <c r="F31" s="1"/>
      <c r="G31" s="1"/>
      <c r="H31" s="1"/>
      <c r="I31" s="9"/>
      <c r="J31" s="1"/>
      <c r="K31" s="89"/>
    </row>
    <row r="32" spans="2:14" ht="15" customHeight="1" x14ac:dyDescent="0.25">
      <c r="B32" s="88"/>
      <c r="C32" s="15" t="s">
        <v>729</v>
      </c>
      <c r="D32" s="1"/>
      <c r="E32" s="1"/>
      <c r="F32" s="1"/>
      <c r="G32" s="1"/>
      <c r="H32" s="1"/>
      <c r="I32" s="162"/>
      <c r="J32" s="1"/>
      <c r="K32" s="89"/>
    </row>
    <row r="33" spans="2:19" ht="15" customHeight="1" x14ac:dyDescent="0.25">
      <c r="B33" s="88"/>
      <c r="C33" s="15"/>
      <c r="D33" s="1"/>
      <c r="E33" s="1"/>
      <c r="F33" s="1"/>
      <c r="G33" s="1"/>
      <c r="H33" s="1"/>
      <c r="I33" s="162"/>
      <c r="J33" s="1"/>
      <c r="K33" s="89"/>
    </row>
    <row r="34" spans="2:19" ht="15" customHeight="1" x14ac:dyDescent="0.25">
      <c r="B34" s="88"/>
      <c r="C34" s="130" t="s">
        <v>602</v>
      </c>
      <c r="D34" s="131"/>
      <c r="E34"/>
      <c r="F34"/>
      <c r="G34" s="132"/>
      <c r="H34" s="132"/>
      <c r="I34" s="132"/>
      <c r="J34" s="132"/>
      <c r="K34" s="89"/>
    </row>
    <row r="35" spans="2:19" ht="31.5" customHeight="1" x14ac:dyDescent="0.25">
      <c r="B35" s="88"/>
      <c r="C35" s="223" t="s">
        <v>730</v>
      </c>
      <c r="D35" s="223"/>
      <c r="E35" s="223"/>
      <c r="F35" s="223"/>
      <c r="G35" s="132"/>
      <c r="H35" s="132"/>
      <c r="I35" s="132"/>
      <c r="J35" s="132"/>
      <c r="K35" s="89"/>
    </row>
    <row r="36" spans="2:19" ht="11.25" customHeight="1" x14ac:dyDescent="0.25">
      <c r="B36" s="134"/>
      <c r="C36" s="133"/>
      <c r="D36" s="133"/>
      <c r="E36" s="133"/>
      <c r="F36" s="133"/>
      <c r="G36" s="132"/>
      <c r="H36" s="132"/>
      <c r="I36" s="132"/>
      <c r="J36" s="132"/>
      <c r="K36" s="136"/>
      <c r="L36" s="135" t="s">
        <v>6</v>
      </c>
      <c r="M36" s="80" t="s">
        <v>7</v>
      </c>
      <c r="O36" s="78" t="s">
        <v>540</v>
      </c>
      <c r="Q36" s="78" t="s">
        <v>540</v>
      </c>
      <c r="S36" s="80" t="s">
        <v>610</v>
      </c>
    </row>
    <row r="37" spans="2:19" ht="11.25" customHeight="1" x14ac:dyDescent="0.25">
      <c r="F37" s="79"/>
      <c r="G37" s="79"/>
      <c r="H37" s="79"/>
      <c r="I37" s="79"/>
      <c r="J37" s="79"/>
      <c r="L37" s="80" t="s">
        <v>8</v>
      </c>
      <c r="M37" s="80" t="s">
        <v>9</v>
      </c>
      <c r="O37" s="78" t="s">
        <v>558</v>
      </c>
      <c r="Q37" s="78" t="s">
        <v>558</v>
      </c>
      <c r="S37" s="80" t="s">
        <v>611</v>
      </c>
    </row>
    <row r="38" spans="2:19" ht="11.25" customHeight="1" x14ac:dyDescent="0.25">
      <c r="F38" s="79"/>
      <c r="K38" s="82"/>
      <c r="L38" s="80" t="s">
        <v>10</v>
      </c>
      <c r="M38" s="80" t="s">
        <v>11</v>
      </c>
      <c r="O38" s="78" t="s">
        <v>555</v>
      </c>
      <c r="S38" s="80" t="s">
        <v>612</v>
      </c>
    </row>
    <row r="39" spans="2:19" x14ac:dyDescent="0.25">
      <c r="B39" s="196"/>
      <c r="C39" s="197"/>
      <c r="D39" s="197"/>
      <c r="E39" s="197"/>
      <c r="F39" s="198"/>
      <c r="G39" s="197"/>
      <c r="H39" s="197"/>
      <c r="I39" s="197"/>
      <c r="J39" s="197"/>
      <c r="K39" s="199"/>
      <c r="L39" s="135"/>
      <c r="M39" s="80"/>
      <c r="S39" s="80" t="s">
        <v>613</v>
      </c>
    </row>
    <row r="40" spans="2:19" x14ac:dyDescent="0.25">
      <c r="B40" s="200"/>
      <c r="C40" s="206" t="s">
        <v>731</v>
      </c>
      <c r="D40" s="194"/>
      <c r="E40" s="194"/>
      <c r="F40" s="195"/>
      <c r="G40" s="194"/>
      <c r="H40" s="194"/>
      <c r="I40" s="194"/>
      <c r="J40" s="194"/>
      <c r="K40" s="201"/>
      <c r="L40" s="135"/>
      <c r="M40" s="80"/>
      <c r="S40" s="80" t="s">
        <v>614</v>
      </c>
    </row>
    <row r="41" spans="2:19" ht="10.5" customHeight="1" x14ac:dyDescent="0.25">
      <c r="B41" s="200"/>
      <c r="C41" s="194"/>
      <c r="D41" s="194"/>
      <c r="E41" s="194"/>
      <c r="F41" s="195"/>
      <c r="G41" s="194"/>
      <c r="H41" s="194"/>
      <c r="I41" s="194"/>
      <c r="J41" s="194"/>
      <c r="K41" s="201"/>
      <c r="L41" s="135"/>
      <c r="M41" s="80"/>
      <c r="S41" s="80" t="s">
        <v>615</v>
      </c>
    </row>
    <row r="42" spans="2:19" x14ac:dyDescent="0.25">
      <c r="B42" s="200"/>
      <c r="C42" s="207" t="s">
        <v>732</v>
      </c>
      <c r="D42" s="194"/>
      <c r="E42" s="194"/>
      <c r="F42" s="195"/>
      <c r="G42" s="194"/>
      <c r="H42" s="194"/>
      <c r="I42" s="194"/>
      <c r="J42" s="194"/>
      <c r="K42" s="201"/>
      <c r="L42" s="135"/>
      <c r="M42" s="80"/>
      <c r="S42" s="80" t="s">
        <v>616</v>
      </c>
    </row>
    <row r="43" spans="2:19" ht="128.25" customHeight="1" x14ac:dyDescent="0.25">
      <c r="B43" s="200"/>
      <c r="C43" s="222" t="s">
        <v>733</v>
      </c>
      <c r="D43" s="222"/>
      <c r="E43" s="222"/>
      <c r="F43" s="222"/>
      <c r="G43" s="194"/>
      <c r="H43" s="194"/>
      <c r="I43" s="194"/>
      <c r="J43" s="194"/>
      <c r="K43" s="201"/>
      <c r="L43" s="135"/>
      <c r="M43" s="80"/>
      <c r="S43" s="80" t="s">
        <v>617</v>
      </c>
    </row>
    <row r="44" spans="2:19" x14ac:dyDescent="0.25">
      <c r="B44" s="200"/>
      <c r="C44" s="207" t="s">
        <v>734</v>
      </c>
      <c r="D44" s="194"/>
      <c r="E44" s="194"/>
      <c r="F44" s="195"/>
      <c r="G44" s="194"/>
      <c r="H44" s="194"/>
      <c r="I44" s="194"/>
      <c r="J44" s="194"/>
      <c r="K44" s="201"/>
      <c r="L44" s="135"/>
      <c r="M44" s="80"/>
      <c r="S44" s="80" t="s">
        <v>618</v>
      </c>
    </row>
    <row r="45" spans="2:19" ht="64.5" customHeight="1" x14ac:dyDescent="0.25">
      <c r="B45" s="200"/>
      <c r="C45" s="221" t="s">
        <v>735</v>
      </c>
      <c r="D45" s="221"/>
      <c r="E45" s="221"/>
      <c r="F45" s="221"/>
      <c r="G45" s="194"/>
      <c r="H45" s="194"/>
      <c r="I45" s="194"/>
      <c r="J45" s="194"/>
      <c r="K45" s="201"/>
      <c r="L45" s="135"/>
      <c r="M45" s="80"/>
      <c r="S45" s="80" t="s">
        <v>619</v>
      </c>
    </row>
    <row r="46" spans="2:19" ht="15" customHeight="1" x14ac:dyDescent="0.25">
      <c r="B46" s="200"/>
      <c r="C46" s="207" t="s">
        <v>595</v>
      </c>
      <c r="D46" s="194"/>
      <c r="E46" s="194"/>
      <c r="F46" s="195"/>
      <c r="G46" s="194"/>
      <c r="H46" s="194"/>
      <c r="I46" s="194"/>
      <c r="J46" s="194"/>
      <c r="K46" s="201"/>
      <c r="L46" s="135"/>
      <c r="M46" s="80"/>
      <c r="S46" s="80" t="s">
        <v>620</v>
      </c>
    </row>
    <row r="47" spans="2:19" ht="99" customHeight="1" x14ac:dyDescent="0.25">
      <c r="B47" s="200"/>
      <c r="C47" s="221" t="s">
        <v>736</v>
      </c>
      <c r="D47" s="221"/>
      <c r="E47" s="221"/>
      <c r="F47" s="221"/>
      <c r="G47" s="194"/>
      <c r="H47" s="194"/>
      <c r="I47" s="194"/>
      <c r="J47" s="194"/>
      <c r="K47" s="201"/>
      <c r="L47" s="135"/>
      <c r="M47" s="80"/>
      <c r="S47" s="80" t="s">
        <v>621</v>
      </c>
    </row>
    <row r="48" spans="2:19" x14ac:dyDescent="0.25">
      <c r="B48" s="200"/>
      <c r="C48" s="207" t="s">
        <v>592</v>
      </c>
      <c r="D48" s="194"/>
      <c r="E48" s="194"/>
      <c r="F48" s="195"/>
      <c r="G48" s="194"/>
      <c r="H48" s="194"/>
      <c r="I48" s="194"/>
      <c r="J48" s="194"/>
      <c r="K48" s="201"/>
      <c r="L48" s="135"/>
      <c r="M48" s="80"/>
      <c r="S48" s="80" t="s">
        <v>622</v>
      </c>
    </row>
    <row r="49" spans="2:19" ht="42" customHeight="1" x14ac:dyDescent="0.25">
      <c r="B49" s="200"/>
      <c r="C49" s="222" t="s">
        <v>737</v>
      </c>
      <c r="D49" s="222"/>
      <c r="E49" s="222"/>
      <c r="F49" s="222"/>
      <c r="G49" s="194"/>
      <c r="H49" s="194"/>
      <c r="I49" s="194"/>
      <c r="J49" s="194"/>
      <c r="K49" s="201"/>
      <c r="L49" s="135"/>
      <c r="M49" s="80"/>
      <c r="S49" s="80" t="s">
        <v>623</v>
      </c>
    </row>
    <row r="50" spans="2:19" x14ac:dyDescent="0.25">
      <c r="B50" s="202"/>
      <c r="C50" s="203"/>
      <c r="D50" s="203"/>
      <c r="E50" s="203"/>
      <c r="F50" s="204"/>
      <c r="G50" s="203"/>
      <c r="H50" s="203"/>
      <c r="I50" s="203"/>
      <c r="J50" s="203"/>
      <c r="K50" s="205"/>
      <c r="L50" s="135"/>
      <c r="M50" s="80"/>
      <c r="S50" s="80" t="s">
        <v>624</v>
      </c>
    </row>
    <row r="51" spans="2:19" ht="12" customHeight="1" x14ac:dyDescent="0.25">
      <c r="F51" s="79"/>
      <c r="K51" s="82"/>
      <c r="L51" s="80"/>
      <c r="M51" s="80"/>
      <c r="S51" s="80" t="s">
        <v>625</v>
      </c>
    </row>
    <row r="52" spans="2:19" ht="11.25" customHeight="1" x14ac:dyDescent="0.25">
      <c r="F52" s="79"/>
      <c r="K52" s="82"/>
      <c r="L52" s="80" t="s">
        <v>12</v>
      </c>
      <c r="M52" s="80" t="s">
        <v>13</v>
      </c>
      <c r="O52" s="78" t="s">
        <v>557</v>
      </c>
      <c r="S52" s="80" t="s">
        <v>626</v>
      </c>
    </row>
    <row r="53" spans="2:19" x14ac:dyDescent="0.25">
      <c r="F53" s="90" t="s">
        <v>697</v>
      </c>
      <c r="K53" s="90" t="s">
        <v>714</v>
      </c>
      <c r="L53" s="80" t="s">
        <v>14</v>
      </c>
      <c r="M53" s="80" t="s">
        <v>15</v>
      </c>
      <c r="O53" s="78" t="s">
        <v>556</v>
      </c>
      <c r="S53" s="80" t="s">
        <v>627</v>
      </c>
    </row>
    <row r="54" spans="2:19" x14ac:dyDescent="0.25">
      <c r="K54" s="90" t="s">
        <v>605</v>
      </c>
      <c r="L54" s="80" t="s">
        <v>16</v>
      </c>
      <c r="M54" s="80" t="s">
        <v>17</v>
      </c>
      <c r="S54" s="80" t="s">
        <v>628</v>
      </c>
    </row>
    <row r="55" spans="2:19" x14ac:dyDescent="0.25">
      <c r="K55" s="90" t="s">
        <v>738</v>
      </c>
      <c r="L55" s="80" t="s">
        <v>18</v>
      </c>
      <c r="M55" s="80" t="s">
        <v>19</v>
      </c>
      <c r="S55" s="80" t="s">
        <v>629</v>
      </c>
    </row>
    <row r="56" spans="2:19" x14ac:dyDescent="0.25">
      <c r="K56" s="90" t="s">
        <v>566</v>
      </c>
      <c r="L56" s="80" t="s">
        <v>20</v>
      </c>
      <c r="M56" s="80" t="s">
        <v>21</v>
      </c>
      <c r="S56" s="80" t="s">
        <v>630</v>
      </c>
    </row>
    <row r="57" spans="2:19" x14ac:dyDescent="0.25">
      <c r="L57" s="80" t="s">
        <v>22</v>
      </c>
      <c r="M57" s="80" t="s">
        <v>23</v>
      </c>
      <c r="S57" s="80" t="s">
        <v>631</v>
      </c>
    </row>
    <row r="58" spans="2:19" x14ac:dyDescent="0.25">
      <c r="L58" s="80" t="s">
        <v>24</v>
      </c>
      <c r="M58" s="80" t="s">
        <v>25</v>
      </c>
      <c r="S58" s="80" t="s">
        <v>632</v>
      </c>
    </row>
    <row r="59" spans="2:19" x14ac:dyDescent="0.25">
      <c r="L59" s="80" t="s">
        <v>26</v>
      </c>
      <c r="M59" s="80" t="s">
        <v>27</v>
      </c>
      <c r="S59" s="80" t="s">
        <v>633</v>
      </c>
    </row>
    <row r="60" spans="2:19" x14ac:dyDescent="0.25">
      <c r="L60" s="80" t="s">
        <v>28</v>
      </c>
      <c r="M60" s="80" t="s">
        <v>29</v>
      </c>
      <c r="S60" s="80" t="s">
        <v>634</v>
      </c>
    </row>
    <row r="61" spans="2:19" x14ac:dyDescent="0.25">
      <c r="L61" s="80" t="s">
        <v>30</v>
      </c>
      <c r="M61" s="80" t="s">
        <v>31</v>
      </c>
      <c r="S61" s="80" t="s">
        <v>635</v>
      </c>
    </row>
    <row r="62" spans="2:19" x14ac:dyDescent="0.25">
      <c r="L62" s="80" t="s">
        <v>32</v>
      </c>
      <c r="M62" s="80" t="s">
        <v>33</v>
      </c>
      <c r="S62" s="80" t="s">
        <v>636</v>
      </c>
    </row>
    <row r="63" spans="2:19" x14ac:dyDescent="0.25">
      <c r="L63" s="80" t="s">
        <v>34</v>
      </c>
      <c r="M63" s="80" t="s">
        <v>35</v>
      </c>
      <c r="S63" s="80" t="s">
        <v>637</v>
      </c>
    </row>
    <row r="64" spans="2:19" x14ac:dyDescent="0.25">
      <c r="L64" s="80" t="s">
        <v>36</v>
      </c>
      <c r="M64" s="80" t="s">
        <v>37</v>
      </c>
      <c r="S64" s="80" t="s">
        <v>638</v>
      </c>
    </row>
    <row r="65" spans="12:19" x14ac:dyDescent="0.25">
      <c r="L65" s="80" t="s">
        <v>38</v>
      </c>
      <c r="M65" s="80" t="s">
        <v>39</v>
      </c>
      <c r="S65" s="80" t="s">
        <v>639</v>
      </c>
    </row>
    <row r="66" spans="12:19" x14ac:dyDescent="0.25">
      <c r="L66" s="80" t="s">
        <v>40</v>
      </c>
      <c r="M66" s="80" t="s">
        <v>41</v>
      </c>
      <c r="S66" s="80" t="s">
        <v>640</v>
      </c>
    </row>
    <row r="67" spans="12:19" x14ac:dyDescent="0.25">
      <c r="L67" s="80" t="s">
        <v>42</v>
      </c>
      <c r="M67" s="80" t="s">
        <v>43</v>
      </c>
      <c r="S67" s="80" t="s">
        <v>641</v>
      </c>
    </row>
    <row r="68" spans="12:19" x14ac:dyDescent="0.25">
      <c r="L68" s="80" t="s">
        <v>44</v>
      </c>
      <c r="M68" s="80" t="s">
        <v>45</v>
      </c>
      <c r="S68" s="80" t="s">
        <v>642</v>
      </c>
    </row>
    <row r="69" spans="12:19" x14ac:dyDescent="0.25">
      <c r="L69" s="80" t="s">
        <v>46</v>
      </c>
      <c r="M69" s="80" t="s">
        <v>47</v>
      </c>
      <c r="S69" s="80" t="s">
        <v>643</v>
      </c>
    </row>
    <row r="70" spans="12:19" x14ac:dyDescent="0.25">
      <c r="L70" s="80" t="s">
        <v>48</v>
      </c>
      <c r="M70" s="80" t="s">
        <v>49</v>
      </c>
      <c r="S70" s="80" t="s">
        <v>644</v>
      </c>
    </row>
    <row r="71" spans="12:19" x14ac:dyDescent="0.25">
      <c r="L71" s="80" t="s">
        <v>50</v>
      </c>
      <c r="M71" s="80" t="s">
        <v>51</v>
      </c>
      <c r="S71" s="80" t="s">
        <v>645</v>
      </c>
    </row>
    <row r="72" spans="12:19" x14ac:dyDescent="0.25">
      <c r="L72" s="80" t="s">
        <v>52</v>
      </c>
      <c r="M72" s="80" t="s">
        <v>53</v>
      </c>
      <c r="S72" s="80" t="s">
        <v>646</v>
      </c>
    </row>
    <row r="73" spans="12:19" x14ac:dyDescent="0.25">
      <c r="L73" s="80" t="s">
        <v>54</v>
      </c>
      <c r="M73" s="80" t="s">
        <v>55</v>
      </c>
      <c r="S73" s="80" t="s">
        <v>647</v>
      </c>
    </row>
    <row r="74" spans="12:19" x14ac:dyDescent="0.25">
      <c r="L74" s="80" t="s">
        <v>56</v>
      </c>
      <c r="M74" s="80" t="s">
        <v>57</v>
      </c>
      <c r="S74" s="80" t="s">
        <v>648</v>
      </c>
    </row>
    <row r="75" spans="12:19" x14ac:dyDescent="0.25">
      <c r="L75" s="80" t="s">
        <v>58</v>
      </c>
      <c r="M75" s="80" t="s">
        <v>59</v>
      </c>
      <c r="S75" s="80" t="s">
        <v>649</v>
      </c>
    </row>
    <row r="76" spans="12:19" x14ac:dyDescent="0.25">
      <c r="L76" s="80" t="s">
        <v>60</v>
      </c>
      <c r="M76" s="80" t="s">
        <v>61</v>
      </c>
      <c r="S76" s="80" t="s">
        <v>650</v>
      </c>
    </row>
    <row r="77" spans="12:19" x14ac:dyDescent="0.25">
      <c r="L77" s="80" t="s">
        <v>62</v>
      </c>
      <c r="M77" s="80" t="s">
        <v>63</v>
      </c>
      <c r="S77" s="80" t="s">
        <v>651</v>
      </c>
    </row>
    <row r="78" spans="12:19" x14ac:dyDescent="0.25">
      <c r="L78" s="80" t="s">
        <v>64</v>
      </c>
      <c r="M78" s="80" t="s">
        <v>65</v>
      </c>
      <c r="S78" s="80" t="s">
        <v>652</v>
      </c>
    </row>
    <row r="79" spans="12:19" x14ac:dyDescent="0.25">
      <c r="L79" s="80" t="s">
        <v>66</v>
      </c>
      <c r="M79" s="80" t="s">
        <v>67</v>
      </c>
      <c r="S79" s="80" t="s">
        <v>653</v>
      </c>
    </row>
    <row r="80" spans="12:19" x14ac:dyDescent="0.25">
      <c r="L80" s="80" t="s">
        <v>68</v>
      </c>
      <c r="M80" s="80" t="s">
        <v>69</v>
      </c>
      <c r="S80" s="80" t="s">
        <v>654</v>
      </c>
    </row>
    <row r="81" spans="12:19" x14ac:dyDescent="0.25">
      <c r="L81" s="80" t="s">
        <v>70</v>
      </c>
      <c r="M81" s="80" t="s">
        <v>71</v>
      </c>
      <c r="S81" s="80" t="s">
        <v>655</v>
      </c>
    </row>
    <row r="82" spans="12:19" x14ac:dyDescent="0.25">
      <c r="L82" s="80" t="s">
        <v>72</v>
      </c>
      <c r="M82" s="80" t="s">
        <v>73</v>
      </c>
      <c r="S82" s="80" t="s">
        <v>656</v>
      </c>
    </row>
    <row r="83" spans="12:19" x14ac:dyDescent="0.25">
      <c r="L83" s="80" t="s">
        <v>74</v>
      </c>
      <c r="M83" s="80" t="s">
        <v>75</v>
      </c>
      <c r="S83" s="80" t="s">
        <v>657</v>
      </c>
    </row>
    <row r="84" spans="12:19" x14ac:dyDescent="0.25">
      <c r="L84" s="80" t="s">
        <v>76</v>
      </c>
      <c r="M84" s="80" t="s">
        <v>77</v>
      </c>
      <c r="S84" s="80" t="s">
        <v>658</v>
      </c>
    </row>
    <row r="85" spans="12:19" x14ac:dyDescent="0.25">
      <c r="L85" s="80" t="s">
        <v>78</v>
      </c>
      <c r="M85" s="80" t="s">
        <v>79</v>
      </c>
      <c r="S85" s="80" t="s">
        <v>659</v>
      </c>
    </row>
    <row r="86" spans="12:19" x14ac:dyDescent="0.25">
      <c r="L86" s="80" t="s">
        <v>80</v>
      </c>
      <c r="M86" s="80" t="s">
        <v>81</v>
      </c>
      <c r="S86" s="80" t="s">
        <v>660</v>
      </c>
    </row>
    <row r="87" spans="12:19" x14ac:dyDescent="0.25">
      <c r="L87" s="80" t="s">
        <v>82</v>
      </c>
      <c r="M87" s="80" t="s">
        <v>83</v>
      </c>
      <c r="S87" s="80" t="s">
        <v>661</v>
      </c>
    </row>
    <row r="88" spans="12:19" x14ac:dyDescent="0.25">
      <c r="L88" s="80" t="s">
        <v>84</v>
      </c>
      <c r="M88" s="80" t="s">
        <v>85</v>
      </c>
      <c r="S88" s="80" t="s">
        <v>662</v>
      </c>
    </row>
    <row r="89" spans="12:19" x14ac:dyDescent="0.25">
      <c r="L89" s="80" t="s">
        <v>86</v>
      </c>
      <c r="M89" s="80" t="s">
        <v>87</v>
      </c>
      <c r="S89" s="80" t="s">
        <v>663</v>
      </c>
    </row>
    <row r="90" spans="12:19" x14ac:dyDescent="0.25">
      <c r="L90" s="80" t="s">
        <v>88</v>
      </c>
      <c r="M90" s="80" t="s">
        <v>89</v>
      </c>
      <c r="S90" s="80" t="s">
        <v>664</v>
      </c>
    </row>
    <row r="91" spans="12:19" x14ac:dyDescent="0.25">
      <c r="L91" s="80" t="s">
        <v>90</v>
      </c>
      <c r="M91" s="80" t="s">
        <v>91</v>
      </c>
      <c r="S91" s="80" t="s">
        <v>665</v>
      </c>
    </row>
    <row r="92" spans="12:19" x14ac:dyDescent="0.25">
      <c r="L92" s="80" t="s">
        <v>92</v>
      </c>
      <c r="M92" s="80" t="s">
        <v>93</v>
      </c>
    </row>
    <row r="93" spans="12:19" x14ac:dyDescent="0.25">
      <c r="L93" s="80" t="s">
        <v>94</v>
      </c>
      <c r="M93" s="80" t="s">
        <v>95</v>
      </c>
    </row>
    <row r="94" spans="12:19" x14ac:dyDescent="0.25">
      <c r="L94" s="80" t="s">
        <v>96</v>
      </c>
      <c r="M94" s="80" t="s">
        <v>97</v>
      </c>
    </row>
    <row r="95" spans="12:19" x14ac:dyDescent="0.25">
      <c r="L95" s="80" t="s">
        <v>98</v>
      </c>
      <c r="M95" s="80" t="s">
        <v>99</v>
      </c>
    </row>
    <row r="96" spans="12:19" x14ac:dyDescent="0.25">
      <c r="L96" s="80" t="s">
        <v>100</v>
      </c>
      <c r="M96" s="80" t="s">
        <v>101</v>
      </c>
    </row>
    <row r="97" spans="12:13" x14ac:dyDescent="0.25">
      <c r="L97" s="80" t="s">
        <v>102</v>
      </c>
      <c r="M97" s="80" t="s">
        <v>103</v>
      </c>
    </row>
    <row r="98" spans="12:13" x14ac:dyDescent="0.25">
      <c r="L98" s="80" t="s">
        <v>104</v>
      </c>
      <c r="M98" s="80" t="s">
        <v>105</v>
      </c>
    </row>
    <row r="99" spans="12:13" x14ac:dyDescent="0.25">
      <c r="L99" s="80" t="s">
        <v>106</v>
      </c>
      <c r="M99" s="80" t="s">
        <v>107</v>
      </c>
    </row>
    <row r="100" spans="12:13" x14ac:dyDescent="0.25">
      <c r="L100" s="80" t="s">
        <v>108</v>
      </c>
      <c r="M100" s="80" t="s">
        <v>109</v>
      </c>
    </row>
    <row r="101" spans="12:13" x14ac:dyDescent="0.25">
      <c r="L101" s="80" t="s">
        <v>110</v>
      </c>
      <c r="M101" s="80" t="s">
        <v>111</v>
      </c>
    </row>
    <row r="102" spans="12:13" x14ac:dyDescent="0.25">
      <c r="L102" s="80" t="s">
        <v>112</v>
      </c>
      <c r="M102" s="80" t="s">
        <v>113</v>
      </c>
    </row>
    <row r="103" spans="12:13" x14ac:dyDescent="0.25">
      <c r="L103" s="80" t="s">
        <v>114</v>
      </c>
      <c r="M103" s="80" t="s">
        <v>115</v>
      </c>
    </row>
    <row r="104" spans="12:13" x14ac:dyDescent="0.25">
      <c r="L104" s="80" t="s">
        <v>116</v>
      </c>
      <c r="M104" s="80" t="s">
        <v>117</v>
      </c>
    </row>
    <row r="105" spans="12:13" x14ac:dyDescent="0.25">
      <c r="L105" s="80" t="s">
        <v>118</v>
      </c>
      <c r="M105" s="80" t="s">
        <v>119</v>
      </c>
    </row>
    <row r="106" spans="12:13" x14ac:dyDescent="0.25">
      <c r="L106" s="80" t="s">
        <v>120</v>
      </c>
      <c r="M106" s="80" t="s">
        <v>121</v>
      </c>
    </row>
    <row r="107" spans="12:13" x14ac:dyDescent="0.25">
      <c r="L107" s="80" t="s">
        <v>122</v>
      </c>
      <c r="M107" s="80" t="s">
        <v>123</v>
      </c>
    </row>
    <row r="108" spans="12:13" x14ac:dyDescent="0.25">
      <c r="L108" s="80" t="s">
        <v>124</v>
      </c>
      <c r="M108" s="80" t="s">
        <v>125</v>
      </c>
    </row>
    <row r="109" spans="12:13" x14ac:dyDescent="0.25">
      <c r="L109" s="80" t="s">
        <v>126</v>
      </c>
      <c r="M109" s="80" t="s">
        <v>127</v>
      </c>
    </row>
    <row r="110" spans="12:13" x14ac:dyDescent="0.25">
      <c r="L110" s="80" t="s">
        <v>128</v>
      </c>
      <c r="M110" s="80" t="s">
        <v>129</v>
      </c>
    </row>
    <row r="111" spans="12:13" x14ac:dyDescent="0.25">
      <c r="L111" s="80" t="s">
        <v>130</v>
      </c>
      <c r="M111" s="80" t="s">
        <v>131</v>
      </c>
    </row>
    <row r="112" spans="12:13" x14ac:dyDescent="0.25">
      <c r="L112" s="80" t="s">
        <v>132</v>
      </c>
      <c r="M112" s="80" t="s">
        <v>133</v>
      </c>
    </row>
    <row r="113" spans="12:13" x14ac:dyDescent="0.25">
      <c r="L113" s="80" t="s">
        <v>134</v>
      </c>
      <c r="M113" s="80" t="s">
        <v>135</v>
      </c>
    </row>
    <row r="114" spans="12:13" x14ac:dyDescent="0.25">
      <c r="L114" s="80" t="s">
        <v>136</v>
      </c>
      <c r="M114" s="80" t="s">
        <v>137</v>
      </c>
    </row>
    <row r="115" spans="12:13" x14ac:dyDescent="0.25">
      <c r="L115" s="80" t="s">
        <v>138</v>
      </c>
      <c r="M115" s="80" t="s">
        <v>139</v>
      </c>
    </row>
    <row r="116" spans="12:13" x14ac:dyDescent="0.25">
      <c r="L116" s="80" t="s">
        <v>140</v>
      </c>
      <c r="M116" s="80" t="s">
        <v>141</v>
      </c>
    </row>
    <row r="117" spans="12:13" x14ac:dyDescent="0.25">
      <c r="L117" s="80" t="s">
        <v>142</v>
      </c>
      <c r="M117" s="80" t="s">
        <v>143</v>
      </c>
    </row>
    <row r="118" spans="12:13" x14ac:dyDescent="0.25">
      <c r="L118" s="80" t="s">
        <v>144</v>
      </c>
      <c r="M118" s="80" t="s">
        <v>145</v>
      </c>
    </row>
    <row r="119" spans="12:13" x14ac:dyDescent="0.25">
      <c r="L119" s="80" t="s">
        <v>146</v>
      </c>
      <c r="M119" s="80" t="s">
        <v>147</v>
      </c>
    </row>
    <row r="120" spans="12:13" x14ac:dyDescent="0.25">
      <c r="L120" s="80" t="s">
        <v>148</v>
      </c>
      <c r="M120" s="80" t="s">
        <v>149</v>
      </c>
    </row>
    <row r="121" spans="12:13" x14ac:dyDescent="0.25">
      <c r="L121" s="80" t="s">
        <v>150</v>
      </c>
      <c r="M121" s="80" t="s">
        <v>151</v>
      </c>
    </row>
    <row r="122" spans="12:13" x14ac:dyDescent="0.25">
      <c r="L122" s="80" t="s">
        <v>152</v>
      </c>
      <c r="M122" s="80" t="s">
        <v>153</v>
      </c>
    </row>
    <row r="123" spans="12:13" x14ac:dyDescent="0.25">
      <c r="L123" s="80" t="s">
        <v>154</v>
      </c>
      <c r="M123" s="80" t="s">
        <v>155</v>
      </c>
    </row>
    <row r="124" spans="12:13" x14ac:dyDescent="0.25">
      <c r="L124" s="80" t="s">
        <v>156</v>
      </c>
      <c r="M124" s="80" t="s">
        <v>157</v>
      </c>
    </row>
    <row r="125" spans="12:13" x14ac:dyDescent="0.25">
      <c r="L125" s="80" t="s">
        <v>158</v>
      </c>
      <c r="M125" s="80" t="s">
        <v>159</v>
      </c>
    </row>
    <row r="126" spans="12:13" x14ac:dyDescent="0.25">
      <c r="L126" s="80" t="s">
        <v>160</v>
      </c>
      <c r="M126" s="80" t="s">
        <v>161</v>
      </c>
    </row>
    <row r="127" spans="12:13" x14ac:dyDescent="0.25">
      <c r="L127" s="80" t="s">
        <v>162</v>
      </c>
      <c r="M127" s="80" t="s">
        <v>163</v>
      </c>
    </row>
    <row r="128" spans="12:13" x14ac:dyDescent="0.25">
      <c r="L128" s="80" t="s">
        <v>164</v>
      </c>
      <c r="M128" s="80" t="s">
        <v>165</v>
      </c>
    </row>
    <row r="129" spans="12:13" x14ac:dyDescent="0.25">
      <c r="L129" s="80" t="s">
        <v>166</v>
      </c>
      <c r="M129" s="80" t="s">
        <v>167</v>
      </c>
    </row>
    <row r="130" spans="12:13" x14ac:dyDescent="0.25">
      <c r="L130" s="80" t="s">
        <v>168</v>
      </c>
      <c r="M130" s="80" t="s">
        <v>169</v>
      </c>
    </row>
    <row r="131" spans="12:13" x14ac:dyDescent="0.25">
      <c r="L131" s="80" t="s">
        <v>170</v>
      </c>
      <c r="M131" s="80" t="s">
        <v>171</v>
      </c>
    </row>
    <row r="132" spans="12:13" x14ac:dyDescent="0.25">
      <c r="L132" s="80" t="s">
        <v>172</v>
      </c>
      <c r="M132" s="80" t="s">
        <v>173</v>
      </c>
    </row>
    <row r="133" spans="12:13" x14ac:dyDescent="0.25">
      <c r="L133" s="80" t="s">
        <v>174</v>
      </c>
      <c r="M133" s="80" t="s">
        <v>175</v>
      </c>
    </row>
    <row r="134" spans="12:13" x14ac:dyDescent="0.25">
      <c r="L134" s="80" t="s">
        <v>176</v>
      </c>
      <c r="M134" s="80" t="s">
        <v>177</v>
      </c>
    </row>
    <row r="135" spans="12:13" x14ac:dyDescent="0.25">
      <c r="L135" s="80" t="s">
        <v>178</v>
      </c>
      <c r="M135" s="80" t="s">
        <v>179</v>
      </c>
    </row>
    <row r="136" spans="12:13" x14ac:dyDescent="0.25">
      <c r="L136" s="80" t="s">
        <v>180</v>
      </c>
      <c r="M136" s="80" t="s">
        <v>181</v>
      </c>
    </row>
    <row r="137" spans="12:13" x14ac:dyDescent="0.25">
      <c r="L137" s="80" t="s">
        <v>182</v>
      </c>
      <c r="M137" s="80" t="s">
        <v>183</v>
      </c>
    </row>
    <row r="138" spans="12:13" x14ac:dyDescent="0.25">
      <c r="L138" s="80" t="s">
        <v>184</v>
      </c>
      <c r="M138" s="80" t="s">
        <v>185</v>
      </c>
    </row>
    <row r="139" spans="12:13" x14ac:dyDescent="0.25">
      <c r="L139" s="80" t="s">
        <v>186</v>
      </c>
      <c r="M139" s="80" t="s">
        <v>187</v>
      </c>
    </row>
    <row r="140" spans="12:13" x14ac:dyDescent="0.25">
      <c r="L140" s="80" t="s">
        <v>188</v>
      </c>
      <c r="M140" s="80" t="s">
        <v>189</v>
      </c>
    </row>
    <row r="141" spans="12:13" x14ac:dyDescent="0.25">
      <c r="L141" s="80" t="s">
        <v>190</v>
      </c>
      <c r="M141" s="80" t="s">
        <v>191</v>
      </c>
    </row>
    <row r="142" spans="12:13" x14ac:dyDescent="0.25">
      <c r="L142" s="80" t="s">
        <v>192</v>
      </c>
      <c r="M142" s="80" t="s">
        <v>193</v>
      </c>
    </row>
    <row r="143" spans="12:13" x14ac:dyDescent="0.25">
      <c r="L143" s="80" t="s">
        <v>194</v>
      </c>
      <c r="M143" s="80" t="s">
        <v>195</v>
      </c>
    </row>
    <row r="144" spans="12:13" x14ac:dyDescent="0.25">
      <c r="L144" s="80" t="s">
        <v>196</v>
      </c>
      <c r="M144" s="80" t="s">
        <v>197</v>
      </c>
    </row>
    <row r="145" spans="12:13" x14ac:dyDescent="0.25">
      <c r="L145" s="80" t="s">
        <v>198</v>
      </c>
      <c r="M145" s="80" t="s">
        <v>199</v>
      </c>
    </row>
    <row r="146" spans="12:13" x14ac:dyDescent="0.25">
      <c r="L146" s="80" t="s">
        <v>200</v>
      </c>
      <c r="M146" s="80" t="s">
        <v>201</v>
      </c>
    </row>
    <row r="147" spans="12:13" x14ac:dyDescent="0.25">
      <c r="L147" s="80" t="s">
        <v>202</v>
      </c>
      <c r="M147" s="80" t="s">
        <v>203</v>
      </c>
    </row>
    <row r="148" spans="12:13" x14ac:dyDescent="0.25">
      <c r="L148" s="80" t="s">
        <v>204</v>
      </c>
      <c r="M148" s="80" t="s">
        <v>205</v>
      </c>
    </row>
    <row r="149" spans="12:13" x14ac:dyDescent="0.25">
      <c r="L149" s="80" t="s">
        <v>206</v>
      </c>
      <c r="M149" s="80" t="s">
        <v>207</v>
      </c>
    </row>
    <row r="150" spans="12:13" x14ac:dyDescent="0.25">
      <c r="L150" s="80" t="s">
        <v>208</v>
      </c>
      <c r="M150" s="80" t="s">
        <v>209</v>
      </c>
    </row>
    <row r="151" spans="12:13" x14ac:dyDescent="0.25">
      <c r="L151" s="80" t="s">
        <v>210</v>
      </c>
      <c r="M151" s="80" t="s">
        <v>211</v>
      </c>
    </row>
    <row r="152" spans="12:13" x14ac:dyDescent="0.25">
      <c r="L152" s="80" t="s">
        <v>212</v>
      </c>
      <c r="M152" s="80" t="s">
        <v>213</v>
      </c>
    </row>
    <row r="153" spans="12:13" x14ac:dyDescent="0.25">
      <c r="L153" s="80" t="s">
        <v>214</v>
      </c>
      <c r="M153" s="80" t="s">
        <v>215</v>
      </c>
    </row>
    <row r="154" spans="12:13" x14ac:dyDescent="0.25">
      <c r="L154" s="80" t="s">
        <v>216</v>
      </c>
      <c r="M154" s="80" t="s">
        <v>217</v>
      </c>
    </row>
    <row r="155" spans="12:13" x14ac:dyDescent="0.25">
      <c r="L155" s="80" t="s">
        <v>218</v>
      </c>
      <c r="M155" s="80" t="s">
        <v>219</v>
      </c>
    </row>
    <row r="156" spans="12:13" x14ac:dyDescent="0.25">
      <c r="L156" s="80" t="s">
        <v>220</v>
      </c>
      <c r="M156" s="80" t="s">
        <v>221</v>
      </c>
    </row>
    <row r="157" spans="12:13" x14ac:dyDescent="0.25">
      <c r="L157" s="80" t="s">
        <v>222</v>
      </c>
      <c r="M157" s="80" t="s">
        <v>223</v>
      </c>
    </row>
    <row r="158" spans="12:13" x14ac:dyDescent="0.25">
      <c r="L158" s="80" t="s">
        <v>224</v>
      </c>
      <c r="M158" s="80" t="s">
        <v>225</v>
      </c>
    </row>
    <row r="159" spans="12:13" x14ac:dyDescent="0.25">
      <c r="L159" s="80" t="s">
        <v>226</v>
      </c>
      <c r="M159" s="80" t="s">
        <v>227</v>
      </c>
    </row>
    <row r="160" spans="12:13" x14ac:dyDescent="0.25">
      <c r="L160" s="80" t="s">
        <v>228</v>
      </c>
      <c r="M160" s="80" t="s">
        <v>229</v>
      </c>
    </row>
    <row r="161" spans="12:13" x14ac:dyDescent="0.25">
      <c r="L161" s="80" t="s">
        <v>230</v>
      </c>
      <c r="M161" s="80" t="s">
        <v>231</v>
      </c>
    </row>
    <row r="162" spans="12:13" x14ac:dyDescent="0.25">
      <c r="L162" s="80" t="s">
        <v>232</v>
      </c>
      <c r="M162" s="80" t="s">
        <v>233</v>
      </c>
    </row>
    <row r="163" spans="12:13" x14ac:dyDescent="0.25">
      <c r="L163" s="80" t="s">
        <v>234</v>
      </c>
      <c r="M163" s="80" t="s">
        <v>235</v>
      </c>
    </row>
    <row r="164" spans="12:13" x14ac:dyDescent="0.25">
      <c r="L164" s="80" t="s">
        <v>236</v>
      </c>
      <c r="M164" s="80" t="s">
        <v>237</v>
      </c>
    </row>
    <row r="165" spans="12:13" x14ac:dyDescent="0.25">
      <c r="L165" s="80" t="s">
        <v>238</v>
      </c>
      <c r="M165" s="80" t="s">
        <v>239</v>
      </c>
    </row>
    <row r="166" spans="12:13" x14ac:dyDescent="0.25">
      <c r="L166" s="80" t="s">
        <v>240</v>
      </c>
      <c r="M166" s="80" t="s">
        <v>241</v>
      </c>
    </row>
    <row r="167" spans="12:13" x14ac:dyDescent="0.25">
      <c r="L167" s="80" t="s">
        <v>242</v>
      </c>
      <c r="M167" s="80" t="s">
        <v>243</v>
      </c>
    </row>
    <row r="168" spans="12:13" x14ac:dyDescent="0.25">
      <c r="L168" s="80" t="s">
        <v>244</v>
      </c>
      <c r="M168" s="80" t="s">
        <v>245</v>
      </c>
    </row>
    <row r="169" spans="12:13" x14ac:dyDescent="0.25">
      <c r="L169" s="80" t="s">
        <v>246</v>
      </c>
      <c r="M169" s="80" t="s">
        <v>247</v>
      </c>
    </row>
    <row r="170" spans="12:13" x14ac:dyDescent="0.25">
      <c r="L170" s="80" t="s">
        <v>248</v>
      </c>
      <c r="M170" s="80" t="s">
        <v>249</v>
      </c>
    </row>
    <row r="171" spans="12:13" x14ac:dyDescent="0.25">
      <c r="L171" s="80" t="s">
        <v>250</v>
      </c>
      <c r="M171" s="80" t="s">
        <v>251</v>
      </c>
    </row>
    <row r="172" spans="12:13" x14ac:dyDescent="0.25">
      <c r="L172" s="80" t="s">
        <v>252</v>
      </c>
      <c r="M172" s="80" t="s">
        <v>253</v>
      </c>
    </row>
    <row r="173" spans="12:13" x14ac:dyDescent="0.25">
      <c r="L173" s="80" t="s">
        <v>254</v>
      </c>
      <c r="M173" s="80" t="s">
        <v>255</v>
      </c>
    </row>
    <row r="174" spans="12:13" x14ac:dyDescent="0.25">
      <c r="L174" s="80" t="s">
        <v>256</v>
      </c>
      <c r="M174" s="80" t="s">
        <v>257</v>
      </c>
    </row>
    <row r="175" spans="12:13" x14ac:dyDescent="0.25">
      <c r="L175" s="80" t="s">
        <v>258</v>
      </c>
      <c r="M175" s="80" t="s">
        <v>259</v>
      </c>
    </row>
    <row r="176" spans="12:13" x14ac:dyDescent="0.25">
      <c r="L176" s="80" t="s">
        <v>260</v>
      </c>
      <c r="M176" s="80" t="s">
        <v>261</v>
      </c>
    </row>
    <row r="177" spans="12:13" x14ac:dyDescent="0.25">
      <c r="L177" s="80" t="s">
        <v>262</v>
      </c>
      <c r="M177" s="80" t="s">
        <v>263</v>
      </c>
    </row>
    <row r="178" spans="12:13" x14ac:dyDescent="0.25">
      <c r="L178" s="80" t="s">
        <v>264</v>
      </c>
      <c r="M178" s="80" t="s">
        <v>265</v>
      </c>
    </row>
    <row r="179" spans="12:13" x14ac:dyDescent="0.25">
      <c r="L179" s="80" t="s">
        <v>266</v>
      </c>
      <c r="M179" s="80" t="s">
        <v>267</v>
      </c>
    </row>
    <row r="180" spans="12:13" x14ac:dyDescent="0.25">
      <c r="L180" s="80" t="s">
        <v>268</v>
      </c>
      <c r="M180" s="80" t="s">
        <v>269</v>
      </c>
    </row>
    <row r="181" spans="12:13" x14ac:dyDescent="0.25">
      <c r="L181" s="80" t="s">
        <v>270</v>
      </c>
      <c r="M181" s="80" t="s">
        <v>271</v>
      </c>
    </row>
    <row r="182" spans="12:13" x14ac:dyDescent="0.25">
      <c r="L182" s="80" t="s">
        <v>272</v>
      </c>
      <c r="M182" s="80" t="s">
        <v>273</v>
      </c>
    </row>
    <row r="183" spans="12:13" x14ac:dyDescent="0.25">
      <c r="L183" s="80" t="s">
        <v>274</v>
      </c>
      <c r="M183" s="80" t="s">
        <v>275</v>
      </c>
    </row>
    <row r="184" spans="12:13" x14ac:dyDescent="0.25">
      <c r="L184" s="80" t="s">
        <v>276</v>
      </c>
      <c r="M184" s="80" t="s">
        <v>277</v>
      </c>
    </row>
    <row r="185" spans="12:13" x14ac:dyDescent="0.25">
      <c r="L185" s="80" t="s">
        <v>278</v>
      </c>
      <c r="M185" s="80" t="s">
        <v>279</v>
      </c>
    </row>
    <row r="186" spans="12:13" x14ac:dyDescent="0.25">
      <c r="L186" s="80" t="s">
        <v>280</v>
      </c>
      <c r="M186" s="80" t="s">
        <v>281</v>
      </c>
    </row>
    <row r="187" spans="12:13" x14ac:dyDescent="0.25">
      <c r="L187" s="80" t="s">
        <v>282</v>
      </c>
      <c r="M187" s="80" t="s">
        <v>283</v>
      </c>
    </row>
    <row r="188" spans="12:13" x14ac:dyDescent="0.25">
      <c r="L188" s="80" t="s">
        <v>284</v>
      </c>
      <c r="M188" s="80" t="s">
        <v>285</v>
      </c>
    </row>
    <row r="189" spans="12:13" x14ac:dyDescent="0.25">
      <c r="L189" s="80" t="s">
        <v>286</v>
      </c>
      <c r="M189" s="80" t="s">
        <v>287</v>
      </c>
    </row>
    <row r="190" spans="12:13" x14ac:dyDescent="0.25">
      <c r="L190" s="80" t="s">
        <v>288</v>
      </c>
      <c r="M190" s="80" t="s">
        <v>289</v>
      </c>
    </row>
    <row r="191" spans="12:13" x14ac:dyDescent="0.25">
      <c r="L191" s="80" t="s">
        <v>290</v>
      </c>
      <c r="M191" s="80" t="s">
        <v>291</v>
      </c>
    </row>
    <row r="192" spans="12:13" x14ac:dyDescent="0.25">
      <c r="L192" s="80" t="s">
        <v>292</v>
      </c>
      <c r="M192" s="80" t="s">
        <v>293</v>
      </c>
    </row>
    <row r="193" spans="12:13" x14ac:dyDescent="0.25">
      <c r="L193" s="80" t="s">
        <v>294</v>
      </c>
      <c r="M193" s="80" t="s">
        <v>295</v>
      </c>
    </row>
    <row r="194" spans="12:13" x14ac:dyDescent="0.25">
      <c r="L194" s="80" t="s">
        <v>296</v>
      </c>
      <c r="M194" s="80" t="s">
        <v>297</v>
      </c>
    </row>
    <row r="195" spans="12:13" x14ac:dyDescent="0.25">
      <c r="L195" s="80" t="s">
        <v>298</v>
      </c>
      <c r="M195" s="80" t="s">
        <v>299</v>
      </c>
    </row>
    <row r="196" spans="12:13" x14ac:dyDescent="0.25">
      <c r="L196" s="80" t="s">
        <v>300</v>
      </c>
      <c r="M196" s="80" t="s">
        <v>301</v>
      </c>
    </row>
    <row r="197" spans="12:13" x14ac:dyDescent="0.25">
      <c r="L197" s="80" t="s">
        <v>302</v>
      </c>
      <c r="M197" s="80" t="s">
        <v>303</v>
      </c>
    </row>
    <row r="198" spans="12:13" x14ac:dyDescent="0.25">
      <c r="L198" s="80" t="s">
        <v>304</v>
      </c>
      <c r="M198" s="80" t="s">
        <v>305</v>
      </c>
    </row>
    <row r="199" spans="12:13" x14ac:dyDescent="0.25">
      <c r="L199" s="80" t="s">
        <v>306</v>
      </c>
      <c r="M199" s="80" t="s">
        <v>307</v>
      </c>
    </row>
    <row r="200" spans="12:13" x14ac:dyDescent="0.25">
      <c r="L200" s="80" t="s">
        <v>308</v>
      </c>
      <c r="M200" s="80" t="s">
        <v>309</v>
      </c>
    </row>
    <row r="201" spans="12:13" x14ac:dyDescent="0.25">
      <c r="L201" s="80" t="s">
        <v>310</v>
      </c>
      <c r="M201" s="80" t="s">
        <v>311</v>
      </c>
    </row>
    <row r="202" spans="12:13" x14ac:dyDescent="0.25">
      <c r="L202" s="80" t="s">
        <v>312</v>
      </c>
      <c r="M202" s="80" t="s">
        <v>313</v>
      </c>
    </row>
    <row r="203" spans="12:13" x14ac:dyDescent="0.25">
      <c r="L203" s="80" t="s">
        <v>314</v>
      </c>
      <c r="M203" s="80" t="s">
        <v>315</v>
      </c>
    </row>
    <row r="204" spans="12:13" x14ac:dyDescent="0.25">
      <c r="L204" s="80" t="s">
        <v>316</v>
      </c>
      <c r="M204" s="80" t="s">
        <v>317</v>
      </c>
    </row>
    <row r="205" spans="12:13" x14ac:dyDescent="0.25">
      <c r="L205" s="80" t="s">
        <v>318</v>
      </c>
      <c r="M205" s="80" t="s">
        <v>319</v>
      </c>
    </row>
    <row r="206" spans="12:13" x14ac:dyDescent="0.25">
      <c r="L206" s="80" t="s">
        <v>320</v>
      </c>
      <c r="M206" s="80" t="s">
        <v>321</v>
      </c>
    </row>
    <row r="207" spans="12:13" x14ac:dyDescent="0.25">
      <c r="L207" s="80" t="s">
        <v>322</v>
      </c>
      <c r="M207" s="80" t="s">
        <v>323</v>
      </c>
    </row>
    <row r="208" spans="12:13" x14ac:dyDescent="0.25">
      <c r="L208" s="80" t="s">
        <v>324</v>
      </c>
      <c r="M208" s="80" t="s">
        <v>325</v>
      </c>
    </row>
    <row r="209" spans="12:13" x14ac:dyDescent="0.25">
      <c r="L209" s="80" t="s">
        <v>326</v>
      </c>
      <c r="M209" s="80" t="s">
        <v>327</v>
      </c>
    </row>
    <row r="210" spans="12:13" x14ac:dyDescent="0.25">
      <c r="L210" s="80" t="s">
        <v>328</v>
      </c>
      <c r="M210" s="80" t="s">
        <v>329</v>
      </c>
    </row>
    <row r="211" spans="12:13" x14ac:dyDescent="0.25">
      <c r="L211" s="80" t="s">
        <v>330</v>
      </c>
      <c r="M211" s="80" t="s">
        <v>331</v>
      </c>
    </row>
    <row r="212" spans="12:13" x14ac:dyDescent="0.25">
      <c r="L212" s="80" t="s">
        <v>332</v>
      </c>
      <c r="M212" s="80" t="s">
        <v>333</v>
      </c>
    </row>
    <row r="213" spans="12:13" x14ac:dyDescent="0.25">
      <c r="L213" s="80" t="s">
        <v>334</v>
      </c>
      <c r="M213" s="80" t="s">
        <v>335</v>
      </c>
    </row>
    <row r="214" spans="12:13" x14ac:dyDescent="0.25">
      <c r="L214" s="80" t="s">
        <v>336</v>
      </c>
      <c r="M214" s="80" t="s">
        <v>337</v>
      </c>
    </row>
    <row r="215" spans="12:13" x14ac:dyDescent="0.25">
      <c r="L215" s="80" t="s">
        <v>338</v>
      </c>
      <c r="M215" s="80" t="s">
        <v>339</v>
      </c>
    </row>
    <row r="216" spans="12:13" x14ac:dyDescent="0.25">
      <c r="L216" s="80" t="s">
        <v>340</v>
      </c>
      <c r="M216" s="80" t="s">
        <v>341</v>
      </c>
    </row>
    <row r="217" spans="12:13" x14ac:dyDescent="0.25">
      <c r="L217" s="80" t="s">
        <v>342</v>
      </c>
      <c r="M217" s="80" t="s">
        <v>343</v>
      </c>
    </row>
    <row r="218" spans="12:13" x14ac:dyDescent="0.25">
      <c r="L218" s="80" t="s">
        <v>344</v>
      </c>
      <c r="M218" s="80" t="s">
        <v>345</v>
      </c>
    </row>
    <row r="219" spans="12:13" x14ac:dyDescent="0.25">
      <c r="L219" s="80" t="s">
        <v>346</v>
      </c>
      <c r="M219" s="80" t="s">
        <v>347</v>
      </c>
    </row>
    <row r="220" spans="12:13" x14ac:dyDescent="0.25">
      <c r="L220" s="80" t="s">
        <v>348</v>
      </c>
      <c r="M220" s="80" t="s">
        <v>349</v>
      </c>
    </row>
    <row r="221" spans="12:13" x14ac:dyDescent="0.25">
      <c r="L221" s="80" t="s">
        <v>350</v>
      </c>
      <c r="M221" s="80" t="s">
        <v>351</v>
      </c>
    </row>
    <row r="222" spans="12:13" x14ac:dyDescent="0.25">
      <c r="L222" s="80" t="s">
        <v>352</v>
      </c>
      <c r="M222" s="80" t="s">
        <v>353</v>
      </c>
    </row>
    <row r="223" spans="12:13" x14ac:dyDescent="0.25">
      <c r="L223" s="80" t="s">
        <v>354</v>
      </c>
      <c r="M223" s="80" t="s">
        <v>355</v>
      </c>
    </row>
    <row r="224" spans="12:13" x14ac:dyDescent="0.25">
      <c r="L224" s="80" t="s">
        <v>356</v>
      </c>
      <c r="M224" s="80" t="s">
        <v>357</v>
      </c>
    </row>
    <row r="225" spans="12:13" x14ac:dyDescent="0.25">
      <c r="L225" s="80" t="s">
        <v>358</v>
      </c>
      <c r="M225" s="80" t="s">
        <v>359</v>
      </c>
    </row>
    <row r="226" spans="12:13" x14ac:dyDescent="0.25">
      <c r="L226" s="80" t="s">
        <v>360</v>
      </c>
      <c r="M226" s="80" t="s">
        <v>361</v>
      </c>
    </row>
    <row r="227" spans="12:13" x14ac:dyDescent="0.25">
      <c r="L227" s="80" t="s">
        <v>362</v>
      </c>
      <c r="M227" s="80" t="s">
        <v>363</v>
      </c>
    </row>
    <row r="228" spans="12:13" x14ac:dyDescent="0.25">
      <c r="L228" s="80" t="s">
        <v>364</v>
      </c>
      <c r="M228" s="80" t="s">
        <v>365</v>
      </c>
    </row>
    <row r="229" spans="12:13" x14ac:dyDescent="0.25">
      <c r="L229" s="80" t="s">
        <v>366</v>
      </c>
      <c r="M229" s="80" t="s">
        <v>367</v>
      </c>
    </row>
    <row r="230" spans="12:13" x14ac:dyDescent="0.25">
      <c r="L230" s="80" t="s">
        <v>368</v>
      </c>
      <c r="M230" s="80" t="s">
        <v>369</v>
      </c>
    </row>
    <row r="231" spans="12:13" x14ac:dyDescent="0.25">
      <c r="L231" s="80" t="s">
        <v>370</v>
      </c>
      <c r="M231" s="80" t="s">
        <v>371</v>
      </c>
    </row>
    <row r="232" spans="12:13" x14ac:dyDescent="0.25">
      <c r="L232" s="80" t="s">
        <v>372</v>
      </c>
      <c r="M232" s="80" t="s">
        <v>373</v>
      </c>
    </row>
    <row r="233" spans="12:13" x14ac:dyDescent="0.25">
      <c r="L233" s="80" t="s">
        <v>374</v>
      </c>
      <c r="M233" s="80" t="s">
        <v>375</v>
      </c>
    </row>
    <row r="234" spans="12:13" x14ac:dyDescent="0.25">
      <c r="L234" s="80" t="s">
        <v>376</v>
      </c>
      <c r="M234" s="80" t="s">
        <v>377</v>
      </c>
    </row>
    <row r="235" spans="12:13" x14ac:dyDescent="0.25">
      <c r="L235" s="80" t="s">
        <v>378</v>
      </c>
      <c r="M235" s="80" t="s">
        <v>379</v>
      </c>
    </row>
    <row r="236" spans="12:13" x14ac:dyDescent="0.25">
      <c r="L236" s="80" t="s">
        <v>380</v>
      </c>
      <c r="M236" s="80" t="s">
        <v>381</v>
      </c>
    </row>
    <row r="237" spans="12:13" x14ac:dyDescent="0.25">
      <c r="L237" s="80" t="s">
        <v>382</v>
      </c>
      <c r="M237" s="80" t="s">
        <v>383</v>
      </c>
    </row>
    <row r="238" spans="12:13" x14ac:dyDescent="0.25">
      <c r="L238" s="80" t="s">
        <v>384</v>
      </c>
      <c r="M238" s="80" t="s">
        <v>385</v>
      </c>
    </row>
    <row r="239" spans="12:13" x14ac:dyDescent="0.25">
      <c r="L239" s="80" t="s">
        <v>386</v>
      </c>
      <c r="M239" s="80" t="s">
        <v>387</v>
      </c>
    </row>
    <row r="240" spans="12:13" x14ac:dyDescent="0.25">
      <c r="L240" s="80" t="s">
        <v>388</v>
      </c>
      <c r="M240" s="80" t="s">
        <v>389</v>
      </c>
    </row>
    <row r="241" spans="12:13" x14ac:dyDescent="0.25">
      <c r="L241" s="80" t="s">
        <v>390</v>
      </c>
      <c r="M241" s="80" t="s">
        <v>391</v>
      </c>
    </row>
    <row r="242" spans="12:13" x14ac:dyDescent="0.25">
      <c r="L242" s="80" t="s">
        <v>392</v>
      </c>
      <c r="M242" s="80" t="s">
        <v>393</v>
      </c>
    </row>
    <row r="243" spans="12:13" x14ac:dyDescent="0.25">
      <c r="L243" s="80" t="s">
        <v>394</v>
      </c>
      <c r="M243" s="80" t="s">
        <v>395</v>
      </c>
    </row>
    <row r="244" spans="12:13" x14ac:dyDescent="0.25">
      <c r="L244" s="80" t="s">
        <v>396</v>
      </c>
      <c r="M244" s="80" t="s">
        <v>397</v>
      </c>
    </row>
    <row r="245" spans="12:13" x14ac:dyDescent="0.25">
      <c r="L245" s="80" t="s">
        <v>398</v>
      </c>
      <c r="M245" s="80" t="s">
        <v>399</v>
      </c>
    </row>
    <row r="246" spans="12:13" x14ac:dyDescent="0.25">
      <c r="L246" s="80" t="s">
        <v>400</v>
      </c>
      <c r="M246" s="80" t="s">
        <v>401</v>
      </c>
    </row>
    <row r="247" spans="12:13" x14ac:dyDescent="0.25">
      <c r="L247" s="80" t="s">
        <v>402</v>
      </c>
      <c r="M247" s="80" t="s">
        <v>403</v>
      </c>
    </row>
    <row r="248" spans="12:13" x14ac:dyDescent="0.25">
      <c r="L248" s="80" t="s">
        <v>404</v>
      </c>
      <c r="M248" s="80" t="s">
        <v>405</v>
      </c>
    </row>
    <row r="249" spans="12:13" x14ac:dyDescent="0.25">
      <c r="L249" s="80" t="s">
        <v>406</v>
      </c>
      <c r="M249" s="80" t="s">
        <v>407</v>
      </c>
    </row>
    <row r="250" spans="12:13" x14ac:dyDescent="0.25">
      <c r="L250" s="80" t="s">
        <v>408</v>
      </c>
      <c r="M250" s="80" t="s">
        <v>409</v>
      </c>
    </row>
    <row r="251" spans="12:13" x14ac:dyDescent="0.25">
      <c r="L251" s="80" t="s">
        <v>410</v>
      </c>
      <c r="M251" s="80" t="s">
        <v>411</v>
      </c>
    </row>
    <row r="252" spans="12:13" x14ac:dyDescent="0.25">
      <c r="L252" s="80" t="s">
        <v>412</v>
      </c>
      <c r="M252" s="80" t="s">
        <v>413</v>
      </c>
    </row>
    <row r="253" spans="12:13" x14ac:dyDescent="0.25">
      <c r="L253" s="80" t="s">
        <v>414</v>
      </c>
      <c r="M253" s="80" t="s">
        <v>415</v>
      </c>
    </row>
    <row r="254" spans="12:13" x14ac:dyDescent="0.25">
      <c r="L254" s="80" t="s">
        <v>416</v>
      </c>
      <c r="M254" s="80" t="s">
        <v>417</v>
      </c>
    </row>
    <row r="255" spans="12:13" x14ac:dyDescent="0.25">
      <c r="L255" s="80" t="s">
        <v>418</v>
      </c>
      <c r="M255" s="80" t="s">
        <v>419</v>
      </c>
    </row>
    <row r="256" spans="12:13" x14ac:dyDescent="0.25">
      <c r="L256" s="80" t="s">
        <v>420</v>
      </c>
      <c r="M256" s="80" t="s">
        <v>421</v>
      </c>
    </row>
    <row r="257" spans="12:13" x14ac:dyDescent="0.25">
      <c r="L257" s="80" t="s">
        <v>422</v>
      </c>
      <c r="M257" s="80" t="s">
        <v>423</v>
      </c>
    </row>
    <row r="258" spans="12:13" x14ac:dyDescent="0.25">
      <c r="L258" s="80" t="s">
        <v>424</v>
      </c>
      <c r="M258" s="80" t="s">
        <v>425</v>
      </c>
    </row>
    <row r="259" spans="12:13" x14ac:dyDescent="0.25">
      <c r="L259" s="80" t="s">
        <v>426</v>
      </c>
      <c r="M259" s="80" t="s">
        <v>427</v>
      </c>
    </row>
    <row r="260" spans="12:13" x14ac:dyDescent="0.25">
      <c r="L260" s="80" t="s">
        <v>428</v>
      </c>
      <c r="M260" s="80" t="s">
        <v>429</v>
      </c>
    </row>
    <row r="261" spans="12:13" x14ac:dyDescent="0.25">
      <c r="L261" s="80" t="s">
        <v>430</v>
      </c>
      <c r="M261" s="80" t="s">
        <v>431</v>
      </c>
    </row>
    <row r="262" spans="12:13" x14ac:dyDescent="0.25">
      <c r="L262" s="80" t="s">
        <v>432</v>
      </c>
      <c r="M262" s="80" t="s">
        <v>433</v>
      </c>
    </row>
    <row r="263" spans="12:13" x14ac:dyDescent="0.25">
      <c r="L263" s="80" t="s">
        <v>434</v>
      </c>
      <c r="M263" s="80" t="s">
        <v>435</v>
      </c>
    </row>
    <row r="264" spans="12:13" x14ac:dyDescent="0.25">
      <c r="L264" s="80" t="s">
        <v>436</v>
      </c>
      <c r="M264" s="80" t="s">
        <v>437</v>
      </c>
    </row>
    <row r="265" spans="12:13" x14ac:dyDescent="0.25">
      <c r="L265" s="80" t="s">
        <v>438</v>
      </c>
      <c r="M265" s="80" t="s">
        <v>439</v>
      </c>
    </row>
    <row r="266" spans="12:13" x14ac:dyDescent="0.25">
      <c r="L266" s="80" t="s">
        <v>440</v>
      </c>
      <c r="M266" s="80" t="s">
        <v>441</v>
      </c>
    </row>
    <row r="267" spans="12:13" x14ac:dyDescent="0.25">
      <c r="L267" s="80" t="s">
        <v>442</v>
      </c>
      <c r="M267" s="80" t="s">
        <v>443</v>
      </c>
    </row>
    <row r="268" spans="12:13" x14ac:dyDescent="0.25">
      <c r="L268" s="80" t="s">
        <v>444</v>
      </c>
      <c r="M268" s="80" t="s">
        <v>445</v>
      </c>
    </row>
    <row r="269" spans="12:13" x14ac:dyDescent="0.25">
      <c r="L269" s="80" t="s">
        <v>446</v>
      </c>
      <c r="M269" s="80" t="s">
        <v>447</v>
      </c>
    </row>
    <row r="270" spans="12:13" x14ac:dyDescent="0.25">
      <c r="L270" s="80" t="s">
        <v>448</v>
      </c>
      <c r="M270" s="80" t="s">
        <v>449</v>
      </c>
    </row>
    <row r="271" spans="12:13" x14ac:dyDescent="0.25">
      <c r="L271" s="80" t="s">
        <v>450</v>
      </c>
      <c r="M271" s="80" t="s">
        <v>451</v>
      </c>
    </row>
    <row r="272" spans="12:13" x14ac:dyDescent="0.25">
      <c r="L272" s="80" t="s">
        <v>452</v>
      </c>
      <c r="M272" s="80" t="s">
        <v>453</v>
      </c>
    </row>
    <row r="273" spans="12:13" x14ac:dyDescent="0.25">
      <c r="L273" s="80" t="s">
        <v>454</v>
      </c>
      <c r="M273" s="80" t="s">
        <v>455</v>
      </c>
    </row>
    <row r="274" spans="12:13" x14ac:dyDescent="0.25">
      <c r="L274" s="80" t="s">
        <v>456</v>
      </c>
      <c r="M274" s="80" t="s">
        <v>457</v>
      </c>
    </row>
    <row r="275" spans="12:13" x14ac:dyDescent="0.25">
      <c r="L275" s="80" t="s">
        <v>458</v>
      </c>
      <c r="M275" s="80" t="s">
        <v>459</v>
      </c>
    </row>
    <row r="276" spans="12:13" x14ac:dyDescent="0.25">
      <c r="L276" s="80" t="s">
        <v>460</v>
      </c>
      <c r="M276" s="80" t="s">
        <v>461</v>
      </c>
    </row>
    <row r="277" spans="12:13" x14ac:dyDescent="0.25">
      <c r="L277" s="80" t="s">
        <v>462</v>
      </c>
      <c r="M277" s="80" t="s">
        <v>463</v>
      </c>
    </row>
    <row r="278" spans="12:13" x14ac:dyDescent="0.25">
      <c r="L278" s="80" t="s">
        <v>464</v>
      </c>
      <c r="M278" s="80" t="s">
        <v>465</v>
      </c>
    </row>
    <row r="279" spans="12:13" x14ac:dyDescent="0.25">
      <c r="L279" s="80" t="s">
        <v>466</v>
      </c>
      <c r="M279" s="80" t="s">
        <v>467</v>
      </c>
    </row>
    <row r="280" spans="12:13" x14ac:dyDescent="0.25">
      <c r="L280" s="80" t="s">
        <v>468</v>
      </c>
      <c r="M280" s="80" t="s">
        <v>469</v>
      </c>
    </row>
    <row r="281" spans="12:13" x14ac:dyDescent="0.25">
      <c r="L281" s="80" t="s">
        <v>470</v>
      </c>
      <c r="M281" s="80" t="s">
        <v>471</v>
      </c>
    </row>
    <row r="282" spans="12:13" x14ac:dyDescent="0.25">
      <c r="L282" s="80" t="s">
        <v>472</v>
      </c>
      <c r="M282" s="80" t="s">
        <v>473</v>
      </c>
    </row>
    <row r="283" spans="12:13" x14ac:dyDescent="0.25">
      <c r="L283" s="80" t="s">
        <v>474</v>
      </c>
      <c r="M283" s="80" t="s">
        <v>475</v>
      </c>
    </row>
    <row r="284" spans="12:13" x14ac:dyDescent="0.25">
      <c r="L284" s="80" t="s">
        <v>476</v>
      </c>
      <c r="M284" s="80" t="s">
        <v>477</v>
      </c>
    </row>
    <row r="285" spans="12:13" x14ac:dyDescent="0.25">
      <c r="L285" s="80" t="s">
        <v>478</v>
      </c>
      <c r="M285" s="80" t="s">
        <v>479</v>
      </c>
    </row>
    <row r="286" spans="12:13" x14ac:dyDescent="0.25">
      <c r="L286" s="80" t="s">
        <v>480</v>
      </c>
      <c r="M286" s="80" t="s">
        <v>481</v>
      </c>
    </row>
    <row r="287" spans="12:13" x14ac:dyDescent="0.25">
      <c r="L287" s="80" t="s">
        <v>482</v>
      </c>
      <c r="M287" s="80" t="s">
        <v>483</v>
      </c>
    </row>
    <row r="288" spans="12:13" x14ac:dyDescent="0.25">
      <c r="L288" s="80" t="s">
        <v>484</v>
      </c>
      <c r="M288" s="80" t="s">
        <v>485</v>
      </c>
    </row>
    <row r="289" spans="12:13" x14ac:dyDescent="0.25">
      <c r="L289" s="80" t="s">
        <v>486</v>
      </c>
      <c r="M289" s="80" t="s">
        <v>487</v>
      </c>
    </row>
    <row r="290" spans="12:13" x14ac:dyDescent="0.25">
      <c r="L290" s="80" t="s">
        <v>488</v>
      </c>
      <c r="M290" s="80" t="s">
        <v>489</v>
      </c>
    </row>
    <row r="291" spans="12:13" x14ac:dyDescent="0.25">
      <c r="L291" s="80" t="s">
        <v>490</v>
      </c>
      <c r="M291" s="80" t="s">
        <v>491</v>
      </c>
    </row>
    <row r="293" spans="12:13" x14ac:dyDescent="0.25">
      <c r="L293" s="81" t="s">
        <v>492</v>
      </c>
    </row>
    <row r="294" spans="12:13" x14ac:dyDescent="0.25">
      <c r="L294" s="80" t="s">
        <v>493</v>
      </c>
    </row>
    <row r="295" spans="12:13" x14ac:dyDescent="0.25">
      <c r="L295" s="80" t="s">
        <v>494</v>
      </c>
    </row>
    <row r="296" spans="12:13" x14ac:dyDescent="0.25">
      <c r="L296" s="80" t="s">
        <v>495</v>
      </c>
    </row>
    <row r="297" spans="12:13" x14ac:dyDescent="0.25">
      <c r="L297" s="80" t="s">
        <v>496</v>
      </c>
    </row>
    <row r="298" spans="12:13" x14ac:dyDescent="0.25">
      <c r="L298" s="80" t="s">
        <v>497</v>
      </c>
    </row>
    <row r="299" spans="12:13" x14ac:dyDescent="0.25">
      <c r="L299" s="80" t="s">
        <v>498</v>
      </c>
    </row>
    <row r="300" spans="12:13" x14ac:dyDescent="0.25">
      <c r="L300" s="80" t="s">
        <v>499</v>
      </c>
    </row>
    <row r="301" spans="12:13" x14ac:dyDescent="0.25">
      <c r="L301" s="80" t="s">
        <v>500</v>
      </c>
    </row>
    <row r="302" spans="12:13" x14ac:dyDescent="0.25">
      <c r="L302" s="80" t="s">
        <v>501</v>
      </c>
    </row>
    <row r="303" spans="12:13" x14ac:dyDescent="0.25">
      <c r="L303" s="80" t="s">
        <v>502</v>
      </c>
    </row>
    <row r="304" spans="12:13" x14ac:dyDescent="0.25">
      <c r="L304" s="80" t="s">
        <v>503</v>
      </c>
    </row>
    <row r="305" spans="12:12" x14ac:dyDescent="0.25">
      <c r="L305" s="80" t="s">
        <v>504</v>
      </c>
    </row>
    <row r="306" spans="12:12" x14ac:dyDescent="0.25">
      <c r="L306" s="80" t="s">
        <v>505</v>
      </c>
    </row>
    <row r="307" spans="12:12" x14ac:dyDescent="0.25">
      <c r="L307" s="80" t="s">
        <v>506</v>
      </c>
    </row>
    <row r="308" spans="12:12" x14ac:dyDescent="0.25">
      <c r="L308" s="80" t="s">
        <v>507</v>
      </c>
    </row>
    <row r="309" spans="12:12" x14ac:dyDescent="0.25">
      <c r="L309" s="80" t="s">
        <v>508</v>
      </c>
    </row>
    <row r="310" spans="12:12" x14ac:dyDescent="0.25">
      <c r="L310" s="80" t="s">
        <v>509</v>
      </c>
    </row>
    <row r="311" spans="12:12" x14ac:dyDescent="0.25">
      <c r="L311" s="80" t="s">
        <v>510</v>
      </c>
    </row>
    <row r="312" spans="12:12" x14ac:dyDescent="0.25">
      <c r="L312" s="80" t="s">
        <v>511</v>
      </c>
    </row>
    <row r="313" spans="12:12" x14ac:dyDescent="0.25">
      <c r="L313" s="80" t="s">
        <v>512</v>
      </c>
    </row>
    <row r="314" spans="12:12" x14ac:dyDescent="0.25">
      <c r="L314" s="80" t="s">
        <v>513</v>
      </c>
    </row>
    <row r="315" spans="12:12" x14ac:dyDescent="0.25">
      <c r="L315" s="80" t="s">
        <v>514</v>
      </c>
    </row>
    <row r="316" spans="12:12" x14ac:dyDescent="0.25">
      <c r="L316" s="80" t="s">
        <v>515</v>
      </c>
    </row>
    <row r="317" spans="12:12" x14ac:dyDescent="0.25">
      <c r="L317" s="80" t="s">
        <v>516</v>
      </c>
    </row>
    <row r="318" spans="12:12" x14ac:dyDescent="0.25">
      <c r="L318" s="80" t="s">
        <v>517</v>
      </c>
    </row>
    <row r="319" spans="12:12" x14ac:dyDescent="0.25">
      <c r="L319" s="80" t="s">
        <v>518</v>
      </c>
    </row>
    <row r="320" spans="12:12" x14ac:dyDescent="0.25">
      <c r="L320" s="80" t="s">
        <v>519</v>
      </c>
    </row>
    <row r="322" spans="12:12" x14ac:dyDescent="0.25">
      <c r="L322" s="81" t="s">
        <v>520</v>
      </c>
    </row>
    <row r="323" spans="12:12" x14ac:dyDescent="0.25">
      <c r="L323" s="80" t="s">
        <v>521</v>
      </c>
    </row>
    <row r="324" spans="12:12" x14ac:dyDescent="0.25">
      <c r="L324" s="80" t="s">
        <v>522</v>
      </c>
    </row>
    <row r="325" spans="12:12" x14ac:dyDescent="0.25">
      <c r="L325" s="80" t="s">
        <v>523</v>
      </c>
    </row>
    <row r="326" spans="12:12" x14ac:dyDescent="0.25">
      <c r="L326" s="80" t="s">
        <v>524</v>
      </c>
    </row>
    <row r="327" spans="12:12" x14ac:dyDescent="0.25">
      <c r="L327" s="80" t="s">
        <v>525</v>
      </c>
    </row>
    <row r="328" spans="12:12" x14ac:dyDescent="0.25">
      <c r="L328" s="80" t="s">
        <v>526</v>
      </c>
    </row>
    <row r="329" spans="12:12" x14ac:dyDescent="0.25">
      <c r="L329" s="80" t="s">
        <v>527</v>
      </c>
    </row>
    <row r="330" spans="12:12" x14ac:dyDescent="0.25">
      <c r="L330" s="80" t="s">
        <v>528</v>
      </c>
    </row>
    <row r="331" spans="12:12" x14ac:dyDescent="0.25">
      <c r="L331" s="80" t="s">
        <v>529</v>
      </c>
    </row>
    <row r="332" spans="12:12" x14ac:dyDescent="0.25">
      <c r="L332" s="80" t="s">
        <v>530</v>
      </c>
    </row>
    <row r="333" spans="12:12" x14ac:dyDescent="0.25">
      <c r="L333" s="80" t="s">
        <v>531</v>
      </c>
    </row>
    <row r="334" spans="12:12" x14ac:dyDescent="0.25">
      <c r="L334" s="80" t="s">
        <v>532</v>
      </c>
    </row>
    <row r="335" spans="12:12" x14ac:dyDescent="0.25">
      <c r="L335" s="80" t="s">
        <v>533</v>
      </c>
    </row>
    <row r="336" spans="12:12" x14ac:dyDescent="0.25">
      <c r="L336" s="80" t="s">
        <v>534</v>
      </c>
    </row>
    <row r="337" spans="12:12" x14ac:dyDescent="0.25">
      <c r="L337" s="80" t="s">
        <v>535</v>
      </c>
    </row>
    <row r="338" spans="12:12" x14ac:dyDescent="0.25">
      <c r="L338" s="80" t="s">
        <v>536</v>
      </c>
    </row>
    <row r="339" spans="12:12" x14ac:dyDescent="0.25">
      <c r="L339" s="80" t="s">
        <v>537</v>
      </c>
    </row>
    <row r="340" spans="12:12" x14ac:dyDescent="0.25">
      <c r="L340" s="80" t="s">
        <v>538</v>
      </c>
    </row>
    <row r="341" spans="12:12" x14ac:dyDescent="0.25">
      <c r="L341" s="80" t="s">
        <v>539</v>
      </c>
    </row>
  </sheetData>
  <mergeCells count="11">
    <mergeCell ref="C45:F45"/>
    <mergeCell ref="C47:F47"/>
    <mergeCell ref="C49:F49"/>
    <mergeCell ref="C43:F43"/>
    <mergeCell ref="C35:F35"/>
    <mergeCell ref="C12:E12"/>
    <mergeCell ref="C3:F3"/>
    <mergeCell ref="D26:F26"/>
    <mergeCell ref="D27:F27"/>
    <mergeCell ref="C4:F4"/>
    <mergeCell ref="C15:F15"/>
  </mergeCells>
  <dataValidations count="2">
    <dataValidation type="list" allowBlank="1" showInputMessage="1" showErrorMessage="1" sqref="F10" xr:uid="{00000000-0002-0000-0000-000004000000}">
      <formula1>"IP units, SI units"</formula1>
    </dataValidation>
    <dataValidation type="whole" allowBlank="1" showInputMessage="1" showErrorMessage="1" error="Year must be four digit" sqref="F12" xr:uid="{4F98B258-B74D-45E1-A600-631BA687A6C5}">
      <formula1>1000</formula1>
      <formula2>9999</formula2>
    </dataValidation>
  </dataValidations>
  <pageMargins left="0.7" right="0.7" top="0.75" bottom="0.75" header="0.3" footer="0.3"/>
  <pageSetup paperSize="9" scale="84" fitToHeight="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57" r:id="rId4" name="CheckBox1">
              <controlPr defaultSize="0" autoFill="0" autoLine="0" autoPict="0">
                <anchor moveWithCells="1">
                  <from>
                    <xdr:col>2</xdr:col>
                    <xdr:colOff>504825</xdr:colOff>
                    <xdr:row>15</xdr:row>
                    <xdr:rowOff>161925</xdr:rowOff>
                  </from>
                  <to>
                    <xdr:col>3</xdr:col>
                    <xdr:colOff>66675</xdr:colOff>
                    <xdr:row>17</xdr:row>
                    <xdr:rowOff>28575</xdr:rowOff>
                  </to>
                </anchor>
              </controlPr>
            </control>
          </mc:Choice>
        </mc:AlternateContent>
        <mc:AlternateContent xmlns:mc="http://schemas.openxmlformats.org/markup-compatibility/2006">
          <mc:Choice Requires="x14">
            <control shapeId="1058" r:id="rId5" name="CheckBox2">
              <controlPr defaultSize="0" autoFill="0" autoLine="0" autoPict="0">
                <anchor moveWithCells="1">
                  <from>
                    <xdr:col>2</xdr:col>
                    <xdr:colOff>533400</xdr:colOff>
                    <xdr:row>18</xdr:row>
                    <xdr:rowOff>114300</xdr:rowOff>
                  </from>
                  <to>
                    <xdr:col>3</xdr:col>
                    <xdr:colOff>95250</xdr:colOff>
                    <xdr:row>20</xdr:row>
                    <xdr:rowOff>9525</xdr:rowOff>
                  </to>
                </anchor>
              </controlPr>
            </control>
          </mc:Choice>
        </mc:AlternateContent>
        <mc:AlternateContent xmlns:mc="http://schemas.openxmlformats.org/markup-compatibility/2006">
          <mc:Choice Requires="x14">
            <control shapeId="1059" r:id="rId6" name="CheckBox3">
              <controlPr defaultSize="0" autoFill="0" autoLine="0" autoPict="0">
                <anchor moveWithCells="1">
                  <from>
                    <xdr:col>2</xdr:col>
                    <xdr:colOff>533400</xdr:colOff>
                    <xdr:row>19</xdr:row>
                    <xdr:rowOff>161925</xdr:rowOff>
                  </from>
                  <to>
                    <xdr:col>3</xdr:col>
                    <xdr:colOff>104775</xdr:colOff>
                    <xdr:row>21</xdr:row>
                    <xdr:rowOff>0</xdr:rowOff>
                  </to>
                </anchor>
              </controlPr>
            </control>
          </mc:Choice>
        </mc:AlternateContent>
        <mc:AlternateContent xmlns:mc="http://schemas.openxmlformats.org/markup-compatibility/2006">
          <mc:Choice Requires="x14">
            <control shapeId="1060" r:id="rId7" name="CheckBox4">
              <controlPr defaultSize="0" autoFill="0" autoLine="0" autoPict="0">
                <anchor moveWithCells="1">
                  <from>
                    <xdr:col>2</xdr:col>
                    <xdr:colOff>533400</xdr:colOff>
                    <xdr:row>20</xdr:row>
                    <xdr:rowOff>152400</xdr:rowOff>
                  </from>
                  <to>
                    <xdr:col>3</xdr:col>
                    <xdr:colOff>95250</xdr:colOff>
                    <xdr:row>21</xdr:row>
                    <xdr:rowOff>180975</xdr:rowOff>
                  </to>
                </anchor>
              </controlPr>
            </control>
          </mc:Choice>
        </mc:AlternateContent>
        <mc:AlternateContent xmlns:mc="http://schemas.openxmlformats.org/markup-compatibility/2006">
          <mc:Choice Requires="x14">
            <control shapeId="1061" r:id="rId8" name="CheckBox5">
              <controlPr defaultSize="0" autoFill="0" autoLine="0" autoPict="0">
                <anchor moveWithCells="1">
                  <from>
                    <xdr:col>2</xdr:col>
                    <xdr:colOff>533400</xdr:colOff>
                    <xdr:row>21</xdr:row>
                    <xdr:rowOff>171450</xdr:rowOff>
                  </from>
                  <to>
                    <xdr:col>3</xdr:col>
                    <xdr:colOff>95250</xdr:colOff>
                    <xdr:row>23</xdr:row>
                    <xdr:rowOff>9525</xdr:rowOff>
                  </to>
                </anchor>
              </controlPr>
            </control>
          </mc:Choice>
        </mc:AlternateContent>
        <mc:AlternateContent xmlns:mc="http://schemas.openxmlformats.org/markup-compatibility/2006">
          <mc:Choice Requires="x14">
            <control shapeId="1062" r:id="rId9" name="CheckBox6">
              <controlPr defaultSize="0" autoFill="0" autoLine="0" autoPict="0">
                <anchor moveWithCells="1">
                  <from>
                    <xdr:col>2</xdr:col>
                    <xdr:colOff>533400</xdr:colOff>
                    <xdr:row>22</xdr:row>
                    <xdr:rowOff>171450</xdr:rowOff>
                  </from>
                  <to>
                    <xdr:col>3</xdr:col>
                    <xdr:colOff>95250</xdr:colOff>
                    <xdr:row>24</xdr:row>
                    <xdr:rowOff>9525</xdr:rowOff>
                  </to>
                </anchor>
              </controlPr>
            </control>
          </mc:Choice>
        </mc:AlternateContent>
        <mc:AlternateContent xmlns:mc="http://schemas.openxmlformats.org/markup-compatibility/2006">
          <mc:Choice Requires="x14">
            <control shapeId="1063" r:id="rId10" name="CheckBox7">
              <controlPr defaultSize="0" autoFill="0" autoLine="0" autoPict="0">
                <anchor moveWithCells="1">
                  <from>
                    <xdr:col>2</xdr:col>
                    <xdr:colOff>542925</xdr:colOff>
                    <xdr:row>23</xdr:row>
                    <xdr:rowOff>171450</xdr:rowOff>
                  </from>
                  <to>
                    <xdr:col>3</xdr:col>
                    <xdr:colOff>104775</xdr:colOff>
                    <xdr:row>25</xdr:row>
                    <xdr:rowOff>9525</xdr:rowOff>
                  </to>
                </anchor>
              </controlPr>
            </control>
          </mc:Choice>
        </mc:AlternateContent>
        <mc:AlternateContent xmlns:mc="http://schemas.openxmlformats.org/markup-compatibility/2006">
          <mc:Choice Requires="x14">
            <control shapeId="1064" r:id="rId11" name="CheckBox8">
              <controlPr defaultSize="0" autoFill="0" autoLine="0" autoPict="0">
                <anchor moveWithCells="1">
                  <from>
                    <xdr:col>2</xdr:col>
                    <xdr:colOff>533400</xdr:colOff>
                    <xdr:row>25</xdr:row>
                    <xdr:rowOff>9525</xdr:rowOff>
                  </from>
                  <to>
                    <xdr:col>3</xdr:col>
                    <xdr:colOff>95250</xdr:colOff>
                    <xdr:row>25</xdr:row>
                    <xdr:rowOff>228600</xdr:rowOff>
                  </to>
                </anchor>
              </controlPr>
            </control>
          </mc:Choice>
        </mc:AlternateContent>
        <mc:AlternateContent xmlns:mc="http://schemas.openxmlformats.org/markup-compatibility/2006">
          <mc:Choice Requires="x14">
            <control shapeId="1065" r:id="rId12" name="CheckBox9">
              <controlPr defaultSize="0" autoFill="0" autoLine="0" autoPict="0">
                <anchor moveWithCells="1">
                  <from>
                    <xdr:col>2</xdr:col>
                    <xdr:colOff>514350</xdr:colOff>
                    <xdr:row>26</xdr:row>
                    <xdr:rowOff>19050</xdr:rowOff>
                  </from>
                  <to>
                    <xdr:col>3</xdr:col>
                    <xdr:colOff>76200</xdr:colOff>
                    <xdr:row>26</xdr:row>
                    <xdr:rowOff>238125</xdr:rowOff>
                  </to>
                </anchor>
              </controlPr>
            </control>
          </mc:Choice>
        </mc:AlternateContent>
        <mc:AlternateContent xmlns:mc="http://schemas.openxmlformats.org/markup-compatibility/2006">
          <mc:Choice Requires="x14">
            <control shapeId="1067" r:id="rId13" name="CheckBox10">
              <controlPr defaultSize="0" autoFill="0" autoLine="0" autoPict="0" macro="[0]!CheckBox10_Click">
                <anchor moveWithCells="1">
                  <from>
                    <xdr:col>3</xdr:col>
                    <xdr:colOff>0</xdr:colOff>
                    <xdr:row>16</xdr:row>
                    <xdr:rowOff>161925</xdr:rowOff>
                  </from>
                  <to>
                    <xdr:col>10</xdr:col>
                    <xdr:colOff>28575</xdr:colOff>
                    <xdr:row>19</xdr:row>
                    <xdr:rowOff>28575</xdr:rowOff>
                  </to>
                </anchor>
              </controlPr>
            </control>
          </mc:Choice>
        </mc:AlternateContent>
        <mc:AlternateContent xmlns:mc="http://schemas.openxmlformats.org/markup-compatibility/2006">
          <mc:Choice Requires="x14">
            <control shapeId="1068" r:id="rId14" name="Button 44">
              <controlPr defaultSize="0" print="0" autoFill="0" autoPict="0" macro="[0]!Button44_Click" altText="Add Tab(s)">
                <anchor moveWithCells="1" sizeWithCells="1">
                  <from>
                    <xdr:col>2</xdr:col>
                    <xdr:colOff>57150</xdr:colOff>
                    <xdr:row>27</xdr:row>
                    <xdr:rowOff>104775</xdr:rowOff>
                  </from>
                  <to>
                    <xdr:col>3</xdr:col>
                    <xdr:colOff>352425</xdr:colOff>
                    <xdr:row>28</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S64"/>
  <sheetViews>
    <sheetView showGridLines="0" tabSelected="1" zoomScale="90" zoomScaleNormal="90" workbookViewId="0">
      <pane xSplit="4" topLeftCell="E1" activePane="topRight" state="frozen"/>
      <selection activeCell="D28" sqref="C28:D32"/>
      <selection pane="topRight" activeCell="D15" sqref="D15"/>
    </sheetView>
  </sheetViews>
  <sheetFormatPr defaultColWidth="9.140625" defaultRowHeight="12.75" x14ac:dyDescent="0.2"/>
  <cols>
    <col min="1" max="1" width="2.7109375" style="141" customWidth="1"/>
    <col min="2" max="2" width="38.5703125" style="104" customWidth="1"/>
    <col min="3" max="3" width="45.7109375" style="104" customWidth="1"/>
    <col min="4" max="4" width="15.7109375" style="104" customWidth="1"/>
    <col min="5" max="5" width="14.7109375" style="104" customWidth="1"/>
    <col min="6" max="7" width="19.85546875" style="104" customWidth="1"/>
    <col min="8" max="9" width="14.7109375" style="104" customWidth="1"/>
    <col min="10" max="10" width="17.140625" style="104" customWidth="1"/>
    <col min="11" max="11" width="11.5703125" style="104" hidden="1" customWidth="1"/>
    <col min="12" max="12" width="11.85546875" style="104" hidden="1" customWidth="1"/>
    <col min="13" max="13" width="12.7109375" style="104" hidden="1" customWidth="1"/>
    <col min="14" max="14" width="16" style="104" hidden="1" customWidth="1"/>
    <col min="15" max="17" width="16.140625" style="104" hidden="1" customWidth="1"/>
    <col min="18" max="18" width="33.140625" style="104" hidden="1" customWidth="1"/>
    <col min="19" max="19" width="9.140625" style="104" customWidth="1"/>
    <col min="20" max="20" width="16.7109375" style="104" customWidth="1"/>
    <col min="21" max="16384" width="9.140625" style="104"/>
  </cols>
  <sheetData>
    <row r="1" spans="1:19" s="101" customFormat="1" ht="15" customHeight="1" x14ac:dyDescent="0.2">
      <c r="A1" s="140"/>
      <c r="B1" s="100"/>
      <c r="C1" s="100"/>
      <c r="D1" s="100"/>
      <c r="E1" s="100"/>
      <c r="F1" s="100"/>
      <c r="G1" s="100"/>
      <c r="H1" s="100"/>
      <c r="I1" s="100"/>
      <c r="J1" s="100"/>
      <c r="K1" s="100"/>
      <c r="L1" s="100"/>
      <c r="M1" s="100"/>
      <c r="N1" s="100"/>
      <c r="O1" s="100"/>
      <c r="P1" s="100"/>
      <c r="Q1" s="100"/>
      <c r="R1" s="100"/>
    </row>
    <row r="2" spans="1:19" s="101" customFormat="1" ht="20.25" customHeight="1" x14ac:dyDescent="0.2">
      <c r="A2" s="140"/>
      <c r="B2" s="102" t="s">
        <v>739</v>
      </c>
      <c r="C2" s="103"/>
      <c r="D2" s="103"/>
      <c r="E2" s="103"/>
      <c r="F2" s="103"/>
      <c r="G2" s="103"/>
      <c r="H2" s="103"/>
      <c r="I2" s="103"/>
      <c r="J2" s="103"/>
      <c r="K2" s="103"/>
      <c r="L2" s="103"/>
      <c r="M2" s="103"/>
      <c r="N2" s="103"/>
      <c r="O2" s="103"/>
      <c r="P2" s="103"/>
      <c r="Q2" s="103"/>
      <c r="R2" s="103"/>
    </row>
    <row r="3" spans="1:19" s="101" customFormat="1" ht="14.25" customHeight="1" x14ac:dyDescent="0.2">
      <c r="A3" s="140"/>
      <c r="B3" s="100"/>
      <c r="C3" s="100"/>
      <c r="D3" s="100"/>
      <c r="E3" s="100"/>
      <c r="F3" s="100"/>
      <c r="G3" s="100"/>
      <c r="H3" s="100"/>
      <c r="I3" s="100"/>
      <c r="J3" s="100"/>
      <c r="K3" s="100"/>
      <c r="L3" s="100"/>
      <c r="M3" s="100"/>
      <c r="N3" s="100"/>
      <c r="O3" s="100"/>
      <c r="P3" s="100"/>
      <c r="Q3" s="100"/>
      <c r="R3" s="100"/>
    </row>
    <row r="4" spans="1:19" ht="95.25" customHeight="1" x14ac:dyDescent="0.2">
      <c r="B4" s="233" t="s">
        <v>740</v>
      </c>
      <c r="C4" s="233"/>
      <c r="D4" s="233"/>
      <c r="E4" s="208"/>
      <c r="F4" s="208"/>
      <c r="G4" s="208"/>
      <c r="H4" s="208"/>
      <c r="I4" s="208"/>
      <c r="J4" s="208"/>
      <c r="K4" s="167"/>
    </row>
    <row r="5" spans="1:19" ht="30" customHeight="1" x14ac:dyDescent="0.2">
      <c r="A5" s="142" t="s">
        <v>749</v>
      </c>
      <c r="B5" s="105"/>
      <c r="C5" s="106"/>
      <c r="D5" s="106"/>
      <c r="E5" s="106"/>
      <c r="F5" s="107"/>
      <c r="G5" s="166"/>
      <c r="H5" s="182" t="s">
        <v>592</v>
      </c>
      <c r="I5" s="165"/>
      <c r="J5" s="181"/>
      <c r="K5" s="172"/>
      <c r="L5" s="171"/>
      <c r="M5" s="185"/>
      <c r="N5" s="234" t="s">
        <v>720</v>
      </c>
      <c r="O5" s="235"/>
      <c r="P5" s="235"/>
      <c r="Q5" s="235"/>
      <c r="R5" s="236"/>
    </row>
    <row r="6" spans="1:19" ht="44.45" customHeight="1" x14ac:dyDescent="0.2">
      <c r="A6" s="186">
        <v>19</v>
      </c>
      <c r="B6" s="108" t="s">
        <v>593</v>
      </c>
      <c r="C6" s="109" t="s">
        <v>594</v>
      </c>
      <c r="D6" s="109" t="str">
        <f>CONCATENATE("Gross 
Floor Area
",IF(Instructions!$F$10="SI Units","(sq m)","(sq ft)"))</f>
        <v>Gross 
Floor Area
(sq ft)</v>
      </c>
      <c r="E6" s="109" t="s">
        <v>741</v>
      </c>
      <c r="F6" s="109" t="s">
        <v>742</v>
      </c>
      <c r="G6" s="109" t="s">
        <v>702</v>
      </c>
      <c r="H6" s="110" t="s">
        <v>743</v>
      </c>
      <c r="I6" s="111" t="s">
        <v>721</v>
      </c>
      <c r="J6" s="112" t="s">
        <v>744</v>
      </c>
      <c r="K6" s="170" t="s">
        <v>703</v>
      </c>
      <c r="L6" s="113" t="s">
        <v>596</v>
      </c>
      <c r="M6" s="184"/>
      <c r="N6" s="170" t="s">
        <v>704</v>
      </c>
      <c r="O6" s="170" t="s">
        <v>705</v>
      </c>
      <c r="P6" s="170" t="s">
        <v>706</v>
      </c>
      <c r="Q6" s="170" t="s">
        <v>707</v>
      </c>
      <c r="R6" s="170" t="s">
        <v>708</v>
      </c>
      <c r="S6" s="139"/>
    </row>
    <row r="7" spans="1:19" ht="15" customHeight="1" x14ac:dyDescent="0.2">
      <c r="A7" s="114"/>
      <c r="B7" s="115" t="s">
        <v>751</v>
      </c>
      <c r="C7" s="118" t="s">
        <v>616</v>
      </c>
      <c r="D7" s="117">
        <v>2500</v>
      </c>
      <c r="E7" s="116">
        <v>30</v>
      </c>
      <c r="F7" s="116">
        <v>3</v>
      </c>
      <c r="G7" s="116">
        <v>7</v>
      </c>
      <c r="H7" s="116">
        <v>27</v>
      </c>
      <c r="I7" s="189">
        <v>1.3888888888888888E-2</v>
      </c>
      <c r="J7" s="187">
        <f>IFERROR((K7/E7)*(I7*24)," ")</f>
        <v>2.0999999999999996</v>
      </c>
      <c r="K7" s="168">
        <f>G7*H7</f>
        <v>189</v>
      </c>
      <c r="L7" s="104">
        <f t="shared" ref="L7" si="0">E7*D7</f>
        <v>75000</v>
      </c>
      <c r="M7" s="183"/>
      <c r="N7" s="209" t="s">
        <v>709</v>
      </c>
      <c r="O7" s="210" t="s">
        <v>709</v>
      </c>
      <c r="P7" s="210" t="s">
        <v>709</v>
      </c>
      <c r="Q7" s="210" t="s">
        <v>709</v>
      </c>
      <c r="R7" s="210" t="s">
        <v>709</v>
      </c>
    </row>
    <row r="8" spans="1:19" ht="15" customHeight="1" x14ac:dyDescent="0.2">
      <c r="A8" s="114">
        <v>0</v>
      </c>
      <c r="B8" s="115" t="s">
        <v>751</v>
      </c>
      <c r="C8" s="118" t="s">
        <v>618</v>
      </c>
      <c r="D8" s="117">
        <v>2500</v>
      </c>
      <c r="E8" s="116">
        <v>30</v>
      </c>
      <c r="F8" s="116">
        <v>6</v>
      </c>
      <c r="G8" s="116">
        <v>5</v>
      </c>
      <c r="H8" s="116">
        <v>2</v>
      </c>
      <c r="I8" s="189">
        <v>6.9444444444444441E-3</v>
      </c>
      <c r="J8" s="187">
        <f t="shared" ref="J8:J18" si="1">IFERROR((K8/E8)*(I8*24)," ")</f>
        <v>5.5555555555555552E-2</v>
      </c>
      <c r="K8" s="168">
        <f t="shared" ref="K8:K18" si="2">G8*H8</f>
        <v>10</v>
      </c>
      <c r="L8" s="104">
        <f t="shared" ref="L8:L16" si="3">E8*D8</f>
        <v>75000</v>
      </c>
      <c r="M8" s="183"/>
      <c r="N8" s="210" t="s">
        <v>709</v>
      </c>
      <c r="O8" s="210" t="s">
        <v>709</v>
      </c>
      <c r="P8" s="210" t="s">
        <v>709</v>
      </c>
      <c r="Q8" s="210" t="s">
        <v>709</v>
      </c>
      <c r="R8" s="210" t="s">
        <v>709</v>
      </c>
    </row>
    <row r="9" spans="1:19" ht="15" customHeight="1" x14ac:dyDescent="0.2">
      <c r="A9" s="114">
        <v>0</v>
      </c>
      <c r="B9" s="115"/>
      <c r="C9" s="118"/>
      <c r="D9" s="117"/>
      <c r="E9" s="116"/>
      <c r="F9" s="116"/>
      <c r="G9" s="116"/>
      <c r="H9" s="116"/>
      <c r="I9" s="189"/>
      <c r="J9" s="187" t="str">
        <f t="shared" si="1"/>
        <v xml:space="preserve"> </v>
      </c>
      <c r="K9" s="168">
        <f t="shared" si="2"/>
        <v>0</v>
      </c>
      <c r="L9" s="104">
        <f t="shared" si="3"/>
        <v>0</v>
      </c>
      <c r="N9" s="210" t="s">
        <v>709</v>
      </c>
      <c r="O9" s="210" t="s">
        <v>709</v>
      </c>
      <c r="P9" s="210" t="s">
        <v>709</v>
      </c>
      <c r="Q9" s="210" t="s">
        <v>709</v>
      </c>
      <c r="R9" s="210" t="s">
        <v>709</v>
      </c>
    </row>
    <row r="10" spans="1:19" ht="15" customHeight="1" x14ac:dyDescent="0.2">
      <c r="A10" s="114">
        <v>0</v>
      </c>
      <c r="B10" s="115"/>
      <c r="C10" s="118"/>
      <c r="D10" s="117"/>
      <c r="E10" s="116"/>
      <c r="F10" s="116"/>
      <c r="G10" s="116"/>
      <c r="H10" s="116"/>
      <c r="I10" s="189"/>
      <c r="J10" s="187" t="str">
        <f t="shared" si="1"/>
        <v xml:space="preserve"> </v>
      </c>
      <c r="K10" s="168">
        <f t="shared" si="2"/>
        <v>0</v>
      </c>
      <c r="L10" s="104">
        <f t="shared" si="3"/>
        <v>0</v>
      </c>
      <c r="N10" s="210" t="s">
        <v>709</v>
      </c>
      <c r="O10" s="210" t="s">
        <v>709</v>
      </c>
      <c r="P10" s="210" t="s">
        <v>709</v>
      </c>
      <c r="Q10" s="210" t="s">
        <v>709</v>
      </c>
      <c r="R10" s="210" t="s">
        <v>709</v>
      </c>
    </row>
    <row r="11" spans="1:19" ht="15" customHeight="1" x14ac:dyDescent="0.2">
      <c r="A11" s="114">
        <v>0</v>
      </c>
      <c r="B11" s="115"/>
      <c r="C11" s="118"/>
      <c r="D11" s="117"/>
      <c r="E11" s="116"/>
      <c r="F11" s="116"/>
      <c r="G11" s="116"/>
      <c r="H11" s="116"/>
      <c r="I11" s="189"/>
      <c r="J11" s="187" t="str">
        <f t="shared" si="1"/>
        <v xml:space="preserve"> </v>
      </c>
      <c r="K11" s="168">
        <f t="shared" si="2"/>
        <v>0</v>
      </c>
      <c r="L11" s="104">
        <f t="shared" si="3"/>
        <v>0</v>
      </c>
      <c r="N11" s="210" t="s">
        <v>709</v>
      </c>
      <c r="O11" s="210" t="s">
        <v>709</v>
      </c>
      <c r="P11" s="210" t="s">
        <v>709</v>
      </c>
      <c r="Q11" s="210" t="s">
        <v>709</v>
      </c>
      <c r="R11" s="210" t="s">
        <v>709</v>
      </c>
    </row>
    <row r="12" spans="1:19" ht="15" customHeight="1" x14ac:dyDescent="0.2">
      <c r="A12" s="114">
        <v>0</v>
      </c>
      <c r="B12" s="115"/>
      <c r="C12" s="118"/>
      <c r="D12" s="117"/>
      <c r="E12" s="116"/>
      <c r="F12" s="116"/>
      <c r="G12" s="116"/>
      <c r="H12" s="116"/>
      <c r="I12" s="189"/>
      <c r="J12" s="187" t="str">
        <f t="shared" si="1"/>
        <v xml:space="preserve"> </v>
      </c>
      <c r="K12" s="168">
        <f t="shared" si="2"/>
        <v>0</v>
      </c>
      <c r="L12" s="104">
        <f t="shared" si="3"/>
        <v>0</v>
      </c>
      <c r="N12" s="210" t="s">
        <v>709</v>
      </c>
      <c r="O12" s="210" t="s">
        <v>709</v>
      </c>
      <c r="P12" s="210" t="s">
        <v>709</v>
      </c>
      <c r="Q12" s="210" t="s">
        <v>709</v>
      </c>
      <c r="R12" s="210" t="s">
        <v>709</v>
      </c>
    </row>
    <row r="13" spans="1:19" ht="15" customHeight="1" x14ac:dyDescent="0.2">
      <c r="A13" s="114">
        <v>0</v>
      </c>
      <c r="B13" s="115"/>
      <c r="C13" s="118"/>
      <c r="D13" s="117"/>
      <c r="E13" s="116"/>
      <c r="F13" s="116"/>
      <c r="G13" s="116"/>
      <c r="H13" s="116"/>
      <c r="I13" s="189"/>
      <c r="J13" s="187" t="str">
        <f t="shared" si="1"/>
        <v xml:space="preserve"> </v>
      </c>
      <c r="K13" s="168">
        <f t="shared" si="2"/>
        <v>0</v>
      </c>
      <c r="L13" s="104">
        <f t="shared" si="3"/>
        <v>0</v>
      </c>
      <c r="N13" s="210" t="s">
        <v>709</v>
      </c>
      <c r="O13" s="210" t="s">
        <v>709</v>
      </c>
      <c r="P13" s="210" t="s">
        <v>709</v>
      </c>
      <c r="Q13" s="210" t="s">
        <v>709</v>
      </c>
      <c r="R13" s="210" t="s">
        <v>709</v>
      </c>
    </row>
    <row r="14" spans="1:19" ht="15" customHeight="1" x14ac:dyDescent="0.2">
      <c r="A14" s="114">
        <v>0</v>
      </c>
      <c r="B14" s="115"/>
      <c r="C14" s="118"/>
      <c r="D14" s="117"/>
      <c r="E14" s="116"/>
      <c r="F14" s="116"/>
      <c r="G14" s="116"/>
      <c r="H14" s="116"/>
      <c r="I14" s="189"/>
      <c r="J14" s="187" t="str">
        <f t="shared" si="1"/>
        <v xml:space="preserve"> </v>
      </c>
      <c r="K14" s="168">
        <f t="shared" si="2"/>
        <v>0</v>
      </c>
      <c r="L14" s="104">
        <f t="shared" si="3"/>
        <v>0</v>
      </c>
      <c r="N14" s="210" t="s">
        <v>709</v>
      </c>
      <c r="O14" s="210" t="s">
        <v>709</v>
      </c>
      <c r="P14" s="210" t="s">
        <v>709</v>
      </c>
      <c r="Q14" s="210" t="s">
        <v>709</v>
      </c>
      <c r="R14" s="210" t="s">
        <v>709</v>
      </c>
    </row>
    <row r="15" spans="1:19" ht="15" customHeight="1" x14ac:dyDescent="0.2">
      <c r="A15" s="114">
        <v>0</v>
      </c>
      <c r="B15" s="115"/>
      <c r="C15" s="118"/>
      <c r="D15" s="117"/>
      <c r="E15" s="116"/>
      <c r="F15" s="116"/>
      <c r="G15" s="116"/>
      <c r="H15" s="116"/>
      <c r="I15" s="189"/>
      <c r="J15" s="187" t="str">
        <f t="shared" si="1"/>
        <v xml:space="preserve"> </v>
      </c>
      <c r="K15" s="168">
        <f t="shared" si="2"/>
        <v>0</v>
      </c>
      <c r="L15" s="104">
        <f t="shared" si="3"/>
        <v>0</v>
      </c>
      <c r="N15" s="210" t="s">
        <v>709</v>
      </c>
      <c r="O15" s="210" t="s">
        <v>709</v>
      </c>
      <c r="P15" s="210" t="s">
        <v>709</v>
      </c>
      <c r="Q15" s="210" t="s">
        <v>709</v>
      </c>
      <c r="R15" s="210" t="s">
        <v>709</v>
      </c>
    </row>
    <row r="16" spans="1:19" ht="15" customHeight="1" x14ac:dyDescent="0.2">
      <c r="A16" s="114">
        <v>0</v>
      </c>
      <c r="B16" s="115"/>
      <c r="C16" s="118"/>
      <c r="D16" s="117"/>
      <c r="E16" s="116"/>
      <c r="F16" s="116"/>
      <c r="G16" s="116"/>
      <c r="H16" s="116"/>
      <c r="I16" s="189"/>
      <c r="J16" s="187" t="str">
        <f t="shared" si="1"/>
        <v xml:space="preserve"> </v>
      </c>
      <c r="K16" s="168">
        <f t="shared" si="2"/>
        <v>0</v>
      </c>
      <c r="L16" s="104">
        <f t="shared" si="3"/>
        <v>0</v>
      </c>
      <c r="N16" s="210" t="s">
        <v>709</v>
      </c>
      <c r="O16" s="210" t="s">
        <v>709</v>
      </c>
      <c r="P16" s="210" t="s">
        <v>709</v>
      </c>
      <c r="Q16" s="210" t="s">
        <v>709</v>
      </c>
      <c r="R16" s="210" t="s">
        <v>709</v>
      </c>
    </row>
    <row r="17" spans="1:18" ht="15" customHeight="1" x14ac:dyDescent="0.2">
      <c r="A17" s="114"/>
      <c r="B17" s="115"/>
      <c r="C17" s="118"/>
      <c r="D17" s="117"/>
      <c r="E17" s="116"/>
      <c r="F17" s="116"/>
      <c r="G17" s="116"/>
      <c r="H17" s="116"/>
      <c r="I17" s="189"/>
      <c r="J17" s="187" t="str">
        <f t="shared" si="1"/>
        <v xml:space="preserve"> </v>
      </c>
      <c r="K17" s="168">
        <f t="shared" si="2"/>
        <v>0</v>
      </c>
      <c r="L17" s="104">
        <f t="shared" ref="L17:L18" si="4">E17*D17</f>
        <v>0</v>
      </c>
      <c r="N17" s="210" t="s">
        <v>709</v>
      </c>
      <c r="O17" s="210" t="s">
        <v>709</v>
      </c>
      <c r="P17" s="210" t="s">
        <v>709</v>
      </c>
      <c r="Q17" s="210" t="s">
        <v>709</v>
      </c>
      <c r="R17" s="210" t="s">
        <v>709</v>
      </c>
    </row>
    <row r="18" spans="1:18" ht="15" customHeight="1" x14ac:dyDescent="0.2">
      <c r="A18" s="114"/>
      <c r="B18" s="115"/>
      <c r="C18" s="118"/>
      <c r="D18" s="117"/>
      <c r="E18" s="116"/>
      <c r="F18" s="116"/>
      <c r="G18" s="116"/>
      <c r="H18" s="116"/>
      <c r="I18" s="189"/>
      <c r="J18" s="187" t="str">
        <f t="shared" si="1"/>
        <v xml:space="preserve"> </v>
      </c>
      <c r="K18" s="168">
        <f t="shared" si="2"/>
        <v>0</v>
      </c>
      <c r="L18" s="104">
        <f t="shared" si="4"/>
        <v>0</v>
      </c>
      <c r="N18" s="210" t="s">
        <v>709</v>
      </c>
      <c r="O18" s="210" t="s">
        <v>709</v>
      </c>
      <c r="P18" s="210" t="s">
        <v>709</v>
      </c>
      <c r="Q18" s="210" t="s">
        <v>709</v>
      </c>
      <c r="R18" s="210" t="s">
        <v>709</v>
      </c>
    </row>
    <row r="19" spans="1:18" ht="20.25" customHeight="1" x14ac:dyDescent="0.2">
      <c r="A19" s="114" t="s">
        <v>545</v>
      </c>
      <c r="B19" s="229" t="s">
        <v>722</v>
      </c>
      <c r="C19" s="230"/>
      <c r="D19" s="158">
        <f>IFERROR(SUM(D7:D18)," ")</f>
        <v>5000</v>
      </c>
      <c r="E19" s="119">
        <f t="shared" ref="E19:J19" si="5">SUM(E7:E18)</f>
        <v>60</v>
      </c>
      <c r="F19" s="119">
        <f t="shared" si="5"/>
        <v>9</v>
      </c>
      <c r="G19" s="119">
        <f t="shared" si="5"/>
        <v>12</v>
      </c>
      <c r="H19" s="119">
        <f t="shared" si="5"/>
        <v>29</v>
      </c>
      <c r="I19" s="190">
        <f>SUM(I7:I18)</f>
        <v>2.0833333333333332E-2</v>
      </c>
      <c r="J19" s="188">
        <f t="shared" si="5"/>
        <v>2.155555555555555</v>
      </c>
      <c r="K19" s="169"/>
    </row>
    <row r="20" spans="1:18" ht="33.75" customHeight="1" x14ac:dyDescent="0.2"/>
    <row r="21" spans="1:18" ht="12" customHeight="1" x14ac:dyDescent="0.2"/>
    <row r="22" spans="1:18" ht="12" customHeight="1" x14ac:dyDescent="0.2">
      <c r="B22" s="175" t="s">
        <v>745</v>
      </c>
    </row>
    <row r="24" spans="1:18" x14ac:dyDescent="0.2">
      <c r="A24" s="143"/>
      <c r="B24" s="227" t="str">
        <f>CONCATENATE("Gross 
Floor Area 
",IF(Instructions!$F$10="SI Units","(sq m)","(sq ft)"))</f>
        <v>Gross 
Floor Area 
(sq ft)</v>
      </c>
      <c r="C24" s="228"/>
      <c r="D24" s="156">
        <f>IFERROR(D19," ")</f>
        <v>5000</v>
      </c>
      <c r="F24" s="231"/>
      <c r="G24" s="231"/>
      <c r="H24" s="231"/>
      <c r="I24" s="231"/>
      <c r="L24" s="144"/>
    </row>
    <row r="25" spans="1:18" x14ac:dyDescent="0.2">
      <c r="A25" s="143"/>
      <c r="B25" s="232" t="s">
        <v>746</v>
      </c>
      <c r="C25" s="224"/>
      <c r="D25" s="157">
        <f>IFERROR(ROUND(SUM(L7:L18)/D19, 0)," ")</f>
        <v>30</v>
      </c>
      <c r="F25" s="176"/>
      <c r="G25" s="176"/>
      <c r="H25" s="176"/>
      <c r="I25" s="176"/>
    </row>
    <row r="26" spans="1:18" x14ac:dyDescent="0.2">
      <c r="A26" s="143"/>
      <c r="B26" s="173" t="s">
        <v>595</v>
      </c>
      <c r="C26" s="164"/>
      <c r="D26" s="120">
        <f>F19</f>
        <v>9</v>
      </c>
      <c r="F26" s="176"/>
      <c r="G26" s="176"/>
      <c r="H26" s="176"/>
      <c r="I26" s="176"/>
    </row>
    <row r="27" spans="1:18" x14ac:dyDescent="0.2">
      <c r="A27" s="143"/>
      <c r="B27" s="173" t="s">
        <v>592</v>
      </c>
      <c r="C27" s="164"/>
      <c r="D27" s="120">
        <f>ROUND(J19,0)</f>
        <v>2</v>
      </c>
      <c r="F27" s="178"/>
      <c r="G27" s="178"/>
      <c r="H27" s="176"/>
      <c r="I27" s="176"/>
    </row>
    <row r="28" spans="1:18" x14ac:dyDescent="0.2">
      <c r="A28" s="143"/>
      <c r="B28" s="225" t="s">
        <v>747</v>
      </c>
      <c r="C28" s="226"/>
      <c r="D28" s="120">
        <f>IFERROR(ROUND((F19+J19), 0)," ")</f>
        <v>11</v>
      </c>
      <c r="F28" s="179"/>
      <c r="G28" s="179"/>
      <c r="H28" s="177"/>
      <c r="I28" s="177"/>
    </row>
    <row r="29" spans="1:18" x14ac:dyDescent="0.2">
      <c r="C29" s="174"/>
      <c r="D29" s="121"/>
    </row>
    <row r="30" spans="1:18" x14ac:dyDescent="0.2">
      <c r="B30" s="237" t="s">
        <v>712</v>
      </c>
      <c r="C30" s="238"/>
      <c r="D30" s="192">
        <v>40179</v>
      </c>
    </row>
    <row r="32" spans="1:18" hidden="1" x14ac:dyDescent="0.2">
      <c r="B32" s="175" t="s">
        <v>713</v>
      </c>
    </row>
    <row r="33" spans="2:4" hidden="1" x14ac:dyDescent="0.2"/>
    <row r="34" spans="2:4" hidden="1" x14ac:dyDescent="0.2"/>
    <row r="35" spans="2:4" hidden="1" x14ac:dyDescent="0.2"/>
    <row r="36" spans="2:4" hidden="1" x14ac:dyDescent="0.2">
      <c r="B36" s="104" t="s">
        <v>715</v>
      </c>
    </row>
    <row r="37" spans="2:4" hidden="1" x14ac:dyDescent="0.2"/>
    <row r="38" spans="2:4" hidden="1" x14ac:dyDescent="0.2">
      <c r="B38" s="227" t="str">
        <f>CONCATENATE("Gross 
Floor Area 
",IF(Instructions!$F$10="SI Units","(sq m)","(sq ft)"))</f>
        <v>Gross 
Floor Area 
(sq ft)</v>
      </c>
      <c r="C38" s="228"/>
      <c r="D38" s="156">
        <v>5000</v>
      </c>
    </row>
    <row r="39" spans="2:4" hidden="1" x14ac:dyDescent="0.2">
      <c r="B39" s="224" t="s">
        <v>597</v>
      </c>
      <c r="C39" s="224"/>
      <c r="D39" s="157">
        <v>30</v>
      </c>
    </row>
    <row r="40" spans="2:4" hidden="1" x14ac:dyDescent="0.2">
      <c r="B40" s="225" t="s">
        <v>598</v>
      </c>
      <c r="C40" s="226"/>
      <c r="D40" s="157">
        <v>9</v>
      </c>
    </row>
    <row r="41" spans="2:4" hidden="1" x14ac:dyDescent="0.2"/>
    <row r="42" spans="2:4" hidden="1" x14ac:dyDescent="0.2">
      <c r="B42" s="104" t="s">
        <v>716</v>
      </c>
    </row>
    <row r="43" spans="2:4" hidden="1" x14ac:dyDescent="0.2"/>
    <row r="44" spans="2:4" hidden="1" x14ac:dyDescent="0.2">
      <c r="B44" s="227" t="str">
        <f>CONCATENATE("Gross 
Floor Area 
",IF(Instructions!$F$10="SI Units","(sq m)","(sq ft)"))</f>
        <v>Gross 
Floor Area 
(sq ft)</v>
      </c>
      <c r="C44" s="228"/>
      <c r="D44" s="156">
        <v>5000</v>
      </c>
    </row>
    <row r="45" spans="2:4" hidden="1" x14ac:dyDescent="0.2">
      <c r="B45" s="224" t="s">
        <v>597</v>
      </c>
      <c r="C45" s="224"/>
      <c r="D45" s="157">
        <v>30</v>
      </c>
    </row>
    <row r="46" spans="2:4" hidden="1" x14ac:dyDescent="0.2">
      <c r="B46" s="225" t="s">
        <v>598</v>
      </c>
      <c r="C46" s="226"/>
      <c r="D46" s="157">
        <v>9</v>
      </c>
    </row>
    <row r="47" spans="2:4" hidden="1" x14ac:dyDescent="0.2"/>
    <row r="48" spans="2:4" hidden="1" x14ac:dyDescent="0.2">
      <c r="B48" s="104" t="s">
        <v>717</v>
      </c>
    </row>
    <row r="49" spans="2:4" hidden="1" x14ac:dyDescent="0.2"/>
    <row r="50" spans="2:4" hidden="1" x14ac:dyDescent="0.2">
      <c r="B50" s="227" t="str">
        <f>CONCATENATE("Gross 
Floor Area 
",IF(Instructions!$F$10="SI Units","(sq m)","(sq ft)"))</f>
        <v>Gross 
Floor Area 
(sq ft)</v>
      </c>
      <c r="C50" s="228"/>
      <c r="D50" s="156">
        <v>5000</v>
      </c>
    </row>
    <row r="51" spans="2:4" hidden="1" x14ac:dyDescent="0.2">
      <c r="B51" s="224" t="s">
        <v>597</v>
      </c>
      <c r="C51" s="224"/>
      <c r="D51" s="157">
        <v>30</v>
      </c>
    </row>
    <row r="52" spans="2:4" hidden="1" x14ac:dyDescent="0.2">
      <c r="B52" s="225" t="s">
        <v>598</v>
      </c>
      <c r="C52" s="226"/>
      <c r="D52" s="157">
        <v>9</v>
      </c>
    </row>
    <row r="53" spans="2:4" hidden="1" x14ac:dyDescent="0.2"/>
    <row r="54" spans="2:4" hidden="1" x14ac:dyDescent="0.2">
      <c r="B54" s="104" t="s">
        <v>718</v>
      </c>
    </row>
    <row r="55" spans="2:4" hidden="1" x14ac:dyDescent="0.2"/>
    <row r="56" spans="2:4" hidden="1" x14ac:dyDescent="0.2">
      <c r="B56" s="180" t="s">
        <v>710</v>
      </c>
      <c r="C56" s="164"/>
      <c r="D56" s="120">
        <v>9</v>
      </c>
    </row>
    <row r="57" spans="2:4" hidden="1" x14ac:dyDescent="0.2">
      <c r="B57" s="180" t="s">
        <v>711</v>
      </c>
      <c r="C57" s="164"/>
      <c r="D57" s="120">
        <v>0</v>
      </c>
    </row>
    <row r="58" spans="2:4" hidden="1" x14ac:dyDescent="0.2">
      <c r="B58" s="225" t="s">
        <v>598</v>
      </c>
      <c r="C58" s="226"/>
      <c r="D58" s="157">
        <v>9</v>
      </c>
    </row>
    <row r="59" spans="2:4" hidden="1" x14ac:dyDescent="0.2"/>
    <row r="60" spans="2:4" hidden="1" x14ac:dyDescent="0.2">
      <c r="B60" s="104" t="s">
        <v>719</v>
      </c>
    </row>
    <row r="61" spans="2:4" hidden="1" x14ac:dyDescent="0.2"/>
    <row r="62" spans="2:4" hidden="1" x14ac:dyDescent="0.2">
      <c r="B62" s="180" t="s">
        <v>710</v>
      </c>
      <c r="C62" s="164"/>
      <c r="D62" s="120">
        <v>9</v>
      </c>
    </row>
    <row r="63" spans="2:4" hidden="1" x14ac:dyDescent="0.2">
      <c r="B63" s="180" t="s">
        <v>711</v>
      </c>
      <c r="C63" s="164"/>
      <c r="D63" s="120">
        <v>0</v>
      </c>
    </row>
    <row r="64" spans="2:4" hidden="1" x14ac:dyDescent="0.2">
      <c r="B64" s="225" t="s">
        <v>598</v>
      </c>
      <c r="C64" s="226"/>
      <c r="D64" s="157">
        <v>9</v>
      </c>
    </row>
  </sheetData>
  <mergeCells count="20">
    <mergeCell ref="B4:D4"/>
    <mergeCell ref="N5:R5"/>
    <mergeCell ref="F24:G24"/>
    <mergeCell ref="B30:C30"/>
    <mergeCell ref="B38:C38"/>
    <mergeCell ref="B39:C39"/>
    <mergeCell ref="B28:C28"/>
    <mergeCell ref="B19:C19"/>
    <mergeCell ref="B24:C24"/>
    <mergeCell ref="H24:I24"/>
    <mergeCell ref="B25:C25"/>
    <mergeCell ref="B51:C51"/>
    <mergeCell ref="B52:C52"/>
    <mergeCell ref="B58:C58"/>
    <mergeCell ref="B64:C64"/>
    <mergeCell ref="B40:C40"/>
    <mergeCell ref="B44:C44"/>
    <mergeCell ref="B45:C45"/>
    <mergeCell ref="B46:C46"/>
    <mergeCell ref="B50:C50"/>
  </mergeCells>
  <conditionalFormatting sqref="N7:R18">
    <cfRule type="containsText" dxfId="1" priority="1" operator="containsText" text="Exclude">
      <formula>NOT(ISERROR(SEARCH("Exclude",N7)))</formula>
    </cfRule>
    <cfRule type="containsText" dxfId="0" priority="2" operator="containsText" text="Include">
      <formula>NOT(ISERROR(SEARCH("Include",N7)))</formula>
    </cfRule>
  </conditionalFormatting>
  <dataValidations count="12">
    <dataValidation type="whole" allowBlank="1" showInputMessage="1" showErrorMessage="1" errorTitle="Weekly Operating Hours" error="It can accepts integer values from 1 to 168." sqref="D25:D27 D39 D45 D51 D56:D57 D62:D63" xr:uid="{00000000-0002-0000-0400-000001000000}">
      <formula1>0</formula1>
      <formula2>168</formula2>
    </dataValidation>
    <dataValidation type="whole" allowBlank="1" showInputMessage="1" showErrorMessage="1" errorTitle="Gross floor area" error="It can accepts integer values from 0 to 5 million" sqref="D24 D38 D44 D50" xr:uid="{00000000-0002-0000-0400-000002000000}">
      <formula1>0</formula1>
      <formula2>5000000</formula2>
    </dataValidation>
    <dataValidation type="decimal" operator="lessThanOrEqual" allowBlank="1" showInputMessage="1" showErrorMessage="1" sqref="D19" xr:uid="{787ADE45-BDBF-41C8-B5B7-96C3ACE845EA}">
      <formula1>20499999</formula1>
    </dataValidation>
    <dataValidation type="list" allowBlank="1" showInputMessage="1" showErrorMessage="1" error="Please select from drop-down" sqref="C7:C18" xr:uid="{00000000-0002-0000-0400-000000000000}">
      <formula1>spacetype</formula1>
    </dataValidation>
    <dataValidation type="whole" allowBlank="1" showInputMessage="1" showErrorMessage="1" errorTitle="Operating Hours" error="Weekly Operating Hours may not exceed 168_x000a_" sqref="E7:E18" xr:uid="{00000000-0002-0000-0400-000003000000}">
      <formula1>1</formula1>
      <formula2>168</formula2>
    </dataValidation>
    <dataValidation type="whole" allowBlank="1" showInputMessage="1" showErrorMessage="1" errorTitle="Regular Building Occupants" error="Integers are only allowed in this fields" sqref="F7:F18" xr:uid="{00000000-0002-0000-0400-000004000000}">
      <formula1>0</formula1>
      <formula2>99999999999999</formula2>
    </dataValidation>
    <dataValidation type="whole" allowBlank="1" showInputMessage="1" showErrorMessage="1" errorTitle="Visitors per Day" error="Integers are only allowed in this fields" sqref="H7:H18" xr:uid="{00000000-0002-0000-0400-000005000000}">
      <formula1>0</formula1>
      <formula2>99999999999999</formula2>
    </dataValidation>
    <dataValidation type="time" allowBlank="1" showInputMessage="1" showErrorMessage="1" error="Please enter valid number of hours" sqref="I7:I18" xr:uid="{DE3FE902-564E-4870-9C2E-54B183D9023E}">
      <formula1>0</formula1>
      <formula2>0.999305555555556</formula2>
    </dataValidation>
    <dataValidation type="list" showInputMessage="1" showErrorMessage="1" sqref="N7:R18" xr:uid="{A87764CF-D6D5-448C-8D53-FDEEEA597263}">
      <formula1>"Include, Exclude"</formula1>
    </dataValidation>
    <dataValidation type="decimal" operator="lessThanOrEqual" allowBlank="1" showInputMessage="1" showErrorMessage="1" errorTitle="Error" error="Value of Gross Floor Area cannot exceed 20499999" sqref="D7:D18" xr:uid="{1CDE6CCB-8877-4FF5-9CEB-9A365D0E3DEF}">
      <formula1>20499999</formula1>
    </dataValidation>
    <dataValidation type="date" operator="lessThanOrEqual" allowBlank="1" showInputMessage="1" showErrorMessage="1" errorTitle="Error" error="Please enter a valid date" sqref="D30" xr:uid="{A6C3C33A-6D8B-456A-8CF4-D345FA2D21F5}">
      <formula1>TODAY()</formula1>
    </dataValidation>
    <dataValidation type="whole" allowBlank="1" showInputMessage="1" showErrorMessage="1" errorTitle="Error" error="Days per week can be between 0 to 7" sqref="G7:G18" xr:uid="{7B40EA20-C474-41E5-BC09-D1B931CD9FC9}">
      <formula1>0</formula1>
      <formula2>7</formula2>
    </dataValidation>
  </dataValidation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utton7_Click">
                <anchor moveWithCells="1">
                  <from>
                    <xdr:col>1</xdr:col>
                    <xdr:colOff>28575</xdr:colOff>
                    <xdr:row>19</xdr:row>
                    <xdr:rowOff>133350</xdr:rowOff>
                  </from>
                  <to>
                    <xdr:col>1</xdr:col>
                    <xdr:colOff>1400175</xdr:colOff>
                    <xdr:row>19</xdr:row>
                    <xdr:rowOff>400050</xdr:rowOff>
                  </to>
                </anchor>
              </controlPr>
            </control>
          </mc:Choice>
        </mc:AlternateContent>
        <mc:AlternateContent xmlns:mc="http://schemas.openxmlformats.org/markup-compatibility/2006">
          <mc:Choice Requires="x14">
            <control shapeId="23554" r:id="rId5" name="Button 2">
              <controlPr defaultSize="0" print="0" autoFill="0" autoPict="0" macro="[0]!Button13_Click">
                <anchor moveWithCells="1">
                  <from>
                    <xdr:col>1</xdr:col>
                    <xdr:colOff>1495425</xdr:colOff>
                    <xdr:row>19</xdr:row>
                    <xdr:rowOff>133350</xdr:rowOff>
                  </from>
                  <to>
                    <xdr:col>2</xdr:col>
                    <xdr:colOff>295275</xdr:colOff>
                    <xdr:row>19</xdr:row>
                    <xdr:rowOff>400050</xdr:rowOff>
                  </to>
                </anchor>
              </controlPr>
            </control>
          </mc:Choice>
        </mc:AlternateContent>
        <mc:AlternateContent xmlns:mc="http://schemas.openxmlformats.org/markup-compatibility/2006">
          <mc:Choice Requires="x14">
            <control shapeId="23560" r:id="rId6" name="Button 8">
              <controlPr defaultSize="0" print="0" autoFill="0" autoPict="0" macro="[0]!Button8_Click">
                <anchor moveWithCells="1" sizeWithCells="1">
                  <from>
                    <xdr:col>2</xdr:col>
                    <xdr:colOff>2952750</xdr:colOff>
                    <xdr:row>0</xdr:row>
                    <xdr:rowOff>180975</xdr:rowOff>
                  </from>
                  <to>
                    <xdr:col>3</xdr:col>
                    <xdr:colOff>933450</xdr:colOff>
                    <xdr:row>1</xdr:row>
                    <xdr:rowOff>247650</xdr:rowOff>
                  </to>
                </anchor>
              </controlPr>
            </control>
          </mc:Choice>
        </mc:AlternateContent>
        <mc:AlternateContent xmlns:mc="http://schemas.openxmlformats.org/markup-compatibility/2006">
          <mc:Choice Requires="x14">
            <control shapeId="23562" r:id="rId7" name="Button 10">
              <controlPr defaultSize="0" print="0" autoFill="0" autoPict="0" macro="[0]!Button10_Click">
                <anchor moveWithCells="1" sizeWithCells="1">
                  <from>
                    <xdr:col>0</xdr:col>
                    <xdr:colOff>171450</xdr:colOff>
                    <xdr:row>32</xdr:row>
                    <xdr:rowOff>85725</xdr:rowOff>
                  </from>
                  <to>
                    <xdr:col>1</xdr:col>
                    <xdr:colOff>1905000</xdr:colOff>
                    <xdr:row>34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1" sqref="D11"/>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4" t="s">
        <v>589</v>
      </c>
      <c r="B1" s="4" t="str">
        <f ca="1">MID(CELL("filename",A1),FIND("]",CELL("filename",A1))+1,256)</f>
        <v>base_w</v>
      </c>
      <c r="C1" s="1"/>
      <c r="D1" s="155" t="str">
        <f ca="1">B1</f>
        <v>base_w</v>
      </c>
      <c r="E1" s="1"/>
    </row>
    <row r="2" spans="1:9" x14ac:dyDescent="0.25">
      <c r="A2" s="4" t="s">
        <v>589</v>
      </c>
      <c r="B2" s="147" t="s">
        <v>563</v>
      </c>
      <c r="C2" s="152"/>
      <c r="D2" s="148"/>
      <c r="E2" s="1"/>
    </row>
    <row r="3" spans="1:9" x14ac:dyDescent="0.25">
      <c r="A3" s="4" t="s">
        <v>589</v>
      </c>
      <c r="B3" s="146" t="s">
        <v>673</v>
      </c>
      <c r="C3" s="9"/>
      <c r="D3" s="148" t="s">
        <v>668</v>
      </c>
      <c r="E3" s="1"/>
    </row>
    <row r="4" spans="1:9" x14ac:dyDescent="0.25">
      <c r="A4" s="4" t="s">
        <v>589</v>
      </c>
      <c r="B4" s="146" t="s">
        <v>564</v>
      </c>
      <c r="C4" s="9"/>
      <c r="D4" s="148" t="s">
        <v>524</v>
      </c>
      <c r="E4" s="1"/>
    </row>
    <row r="5" spans="1:9" ht="15" customHeight="1" x14ac:dyDescent="0.25">
      <c r="A5" s="4" t="s">
        <v>589</v>
      </c>
      <c r="B5" s="17" t="s">
        <v>674</v>
      </c>
      <c r="C5" s="154"/>
      <c r="D5" s="148"/>
      <c r="E5" s="1"/>
    </row>
    <row r="6" spans="1:9" ht="24.75" customHeight="1" x14ac:dyDescent="0.25">
      <c r="A6" s="4">
        <v>10</v>
      </c>
      <c r="B6" s="151" t="s">
        <v>543</v>
      </c>
      <c r="C6" s="151" t="s">
        <v>544</v>
      </c>
      <c r="D6" s="3" t="str">
        <f>CONCATENATE("Period Consumption 
","(",D4,")")</f>
        <v>Period Consumption 
(gal)</v>
      </c>
      <c r="E6" s="1"/>
    </row>
    <row r="7" spans="1:9" x14ac:dyDescent="0.25">
      <c r="A7" s="4"/>
      <c r="B7" s="35"/>
      <c r="C7" s="35"/>
      <c r="D7" s="21"/>
      <c r="E7" s="1"/>
    </row>
    <row r="8" spans="1:9" x14ac:dyDescent="0.25">
      <c r="A8" s="4"/>
      <c r="B8" s="23"/>
      <c r="C8" s="23"/>
      <c r="D8" s="26"/>
      <c r="E8" s="1"/>
    </row>
    <row r="9" spans="1:9" ht="6" customHeight="1" x14ac:dyDescent="0.25">
      <c r="A9" s="4"/>
      <c r="B9" s="23"/>
      <c r="C9" s="23"/>
      <c r="D9" s="26"/>
      <c r="E9" s="1"/>
      <c r="I9" t="s">
        <v>668</v>
      </c>
    </row>
    <row r="10" spans="1:9" ht="25.5" customHeight="1" x14ac:dyDescent="0.25">
      <c r="A10" s="4" t="s">
        <v>545</v>
      </c>
      <c r="B10" s="24"/>
      <c r="C10" s="24"/>
      <c r="D10" s="24"/>
      <c r="E10" s="1"/>
      <c r="I10" t="s">
        <v>669</v>
      </c>
    </row>
    <row r="11" spans="1:9" x14ac:dyDescent="0.25">
      <c r="I11" t="s">
        <v>670</v>
      </c>
    </row>
    <row r="15" spans="1:9" x14ac:dyDescent="0.25">
      <c r="H15" t="s">
        <v>524</v>
      </c>
    </row>
    <row r="16" spans="1:9" x14ac:dyDescent="0.25">
      <c r="H16" t="s">
        <v>527</v>
      </c>
    </row>
    <row r="17" spans="8:8" x14ac:dyDescent="0.25">
      <c r="H17" t="s">
        <v>546</v>
      </c>
    </row>
    <row r="18" spans="8:8" x14ac:dyDescent="0.25">
      <c r="H18" t="s">
        <v>547</v>
      </c>
    </row>
    <row r="19" spans="8:8" x14ac:dyDescent="0.25">
      <c r="H19" t="s">
        <v>521</v>
      </c>
    </row>
    <row r="20" spans="8:8" x14ac:dyDescent="0.25">
      <c r="H20" t="s">
        <v>526</v>
      </c>
    </row>
    <row r="21" spans="8:8" x14ac:dyDescent="0.25">
      <c r="H21" t="s">
        <v>541</v>
      </c>
    </row>
    <row r="22" spans="8:8" x14ac:dyDescent="0.25">
      <c r="H22" t="s">
        <v>560</v>
      </c>
    </row>
    <row r="23" spans="8:8" x14ac:dyDescent="0.25">
      <c r="H23" t="s">
        <v>523</v>
      </c>
    </row>
    <row r="24" spans="8:8" x14ac:dyDescent="0.25">
      <c r="H24" s="2" t="s">
        <v>542</v>
      </c>
    </row>
    <row r="25" spans="8:8" x14ac:dyDescent="0.25">
      <c r="H25" s="2" t="s">
        <v>561</v>
      </c>
    </row>
    <row r="26" spans="8:8" x14ac:dyDescent="0.25">
      <c r="H26" s="2" t="s">
        <v>562</v>
      </c>
    </row>
    <row r="27" spans="8:8" x14ac:dyDescent="0.25">
      <c r="H27" t="s">
        <v>671</v>
      </c>
    </row>
    <row r="28" spans="8:8" x14ac:dyDescent="0.25">
      <c r="H28" t="s">
        <v>672</v>
      </c>
    </row>
    <row r="29" spans="8:8" x14ac:dyDescent="0.25">
      <c r="H29" t="s">
        <v>666</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ZaYsFl26iD7Vwi+NUwlDHT8swFsvdi+JN0bYQwR7ZF0x56aleZdHsgxKlnpL9MD946Up6tTDvkfU2NfHURGHdA==" saltValue="e3dGuBfpKAJFj8UfL8fExg==" spinCount="100000" sheet="1" objects="1" scenarios="1"/>
  <dataValidations count="6">
    <dataValidation type="list" allowBlank="1" showInputMessage="1" showErrorMessage="1" error="Units cannot edit." sqref="D4" xr:uid="{00000000-0002-0000-0100-000000000000}">
      <formula1>watUni</formula1>
    </dataValidation>
    <dataValidation type="list" allowBlank="1" showInputMessage="1" showErrorMessage="1" sqref="D3" xr:uid="{00000000-0002-0000-0100-000001000000}">
      <formula1>WaterDrp</formula1>
    </dataValidation>
    <dataValidation allowBlank="1" showInputMessage="1" showErrorMessage="1" error="Please enter a valid date in mm/dd/yyyy format." sqref="B8:D10" xr:uid="{00000000-0002-0000-0100-000002000000}"/>
    <dataValidation type="date" allowBlank="1" showInputMessage="1" showErrorMessage="1" error="Please enter a valid date in mm/dd/yyyy format." sqref="B7:C7" xr:uid="{00000000-0002-0000-0100-000003000000}">
      <formula1>1</formula1>
      <formula2>73415</formula2>
    </dataValidation>
    <dataValidation type="decimal" allowBlank="1" showInputMessage="1" showErrorMessage="1" error="Please enter a valid reading." sqref="D7" xr:uid="{00000000-0002-0000-0100-000004000000}">
      <formula1>0</formula1>
      <formula2>9999999999</formula2>
    </dataValidation>
    <dataValidation type="textLength" allowBlank="1" showInputMessage="1" showErrorMessage="1" errorTitle="Data Source" error="It can only accept 40 characters." sqref="D5" xr:uid="{00000000-0002-0000-0100-000005000000}">
      <formula1>0</formula1>
      <formula2>40</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9" r:id="rId4" name="Button 7">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3085" r:id="rId5" name="Button 13">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3087" r:id="rId6" name="Button 15">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D18" sqref="D18"/>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base_e</v>
      </c>
      <c r="C1" s="1"/>
      <c r="D1" s="4" t="str">
        <f ca="1">B1</f>
        <v>base_e</v>
      </c>
      <c r="E1" s="1"/>
    </row>
    <row r="2" spans="1:10" x14ac:dyDescent="0.25">
      <c r="A2" s="4" t="s">
        <v>589</v>
      </c>
      <c r="B2" s="147" t="s">
        <v>563</v>
      </c>
      <c r="C2" s="152"/>
      <c r="D2" s="148"/>
      <c r="E2" s="1"/>
    </row>
    <row r="3" spans="1:10" x14ac:dyDescent="0.25">
      <c r="A3" s="4" t="s">
        <v>589</v>
      </c>
      <c r="B3" s="146" t="s">
        <v>673</v>
      </c>
      <c r="C3" s="9"/>
      <c r="D3" s="148" t="s">
        <v>667</v>
      </c>
      <c r="E3" s="1"/>
    </row>
    <row r="4" spans="1:10" x14ac:dyDescent="0.25">
      <c r="A4" s="4" t="s">
        <v>589</v>
      </c>
      <c r="B4" s="146"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c r="C7" s="35"/>
      <c r="D7" s="22"/>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sheetProtection algorithmName="SHA-512" hashValue="Ga5D+hUIFIcztvPnC6hkZGrITinNwuzlykpLHXKjU+znI+7V+UXk92Wcyo0w42nHnR1DKuEo6ja0zsj0OR2ivg==" saltValue="Re26LyacegrblJunvX48sQ==" spinCount="100000" sheet="1" objects="1" scenarios="1"/>
  <dataValidations count="6">
    <dataValidation type="list" allowBlank="1" showInputMessage="1" showErrorMessage="1" error="Units cannot edit." sqref="D4" xr:uid="{00000000-0002-0000-0200-000000000000}">
      <formula1>elecName</formula1>
    </dataValidation>
    <dataValidation type="list" allowBlank="1" showInputMessage="1" showErrorMessage="1" sqref="D3" xr:uid="{00000000-0002-0000-0200-000001000000}">
      <formula1>ElectricityDrp</formula1>
    </dataValidation>
    <dataValidation allowBlank="1" showInputMessage="1" showErrorMessage="1" error="Please enter a valid date in mm/dd/yyyy format." sqref="B8:D10" xr:uid="{00000000-0002-0000-0200-000002000000}"/>
    <dataValidation type="date" allowBlank="1" showInputMessage="1" showErrorMessage="1" error="Please enter a valid date in mm/dd/yyyy format." sqref="B7:C7" xr:uid="{00000000-0002-0000-0200-000003000000}">
      <formula1>1</formula1>
      <formula2>73415</formula2>
    </dataValidation>
    <dataValidation type="decimal" allowBlank="1" showInputMessage="1" showErrorMessage="1" error="Please enter a valid reading." sqref="D7" xr:uid="{00000000-0002-0000-0200-000004000000}">
      <formula1>0</formula1>
      <formula2>9999999999</formula2>
    </dataValidation>
    <dataValidation type="textLength" allowBlank="1" showInputMessage="1" showErrorMessage="1" errorTitle="Data Source" error="It can only accept 40 characters." sqref="D5" xr:uid="{00000000-0002-0000-0200-000005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6147" r:id="rId4" name="Button 3">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6148" r:id="rId5" name="Button 4">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6150" r:id="rId6" name="Button 6">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X37"/>
  <sheetViews>
    <sheetView workbookViewId="0">
      <pane xSplit="1" ySplit="6" topLeftCell="B7" activePane="bottomRight" state="frozen"/>
      <selection pane="topRight" activeCell="B1" sqref="B1"/>
      <selection pane="bottomLeft" activeCell="A8" sqref="A8"/>
      <selection pane="bottomRight" activeCell="D14" sqref="D14"/>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base_f</v>
      </c>
      <c r="C1" s="1"/>
      <c r="D1" s="4" t="str">
        <f ca="1">B1</f>
        <v>base_f</v>
      </c>
      <c r="E1" s="1"/>
    </row>
    <row r="2" spans="1:24" ht="15" customHeight="1" x14ac:dyDescent="0.25">
      <c r="A2" s="4" t="s">
        <v>589</v>
      </c>
      <c r="B2" s="147" t="s">
        <v>563</v>
      </c>
      <c r="C2" s="152"/>
      <c r="D2" s="148"/>
      <c r="E2" s="1"/>
    </row>
    <row r="3" spans="1:24" ht="29.25" customHeight="1" x14ac:dyDescent="0.25">
      <c r="A3" s="4" t="s">
        <v>589</v>
      </c>
      <c r="B3" s="146" t="s">
        <v>565</v>
      </c>
      <c r="C3" s="153"/>
      <c r="D3" s="149" t="s">
        <v>512</v>
      </c>
      <c r="E3" s="1"/>
    </row>
    <row r="4" spans="1:24" ht="15.75" customHeight="1" x14ac:dyDescent="0.25">
      <c r="A4" s="4" t="s">
        <v>589</v>
      </c>
      <c r="B4" s="146" t="s">
        <v>564</v>
      </c>
      <c r="C4" s="9"/>
      <c r="D4" s="150" t="s">
        <v>529</v>
      </c>
      <c r="E4" s="1"/>
    </row>
    <row r="5" spans="1:24" ht="15" customHeight="1" x14ac:dyDescent="0.25">
      <c r="A5" s="4" t="s">
        <v>589</v>
      </c>
      <c r="B5" s="17" t="s">
        <v>674</v>
      </c>
      <c r="C5" s="154"/>
      <c r="D5" s="148"/>
      <c r="E5" s="1"/>
    </row>
    <row r="6" spans="1:24" ht="24" customHeight="1" x14ac:dyDescent="0.25">
      <c r="A6" s="4">
        <v>10</v>
      </c>
      <c r="B6" s="151" t="s">
        <v>543</v>
      </c>
      <c r="C6" s="151" t="s">
        <v>544</v>
      </c>
      <c r="D6" s="3" t="str">
        <f>CONCATENATE("Period Consumption 
","(",D4,")")</f>
        <v>Period Consumption 
(kWh)</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sqJbXNFqDGcSeOvwrxxRiDSwwh8jvr144XErFNcXXZQUN6ylHbR3g6oAbl5MTZPFj6svUTWKkylmQ5vJDzVd0A==" saltValue="B01KCQB9kjRGsFQFvKf/oQ==" spinCount="100000" sheet="1" objects="1" scenarios="1"/>
  <dataValidations count="7">
    <dataValidation type="list" allowBlank="1" showInputMessage="1" showErrorMessage="1" sqref="G15:X15" xr:uid="{00000000-0002-0000-0300-000000000000}">
      <formula1>$G$15:$X$15</formula1>
    </dataValidation>
    <dataValidation type="list" showInputMessage="1" showErrorMessage="1" error="Units cannot edit." sqref="D4" xr:uid="{00000000-0002-0000-0300-000001000000}">
      <formula1>myItemListH</formula1>
    </dataValidation>
    <dataValidation type="list" allowBlank="1" showInputMessage="1" showErrorMessage="1" error="Fuel type cannot edit." sqref="D3" xr:uid="{00000000-0002-0000-0300-000002000000}">
      <formula1>myCategoryH</formula1>
    </dataValidation>
    <dataValidation allowBlank="1" showInputMessage="1" showErrorMessage="1" error="Please enter a valid date in mm/dd/yyyy format." sqref="B8:D10" xr:uid="{00000000-0002-0000-0300-000003000000}"/>
    <dataValidation type="decimal" allowBlank="1" showInputMessage="1" showErrorMessage="1" error="Please enter a valid reading." sqref="D7" xr:uid="{00000000-0002-0000-0300-000004000000}">
      <formula1>0</formula1>
      <formula2>9999999999</formula2>
    </dataValidation>
    <dataValidation type="date" allowBlank="1" showInputMessage="1" showErrorMessage="1" error="Please enter a valid date in mm/dd/yyyy format." sqref="B7:C7" xr:uid="{00000000-0002-0000-0300-000005000000}">
      <formula1>1</formula1>
      <formula2>73051</formula2>
    </dataValidation>
    <dataValidation type="textLength" allowBlank="1" showInputMessage="1" showErrorMessage="1" errorTitle="Data Source" error="It can only accept 40 characters." sqref="D5" xr:uid="{00000000-0002-0000-0300-000006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81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8196" r:id="rId5" name="Button 4">
              <controlPr defaultSize="0" print="0" autoFill="0" autoPict="0" macro="[0]!base_f_Button4_Click">
                <anchor moveWithCells="1" sizeWithCells="1">
                  <from>
                    <xdr:col>3</xdr:col>
                    <xdr:colOff>0</xdr:colOff>
                    <xdr:row>9</xdr:row>
                    <xdr:rowOff>28575</xdr:rowOff>
                  </from>
                  <to>
                    <xdr:col>3</xdr:col>
                    <xdr:colOff>1057275</xdr:colOff>
                    <xdr:row>9</xdr:row>
                    <xdr:rowOff>276225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11"/>
  <sheetViews>
    <sheetView zoomScaleNormal="100" workbookViewId="0">
      <selection activeCell="D28" sqref="C28:D32"/>
    </sheetView>
  </sheetViews>
  <sheetFormatPr defaultColWidth="9.140625" defaultRowHeight="15" x14ac:dyDescent="0.25"/>
  <cols>
    <col min="1" max="1" width="2.7109375" style="6" customWidth="1"/>
    <col min="2" max="4" width="20.7109375" style="2" customWidth="1"/>
    <col min="5" max="5" width="3.7109375" style="2" customWidth="1"/>
    <col min="6" max="16384" width="9.140625" style="2"/>
  </cols>
  <sheetData>
    <row r="1" spans="1:6" x14ac:dyDescent="0.25">
      <c r="A1" s="4" t="s">
        <v>589</v>
      </c>
      <c r="B1" s="1"/>
      <c r="C1" s="1"/>
      <c r="D1" s="1"/>
      <c r="E1" s="1"/>
    </row>
    <row r="2" spans="1:6" x14ac:dyDescent="0.25">
      <c r="A2" s="4" t="s">
        <v>589</v>
      </c>
      <c r="B2" s="241" t="s">
        <v>563</v>
      </c>
      <c r="C2" s="242"/>
      <c r="D2" s="32" t="s">
        <v>591</v>
      </c>
      <c r="E2" s="1"/>
    </row>
    <row r="3" spans="1:6" x14ac:dyDescent="0.25">
      <c r="A3" s="4" t="s">
        <v>589</v>
      </c>
      <c r="B3" s="239" t="s">
        <v>673</v>
      </c>
      <c r="C3" s="240"/>
      <c r="D3" s="32" t="s">
        <v>557</v>
      </c>
      <c r="E3" s="1"/>
    </row>
    <row r="4" spans="1:6" ht="15" customHeight="1" x14ac:dyDescent="0.25">
      <c r="A4" s="4" t="s">
        <v>589</v>
      </c>
      <c r="B4" s="17" t="s">
        <v>564</v>
      </c>
      <c r="C4" s="19"/>
      <c r="D4" s="32" t="s">
        <v>573</v>
      </c>
      <c r="E4" s="1"/>
    </row>
    <row r="5" spans="1:6" ht="20.45" customHeight="1" x14ac:dyDescent="0.25">
      <c r="A5" s="4"/>
      <c r="B5" s="138" t="s">
        <v>608</v>
      </c>
      <c r="C5" s="99"/>
      <c r="D5" s="137"/>
      <c r="E5" s="1"/>
    </row>
    <row r="6" spans="1:6" ht="48" customHeight="1" x14ac:dyDescent="0.25">
      <c r="A6" s="4">
        <v>11</v>
      </c>
      <c r="B6" s="3" t="s">
        <v>543</v>
      </c>
      <c r="C6" s="3" t="s">
        <v>544</v>
      </c>
      <c r="D6" s="3" t="str">
        <f>CONCATENATE("Average 95th Percentile 
CO2 Reading 
","(",D4,")")</f>
        <v>Average 95th Percentile 
CO2 Reading 
(ppm)</v>
      </c>
      <c r="E6" s="1"/>
      <c r="F6" s="36"/>
    </row>
    <row r="7" spans="1:6" x14ac:dyDescent="0.25">
      <c r="A7" s="37">
        <f>IFERROR(IF(D7="",1,0),1)</f>
        <v>0</v>
      </c>
      <c r="B7" s="52">
        <f>INDEX(Dates,1,E7)</f>
        <v>43343</v>
      </c>
      <c r="C7" s="52">
        <f t="shared" ref="C7" si="0">B7</f>
        <v>43343</v>
      </c>
      <c r="D7" s="53">
        <f>HLOOKUP(B7,ReadingTable,2,FALSE)</f>
        <v>100.11</v>
      </c>
      <c r="E7" s="68">
        <f>IF(E6="",7,E6+1)</f>
        <v>7</v>
      </c>
    </row>
    <row r="8" spans="1:6" x14ac:dyDescent="0.25">
      <c r="A8" s="37">
        <f t="shared" ref="A8" si="1">IFERROR(IF(D8="",1,0),1)</f>
        <v>0</v>
      </c>
      <c r="B8" s="52">
        <f>INDEX(Dates,1,E8)</f>
        <v>43313</v>
      </c>
      <c r="C8" s="52">
        <f t="shared" ref="C8" si="2">B8</f>
        <v>43313</v>
      </c>
      <c r="D8" s="53">
        <f>HLOOKUP(B8,ReadingTable,2,FALSE)</f>
        <v>50.11</v>
      </c>
      <c r="E8" s="68">
        <f t="shared" ref="E8" si="3">IF(E7="",7,E7+1)</f>
        <v>8</v>
      </c>
    </row>
    <row r="9" spans="1:6" x14ac:dyDescent="0.25">
      <c r="A9" s="4" t="s">
        <v>545</v>
      </c>
      <c r="B9" s="1"/>
      <c r="C9" s="1"/>
      <c r="D9" s="1"/>
      <c r="E9" s="1"/>
    </row>
    <row r="10" spans="1:6" x14ac:dyDescent="0.25">
      <c r="A10" s="4"/>
      <c r="B10" s="1"/>
      <c r="C10" s="1"/>
      <c r="D10" s="1"/>
      <c r="E10" s="1"/>
    </row>
    <row r="11" spans="1:6" ht="36.6" customHeight="1" x14ac:dyDescent="0.25">
      <c r="A11" s="4" t="s">
        <v>545</v>
      </c>
      <c r="B11" s="24"/>
      <c r="C11" s="24"/>
      <c r="D11" s="24"/>
      <c r="E11" s="1"/>
    </row>
  </sheetData>
  <sheetProtection algorithmName="SHA-512" hashValue="8Q8pr0wqxaEpGsGMyO9eWx6Nedily2SHZxy8cQilpgk0Ncrfy8Oj8eloep5zALIm7fPIBAkGIinDciBm4kmtTA==" saltValue="r51xLDJzp4sfRX0OUKiHJg==" spinCount="100000" sheet="1" objects="1" scenarios="1"/>
  <mergeCells count="2">
    <mergeCell ref="B3:C3"/>
    <mergeCell ref="B2:C2"/>
  </mergeCells>
  <dataValidations count="3">
    <dataValidation type="whole" allowBlank="1" showInputMessage="1" showErrorMessage="1" sqref="A6" xr:uid="{00000000-0002-0000-0500-000000000000}">
      <formula1>0</formula1>
      <formula2>99999</formula2>
    </dataValidation>
    <dataValidation type="date" allowBlank="1" showInputMessage="1" showErrorMessage="1" error="Please enter a valid date in mm/dd/yyyy format." sqref="B7:C8" xr:uid="{00000000-0002-0000-0500-000001000000}">
      <formula1>1</formula1>
      <formula2>73051</formula2>
    </dataValidation>
    <dataValidation type="decimal" allowBlank="1" showInputMessage="1" showErrorMessage="1" error="Please enter a valid reading." sqref="D7:D8" xr:uid="{00000000-0002-0000-0500-000002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refreshCol">
                <anchor moveWithCells="1">
                  <from>
                    <xdr:col>1</xdr:col>
                    <xdr:colOff>0</xdr:colOff>
                    <xdr:row>10</xdr:row>
                    <xdr:rowOff>9525</xdr:rowOff>
                  </from>
                  <to>
                    <xdr:col>2</xdr:col>
                    <xdr:colOff>447675</xdr:colOff>
                    <xdr:row>10</xdr:row>
                    <xdr:rowOff>285750</xdr:rowOff>
                  </to>
                </anchor>
              </controlPr>
            </control>
          </mc:Choice>
        </mc:AlternateContent>
        <mc:AlternateContent xmlns:mc="http://schemas.openxmlformats.org/markup-compatibility/2006">
          <mc:Choice Requires="x14">
            <control shapeId="13316" r:id="rId5" name="Button 4">
              <controlPr defaultSize="0" print="0" autoFill="0" autoPict="0" macro="[0]!revertButtonCO">
                <anchor moveWithCells="1">
                  <from>
                    <xdr:col>2</xdr:col>
                    <xdr:colOff>533400</xdr:colOff>
                    <xdr:row>10</xdr:row>
                    <xdr:rowOff>400050</xdr:rowOff>
                  </from>
                  <to>
                    <xdr:col>3</xdr:col>
                    <xdr:colOff>981075</xdr:colOff>
                    <xdr:row>12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H25"/>
  <sheetViews>
    <sheetView showGridLines="0" zoomScale="90" zoomScaleNormal="90" workbookViewId="0">
      <pane ySplit="2" topLeftCell="A3" activePane="bottomLeft" state="frozen"/>
      <selection activeCell="D28" sqref="C28:D32"/>
      <selection pane="bottomLeft" activeCell="D28" sqref="C28:D32"/>
    </sheetView>
  </sheetViews>
  <sheetFormatPr defaultColWidth="14.7109375" defaultRowHeight="12.75" x14ac:dyDescent="0.25"/>
  <cols>
    <col min="1" max="1" width="4.28515625" style="38" customWidth="1"/>
    <col min="2" max="2" width="18.7109375" style="39" customWidth="1"/>
    <col min="3" max="16384" width="14.7109375" style="39"/>
  </cols>
  <sheetData>
    <row r="1" spans="1:8" ht="36" customHeight="1" x14ac:dyDescent="0.25">
      <c r="A1" s="38" t="s">
        <v>589</v>
      </c>
      <c r="B1" s="40" t="s">
        <v>606</v>
      </c>
    </row>
    <row r="2" spans="1:8" ht="33.75" customHeight="1" x14ac:dyDescent="0.25">
      <c r="A2" s="38" t="s">
        <v>589</v>
      </c>
      <c r="B2" s="41" t="s">
        <v>574</v>
      </c>
      <c r="C2" s="42" t="s">
        <v>680</v>
      </c>
      <c r="D2" s="43" t="s">
        <v>575</v>
      </c>
      <c r="E2" s="44" t="s">
        <v>576</v>
      </c>
      <c r="F2" s="45" t="s">
        <v>582</v>
      </c>
    </row>
    <row r="3" spans="1:8" x14ac:dyDescent="0.25">
      <c r="B3" s="75" t="s">
        <v>750</v>
      </c>
      <c r="C3" s="76">
        <v>223</v>
      </c>
      <c r="D3" s="91">
        <v>43343</v>
      </c>
      <c r="E3" s="97">
        <v>0.375</v>
      </c>
      <c r="F3" s="92">
        <v>100.11</v>
      </c>
    </row>
    <row r="4" spans="1:8" x14ac:dyDescent="0.25">
      <c r="B4" s="75" t="s">
        <v>752</v>
      </c>
      <c r="C4" s="76">
        <v>224</v>
      </c>
      <c r="D4" s="91">
        <v>43313</v>
      </c>
      <c r="E4" s="97">
        <v>0.41666666666666669</v>
      </c>
      <c r="F4" s="92">
        <v>50.11</v>
      </c>
    </row>
    <row r="5" spans="1:8" x14ac:dyDescent="0.25">
      <c r="A5" s="38">
        <v>0</v>
      </c>
      <c r="B5" s="75"/>
      <c r="C5" s="76"/>
      <c r="D5" s="91"/>
      <c r="E5" s="97"/>
      <c r="F5" s="92"/>
    </row>
    <row r="6" spans="1:8" ht="39" customHeight="1" x14ac:dyDescent="0.25"/>
    <row r="7" spans="1:8" s="59" customFormat="1" ht="51" customHeight="1" x14ac:dyDescent="0.2">
      <c r="A7" s="38" t="s">
        <v>580</v>
      </c>
      <c r="B7" s="40"/>
      <c r="F7" s="60"/>
      <c r="G7" s="69">
        <f>IF(G9="",1,0)</f>
        <v>0</v>
      </c>
      <c r="H7" s="69">
        <f>IF(H9="",1,0)</f>
        <v>0</v>
      </c>
    </row>
    <row r="8" spans="1:8" ht="21" customHeight="1" x14ac:dyDescent="0.25">
      <c r="A8" s="38" t="s">
        <v>589</v>
      </c>
      <c r="B8" s="243"/>
      <c r="C8" s="61"/>
      <c r="D8" s="61"/>
      <c r="E8" s="61"/>
      <c r="F8" s="62"/>
      <c r="G8" s="47" t="s">
        <v>575</v>
      </c>
      <c r="H8" s="47" t="s">
        <v>575</v>
      </c>
    </row>
    <row r="9" spans="1:8" ht="15" customHeight="1" x14ac:dyDescent="0.25">
      <c r="A9" s="38" t="s">
        <v>589</v>
      </c>
      <c r="B9" s="244"/>
      <c r="C9" s="63"/>
      <c r="D9" s="63"/>
      <c r="E9" s="63"/>
      <c r="F9" s="64"/>
      <c r="G9" s="145">
        <f t="array" ref="G9">IFERROR(INDEX($D$3:$D$6, MATCH(0,IF(ISBLANK($D$3:$D$6),1,COUNTIF($F$9:F9, $D$3:$D$6)), 0)),"")</f>
        <v>43343</v>
      </c>
      <c r="H9" s="145">
        <f t="array" ref="H9">IFERROR(INDEX($D$3:$D$6, MATCH(0,IF(ISBLANK($D$3:$D$6),1,COUNTIF($F$9:G9, $D$3:$D$6)), 0)),"")</f>
        <v>43313</v>
      </c>
    </row>
    <row r="10" spans="1:8" ht="27.75" customHeight="1" x14ac:dyDescent="0.25">
      <c r="A10" s="38" t="s">
        <v>589</v>
      </c>
      <c r="B10" s="245"/>
      <c r="C10" s="65"/>
      <c r="D10" s="65"/>
      <c r="E10" s="65"/>
      <c r="F10" s="66"/>
      <c r="G10" s="71" t="s">
        <v>581</v>
      </c>
      <c r="H10" s="71" t="s">
        <v>581</v>
      </c>
    </row>
    <row r="11" spans="1:8" ht="15" customHeight="1" x14ac:dyDescent="0.25">
      <c r="A11" s="38">
        <f>IF(B11="",1,0)</f>
        <v>0</v>
      </c>
      <c r="B11" s="48" t="str">
        <f t="array" ref="B11">IFERROR(INDEX($B$3:$B$6, MATCH(0,IF(ISBLANK($B$3:$B$6),1,COUNTIF($B$10:B10, $B$3:$B$6)), 0)),"")</f>
        <v>Goa</v>
      </c>
      <c r="C11" s="49"/>
      <c r="D11" s="49"/>
      <c r="E11" s="49"/>
      <c r="F11" s="58"/>
      <c r="G11" s="93">
        <f t="array" ref="G11">IFERROR(PERCENTILE(IF($B$3:$B$6=$B11,IF($D$3:$D$6=G$9,IF($F$3:$F$6&lt;&gt;"",$F$3:$F$6))),0.95),"")</f>
        <v>100.11</v>
      </c>
      <c r="H11" s="93" t="str">
        <f t="array" ref="H11">IFERROR(PERCENTILE(IF($B$3:$B$6=$B11,IF($D$3:$D$6=H$9,IF($F$3:$F$6&lt;&gt;"",$F$3:$F$6))),0.95),"")</f>
        <v/>
      </c>
    </row>
    <row r="12" spans="1:8" ht="15" customHeight="1" x14ac:dyDescent="0.25">
      <c r="A12" s="38">
        <f t="shared" ref="A12" si="0">IF(B12="",1,0)</f>
        <v>0</v>
      </c>
      <c r="B12" s="48" t="str">
        <f t="array" ref="B12">IFERROR(INDEX($B$3:$B$6, MATCH(0,IF(ISBLANK($B$3:$B$6),1,COUNTIF($B$10:B11, $B$3:$B$6)), 0)),"")</f>
        <v>Hyd</v>
      </c>
      <c r="C12" s="49"/>
      <c r="D12" s="49"/>
      <c r="E12" s="49"/>
      <c r="F12" s="58"/>
      <c r="G12" s="93" t="str">
        <f t="array" ref="G12">IFERROR(PERCENTILE(IF($B$3:$B$6=$B12,IF($D$3:$D$6=G$9,IF($F$3:$F$6&lt;&gt;"",$F$3:$F$6))),0.95),"")</f>
        <v/>
      </c>
      <c r="H12" s="93">
        <f t="array" ref="H12">IFERROR(PERCENTILE(IF($B$3:$B$6=$B12,IF($D$3:$D$6=H$9,IF($F$3:$F$6&lt;&gt;"",$F$3:$F$6))),0.95),"")</f>
        <v>50.11</v>
      </c>
    </row>
    <row r="13" spans="1:8" ht="9" customHeight="1" x14ac:dyDescent="0.25">
      <c r="G13" s="94"/>
      <c r="H13" s="94"/>
    </row>
    <row r="14" spans="1:8" ht="9" customHeight="1" x14ac:dyDescent="0.25">
      <c r="A14" s="38" t="s">
        <v>545</v>
      </c>
      <c r="G14" s="94"/>
      <c r="H14" s="94"/>
    </row>
    <row r="15" spans="1:8" ht="15" hidden="1" customHeight="1" x14ac:dyDescent="0.25">
      <c r="G15" s="72">
        <f>G9</f>
        <v>43343</v>
      </c>
      <c r="H15" s="72">
        <f>H9</f>
        <v>43313</v>
      </c>
    </row>
    <row r="16" spans="1:8" ht="20.25" customHeight="1" x14ac:dyDescent="0.25">
      <c r="B16" s="55" t="s">
        <v>578</v>
      </c>
      <c r="C16" s="56"/>
      <c r="D16" s="56"/>
      <c r="E16" s="56"/>
      <c r="F16" s="57"/>
      <c r="G16" s="95">
        <f>IFERROR(AVERAGE(G11:G14),0)</f>
        <v>100.11</v>
      </c>
      <c r="H16" s="95">
        <f>IFERROR(AVERAGE(H11:H14),0)</f>
        <v>50.11</v>
      </c>
    </row>
    <row r="17" spans="1:5" ht="24.75" customHeight="1" x14ac:dyDescent="0.25"/>
    <row r="18" spans="1:5" ht="28.5" hidden="1" customHeight="1" x14ac:dyDescent="0.25">
      <c r="A18" s="38">
        <v>10</v>
      </c>
      <c r="B18" s="50" t="s">
        <v>579</v>
      </c>
      <c r="C18" s="50"/>
      <c r="D18" s="50"/>
      <c r="E18" s="67"/>
    </row>
    <row r="19" spans="1:5" ht="15" hidden="1" customHeight="1" x14ac:dyDescent="0.25">
      <c r="A19" s="37">
        <f>IFERROR(IF(D19="",1,0),1)</f>
        <v>0</v>
      </c>
      <c r="B19" s="52">
        <f>INDEX(Dates,1,E19)</f>
        <v>43343</v>
      </c>
      <c r="C19" s="52">
        <f t="shared" ref="C19" si="1">B19</f>
        <v>43343</v>
      </c>
      <c r="D19" s="53">
        <f>HLOOKUP(B19,ReadingTable,2,FALSE)</f>
        <v>100.11</v>
      </c>
      <c r="E19" s="68">
        <f>IF(E18="",7,E18+1)</f>
        <v>7</v>
      </c>
    </row>
    <row r="20" spans="1:5" hidden="1" x14ac:dyDescent="0.25"/>
    <row r="21" spans="1:5" hidden="1" x14ac:dyDescent="0.25">
      <c r="B21" s="51" t="s">
        <v>577</v>
      </c>
      <c r="C21" s="51"/>
    </row>
    <row r="22" spans="1:5" hidden="1" x14ac:dyDescent="0.25">
      <c r="B22" s="54">
        <f t="array" ref="B22">SUM(IF($D$3:$D$6&lt;&gt;"",1/COUNTIF($D$3:$D$6, $D$3:$D$6), 0))</f>
        <v>2</v>
      </c>
      <c r="C22" s="54">
        <f t="array" ref="C22">SUM(IF($B$3:$B$6&lt;&gt;"",1/COUNTIF($B$3:$B$6, $B$3:$B$6), 0))</f>
        <v>2</v>
      </c>
    </row>
    <row r="23" spans="1:5" hidden="1" x14ac:dyDescent="0.25"/>
    <row r="24" spans="1:5" ht="25.5" hidden="1" x14ac:dyDescent="0.25">
      <c r="B24" s="50" t="s">
        <v>583</v>
      </c>
    </row>
    <row r="25" spans="1:5" ht="15" hidden="1" x14ac:dyDescent="0.25">
      <c r="A25" s="4"/>
      <c r="B25" s="35"/>
      <c r="C25" s="35"/>
      <c r="D25" s="70"/>
      <c r="E25" s="1"/>
    </row>
  </sheetData>
  <sheetProtection algorithmName="SHA-512" hashValue="WVlh5JCjRR0+S8NZgrjU26qgjvBkVsDs/dKAAKoeOWJTrYUHuVzVUkoLEV1tDqhur89QC+gxa9mg4Wh7zVpemA==" saltValue="YulEMtQTq2GC17XFeJr6JQ==" spinCount="100000" sheet="1" objects="1" scenarios="1"/>
  <autoFilter ref="B2:F4" xr:uid="{00000000-0009-0000-0000-000006000000}"/>
  <mergeCells count="1">
    <mergeCell ref="B8:B10"/>
  </mergeCells>
  <dataValidations count="4">
    <dataValidation type="decimal" allowBlank="1" showInputMessage="1" showErrorMessage="1" error="Please enter a valid reading." sqref="D25" xr:uid="{00000000-0002-0000-0600-000000000000}">
      <formula1>0</formula1>
      <formula2>99999999</formula2>
    </dataValidation>
    <dataValidation type="date" allowBlank="1" showInputMessage="1" showErrorMessage="1" error="Please enter a valid date in mm/dd/yyyy format." sqref="B25:C25" xr:uid="{00000000-0002-0000-0600-000001000000}">
      <formula1>1</formula1>
      <formula2>73051</formula2>
    </dataValidation>
    <dataValidation type="date" allowBlank="1" showInputMessage="1" showErrorMessage="1" error="Please enter a valid date in mm/dd/yyyy format." sqref="D3:D5" xr:uid="{00000000-0002-0000-0600-000002000000}">
      <formula1>1</formula1>
      <formula2>2958464</formula2>
    </dataValidation>
    <dataValidation type="time" allowBlank="1" showInputMessage="1" showErrorMessage="1" error="Please enter a valid time in hh:mm format." sqref="E3:E5" xr:uid="{00000000-0002-0000-0600-000003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35" r:id="rId4" name="Button 27">
              <controlPr defaultSize="0" print="0" autoFill="0" autoPict="0" macro="[0]!refreshSummary">
                <anchor moveWithCells="1" sizeWithCells="1">
                  <from>
                    <xdr:col>1</xdr:col>
                    <xdr:colOff>847725</xdr:colOff>
                    <xdr:row>6</xdr:row>
                    <xdr:rowOff>190500</xdr:rowOff>
                  </from>
                  <to>
                    <xdr:col>2</xdr:col>
                    <xdr:colOff>885825</xdr:colOff>
                    <xdr:row>6</xdr:row>
                    <xdr:rowOff>504825</xdr:rowOff>
                  </to>
                </anchor>
              </controlPr>
            </control>
          </mc:Choice>
        </mc:AlternateContent>
        <mc:AlternateContent xmlns:mc="http://schemas.openxmlformats.org/markup-compatibility/2006">
          <mc:Choice Requires="x14">
            <control shapeId="17436" r:id="rId5" name="Button 28">
              <controlPr defaultSize="0" print="0" autoFill="0" autoPict="0" macro="[0]!AddRAW">
                <anchor moveWithCells="1">
                  <from>
                    <xdr:col>0</xdr:col>
                    <xdr:colOff>276225</xdr:colOff>
                    <xdr:row>5</xdr:row>
                    <xdr:rowOff>114300</xdr:rowOff>
                  </from>
                  <to>
                    <xdr:col>2</xdr:col>
                    <xdr:colOff>114300</xdr:colOff>
                    <xdr:row>5</xdr:row>
                    <xdr:rowOff>381000</xdr:rowOff>
                  </to>
                </anchor>
              </controlPr>
            </control>
          </mc:Choice>
        </mc:AlternateContent>
        <mc:AlternateContent xmlns:mc="http://schemas.openxmlformats.org/markup-compatibility/2006">
          <mc:Choice Requires="x14">
            <control shapeId="17437" r:id="rId6" name="Button 29">
              <controlPr defaultSize="0" print="0" autoFill="0" autoPict="0" macro="[0]!DeleteRowRAW">
                <anchor moveWithCells="1">
                  <from>
                    <xdr:col>2</xdr:col>
                    <xdr:colOff>209550</xdr:colOff>
                    <xdr:row>5</xdr:row>
                    <xdr:rowOff>133350</xdr:rowOff>
                  </from>
                  <to>
                    <xdr:col>3</xdr:col>
                    <xdr:colOff>600075</xdr:colOff>
                    <xdr:row>5</xdr:row>
                    <xdr:rowOff>400050</xdr:rowOff>
                  </to>
                </anchor>
              </controlPr>
            </control>
          </mc:Choice>
        </mc:AlternateContent>
        <mc:AlternateContent xmlns:mc="http://schemas.openxmlformats.org/markup-compatibility/2006">
          <mc:Choice Requires="x14">
            <control shapeId="17439" r:id="rId7" name="Button 31">
              <controlPr defaultSize="0" print="0" autoFill="0" autoPict="0" macro="[0]!Button31_Click">
                <anchor moveWithCells="1" sizeWithCells="1">
                  <from>
                    <xdr:col>3</xdr:col>
                    <xdr:colOff>676275</xdr:colOff>
                    <xdr:row>5</xdr:row>
                    <xdr:rowOff>152400</xdr:rowOff>
                  </from>
                  <to>
                    <xdr:col>4</xdr:col>
                    <xdr:colOff>962025</xdr:colOff>
                    <xdr:row>5</xdr:row>
                    <xdr:rowOff>390525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10"/>
  <sheetViews>
    <sheetView zoomScaleNormal="100" workbookViewId="0">
      <selection activeCell="D28" sqref="C28:D32"/>
    </sheetView>
  </sheetViews>
  <sheetFormatPr defaultColWidth="9.140625" defaultRowHeight="15" x14ac:dyDescent="0.25"/>
  <cols>
    <col min="1" max="1" width="2.42578125" style="6" customWidth="1"/>
    <col min="2" max="4" width="20.7109375" style="2" customWidth="1"/>
    <col min="5" max="5" width="3.7109375" style="2" customWidth="1"/>
    <col min="6" max="16384" width="9.140625" style="2"/>
  </cols>
  <sheetData>
    <row r="1" spans="1:5" x14ac:dyDescent="0.25">
      <c r="A1" s="4" t="s">
        <v>589</v>
      </c>
      <c r="B1" s="1"/>
      <c r="C1" s="1"/>
      <c r="D1" s="1"/>
      <c r="E1" s="1"/>
    </row>
    <row r="2" spans="1:5" x14ac:dyDescent="0.25">
      <c r="A2" s="4" t="s">
        <v>589</v>
      </c>
      <c r="B2" s="241" t="s">
        <v>563</v>
      </c>
      <c r="C2" s="242"/>
      <c r="D2" s="31" t="s">
        <v>603</v>
      </c>
      <c r="E2" s="1"/>
    </row>
    <row r="3" spans="1:5" x14ac:dyDescent="0.25">
      <c r="A3" s="4" t="s">
        <v>589</v>
      </c>
      <c r="B3" s="239" t="s">
        <v>673</v>
      </c>
      <c r="C3" s="240"/>
      <c r="D3" s="31" t="s">
        <v>604</v>
      </c>
      <c r="E3" s="1"/>
    </row>
    <row r="4" spans="1:5" x14ac:dyDescent="0.25">
      <c r="A4" s="4" t="s">
        <v>589</v>
      </c>
      <c r="B4" s="17" t="s">
        <v>564</v>
      </c>
      <c r="C4" s="19"/>
      <c r="D4" s="31" t="s">
        <v>590</v>
      </c>
      <c r="E4" s="1"/>
    </row>
    <row r="5" spans="1:5" ht="20.45" customHeight="1" x14ac:dyDescent="0.25">
      <c r="A5" s="4"/>
      <c r="B5" s="138" t="s">
        <v>609</v>
      </c>
      <c r="C5" s="99"/>
      <c r="D5" s="137"/>
      <c r="E5" s="1"/>
    </row>
    <row r="6" spans="1:5" ht="33.75" customHeight="1" x14ac:dyDescent="0.25">
      <c r="A6" s="4">
        <v>10</v>
      </c>
      <c r="B6" s="3" t="s">
        <v>543</v>
      </c>
      <c r="C6" s="3" t="s">
        <v>544</v>
      </c>
      <c r="D6" s="3" t="str">
        <f>CONCATENATE("Highest TVOC Reading 
","(",D4,")")</f>
        <v>Highest TVOC Reading 
(ug/m3)</v>
      </c>
      <c r="E6" s="1"/>
    </row>
    <row r="7" spans="1:5" ht="15" customHeight="1" x14ac:dyDescent="0.25">
      <c r="A7" s="37">
        <f>IFERROR(IF(D7="",1,0),1)</f>
        <v>0</v>
      </c>
      <c r="B7" s="52">
        <f>INDEX(DatesVOC,1,E7)</f>
        <v>43374</v>
      </c>
      <c r="C7" s="52">
        <f t="shared" ref="C7" si="0">B7</f>
        <v>43374</v>
      </c>
      <c r="D7" s="53">
        <f t="array" ref="D7">HLOOKUP(B7,ReadingTableVOC,2,FALSE)</f>
        <v>100.11</v>
      </c>
      <c r="E7" s="68">
        <f>IF(E6="",8,E6+1)</f>
        <v>8</v>
      </c>
    </row>
    <row r="8" spans="1:5" ht="15" customHeight="1" x14ac:dyDescent="0.25">
      <c r="A8" s="4" t="s">
        <v>545</v>
      </c>
      <c r="B8" s="34"/>
      <c r="C8" s="34"/>
      <c r="D8" s="34"/>
      <c r="E8" s="1"/>
    </row>
    <row r="9" spans="1:5" ht="15" hidden="1" customHeight="1" x14ac:dyDescent="0.25">
      <c r="A9" s="4"/>
      <c r="B9" s="34"/>
      <c r="C9" s="34"/>
      <c r="D9" s="34"/>
      <c r="E9" s="1"/>
    </row>
    <row r="10" spans="1:5" ht="33.6" customHeight="1" x14ac:dyDescent="0.25">
      <c r="A10" s="4" t="s">
        <v>545</v>
      </c>
      <c r="B10" s="34"/>
      <c r="C10" s="34"/>
      <c r="D10" s="34"/>
      <c r="E10" s="1"/>
    </row>
  </sheetData>
  <sheetProtection algorithmName="SHA-512" hashValue="NCuhh6pUZ4CqXYd++yg2icAVl6AnGGtGUDJrvR99THS7Vm9U5sNo9wnyEmw+5d7/ch6H4hXmNVlTyH2VG4GKKg==" saltValue="2edP4g9PctHCEmjoJ9J8cg==" spinCount="100000" sheet="1" objects="1" scenarios="1"/>
  <mergeCells count="2">
    <mergeCell ref="B3:C3"/>
    <mergeCell ref="B2:C2"/>
  </mergeCells>
  <dataValidations count="3">
    <dataValidation allowBlank="1" showInputMessage="1" showErrorMessage="1" error="Please enter a valid date in mm/dd/yyyy format." sqref="B8:D10" xr:uid="{00000000-0002-0000-0700-000000000000}"/>
    <dataValidation type="decimal" allowBlank="1" showInputMessage="1" showErrorMessage="1" error="Please enter a valid reading." sqref="D7" xr:uid="{00000000-0002-0000-0700-000001000000}">
      <formula1>0</formula1>
      <formula2>99999999</formula2>
    </dataValidation>
    <dataValidation type="date" allowBlank="1" showInputMessage="1" showErrorMessage="1" error="Please enter a valid date in mm/dd/yyyy format." sqref="B7:C7" xr:uid="{00000000-0002-0000-0700-000002000000}">
      <formula1>1</formula1>
      <formula2>73051</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refreshColVOC">
                <anchor moveWithCells="1">
                  <from>
                    <xdr:col>1</xdr:col>
                    <xdr:colOff>19050</xdr:colOff>
                    <xdr:row>9</xdr:row>
                    <xdr:rowOff>28575</xdr:rowOff>
                  </from>
                  <to>
                    <xdr:col>2</xdr:col>
                    <xdr:colOff>466725</xdr:colOff>
                    <xdr:row>9</xdr:row>
                    <xdr:rowOff>304800</xdr:rowOff>
                  </to>
                </anchor>
              </controlPr>
            </control>
          </mc:Choice>
        </mc:AlternateContent>
        <mc:AlternateContent xmlns:mc="http://schemas.openxmlformats.org/markup-compatibility/2006">
          <mc:Choice Requires="x14">
            <control shapeId="15364" r:id="rId5" name="Button 4">
              <controlPr defaultSize="0" print="0" autoFill="0" autoPict="0" macro="[0]!revertButtonVOC">
                <anchor moveWithCells="1">
                  <from>
                    <xdr:col>2</xdr:col>
                    <xdr:colOff>542925</xdr:colOff>
                    <xdr:row>9</xdr:row>
                    <xdr:rowOff>352425</xdr:rowOff>
                  </from>
                  <to>
                    <xdr:col>3</xdr:col>
                    <xdr:colOff>990600</xdr:colOff>
                    <xdr:row>11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H21"/>
  <sheetViews>
    <sheetView showGridLines="0" zoomScale="90" zoomScaleNormal="90" workbookViewId="0">
      <pane ySplit="2" topLeftCell="A3" activePane="bottomLeft" state="frozen"/>
      <selection activeCell="D28" sqref="C28:D32"/>
      <selection pane="bottomLeft" activeCell="B25" sqref="B25"/>
    </sheetView>
  </sheetViews>
  <sheetFormatPr defaultColWidth="14.7109375" defaultRowHeight="12.75" x14ac:dyDescent="0.25"/>
  <cols>
    <col min="1" max="1" width="4.28515625" style="38" customWidth="1"/>
    <col min="2" max="2" width="18.7109375" style="39" customWidth="1"/>
    <col min="3" max="16384" width="14.7109375" style="39"/>
  </cols>
  <sheetData>
    <row r="1" spans="1:8" ht="36" customHeight="1" x14ac:dyDescent="0.25">
      <c r="A1" s="38" t="s">
        <v>589</v>
      </c>
      <c r="B1" s="40" t="s">
        <v>607</v>
      </c>
    </row>
    <row r="2" spans="1:8" ht="33.75" customHeight="1" x14ac:dyDescent="0.25">
      <c r="A2" s="38" t="s">
        <v>589</v>
      </c>
      <c r="B2" s="41" t="s">
        <v>574</v>
      </c>
      <c r="C2" s="42" t="s">
        <v>680</v>
      </c>
      <c r="D2" s="43" t="s">
        <v>575</v>
      </c>
      <c r="E2" s="44" t="s">
        <v>584</v>
      </c>
      <c r="F2" s="73" t="s">
        <v>585</v>
      </c>
      <c r="G2" s="45" t="s">
        <v>588</v>
      </c>
    </row>
    <row r="3" spans="1:8" x14ac:dyDescent="0.25">
      <c r="B3" s="75" t="s">
        <v>750</v>
      </c>
      <c r="C3" s="76">
        <v>223</v>
      </c>
      <c r="D3" s="91">
        <v>43374</v>
      </c>
      <c r="E3" s="97">
        <v>0.375</v>
      </c>
      <c r="F3" s="98">
        <v>0.5</v>
      </c>
      <c r="G3" s="92">
        <v>100.11</v>
      </c>
    </row>
    <row r="4" spans="1:8" x14ac:dyDescent="0.25">
      <c r="B4" s="75"/>
      <c r="C4" s="76"/>
      <c r="D4" s="91"/>
      <c r="E4" s="97"/>
      <c r="F4" s="98"/>
      <c r="G4" s="92"/>
      <c r="H4" s="46"/>
    </row>
    <row r="5" spans="1:8" ht="39" customHeight="1" x14ac:dyDescent="0.25"/>
    <row r="6" spans="1:8" s="59" customFormat="1" ht="51" customHeight="1" x14ac:dyDescent="0.2">
      <c r="A6" s="38" t="s">
        <v>580</v>
      </c>
      <c r="B6" s="40"/>
      <c r="G6" s="60"/>
      <c r="H6" s="69">
        <f>IF(H8="",1,0)</f>
        <v>0</v>
      </c>
    </row>
    <row r="7" spans="1:8" ht="21" customHeight="1" x14ac:dyDescent="0.25">
      <c r="A7" s="38" t="s">
        <v>589</v>
      </c>
      <c r="B7" s="243"/>
      <c r="C7" s="61"/>
      <c r="D7" s="61"/>
      <c r="E7" s="61"/>
      <c r="F7" s="61"/>
      <c r="G7" s="62"/>
      <c r="H7" s="47" t="s">
        <v>575</v>
      </c>
    </row>
    <row r="8" spans="1:8" ht="15" customHeight="1" x14ac:dyDescent="0.25">
      <c r="A8" s="38" t="s">
        <v>589</v>
      </c>
      <c r="B8" s="244"/>
      <c r="C8" s="63"/>
      <c r="D8" s="63"/>
      <c r="E8" s="63"/>
      <c r="F8" s="63"/>
      <c r="G8" s="64"/>
      <c r="H8" s="145">
        <f t="array" ref="H8">IFERROR(INDEX($D$3:$D$5, MATCH(0,IF(ISBLANK($D$3:$D$5),1,COUNTIF($G$8:G8, $D$3:$D$5)), 0)),"")</f>
        <v>43374</v>
      </c>
    </row>
    <row r="9" spans="1:8" ht="27.75" customHeight="1" x14ac:dyDescent="0.25">
      <c r="A9" s="38" t="s">
        <v>589</v>
      </c>
      <c r="B9" s="245"/>
      <c r="C9" s="65"/>
      <c r="D9" s="65"/>
      <c r="E9" s="65"/>
      <c r="F9" s="65"/>
      <c r="G9" s="66"/>
      <c r="H9" s="74" t="s">
        <v>586</v>
      </c>
    </row>
    <row r="10" spans="1:8" ht="15" customHeight="1" x14ac:dyDescent="0.25">
      <c r="A10" s="38">
        <f>IF(B10="",1,0)</f>
        <v>0</v>
      </c>
      <c r="B10" s="48" t="str">
        <f t="array" ref="B10">IFERROR(INDEX($B$3:$B$5, MATCH(0,IF(ISBLANK($B$3:$B$5),1,COUNTIF($B$9:B9, $B$3:$B$5)), 0)),"")</f>
        <v>Goa</v>
      </c>
      <c r="C10" s="49"/>
      <c r="D10" s="49"/>
      <c r="E10" s="49"/>
      <c r="F10" s="49"/>
      <c r="G10" s="58"/>
      <c r="H10" s="93">
        <f t="array" ref="H10">IFERROR(AVERAGE(IF($B$3:$B$5=$B10,IF($D$3:$D$5=H$8,IF($G$3:$G$5&lt;&gt;"",$G$3:$G$5)))),"")</f>
        <v>100.11</v>
      </c>
    </row>
    <row r="11" spans="1:8" ht="9" customHeight="1" x14ac:dyDescent="0.25">
      <c r="H11" s="94"/>
    </row>
    <row r="12" spans="1:8" ht="9" customHeight="1" x14ac:dyDescent="0.25">
      <c r="A12" s="38" t="s">
        <v>545</v>
      </c>
      <c r="H12" s="94"/>
    </row>
    <row r="13" spans="1:8" ht="15" hidden="1" customHeight="1" x14ac:dyDescent="0.25">
      <c r="H13" s="96">
        <f>H8</f>
        <v>43374</v>
      </c>
    </row>
    <row r="14" spans="1:8" ht="20.25" customHeight="1" x14ac:dyDescent="0.25">
      <c r="B14" s="55" t="s">
        <v>587</v>
      </c>
      <c r="C14" s="56"/>
      <c r="D14" s="56"/>
      <c r="E14" s="56"/>
      <c r="F14" s="56"/>
      <c r="G14" s="57"/>
      <c r="H14" s="95">
        <f>IFERROR(MAX(H10:H12),0)</f>
        <v>100.11</v>
      </c>
    </row>
    <row r="15" spans="1:8" ht="24.75" customHeight="1" x14ac:dyDescent="0.25"/>
    <row r="16" spans="1:8" ht="28.5" hidden="1" customHeight="1" x14ac:dyDescent="0.25">
      <c r="A16" s="38">
        <v>10</v>
      </c>
      <c r="B16" s="50" t="s">
        <v>579</v>
      </c>
      <c r="C16" s="50"/>
      <c r="D16" s="50"/>
      <c r="E16" s="67"/>
      <c r="F16" s="67"/>
    </row>
    <row r="17" spans="1:6" ht="15" hidden="1" customHeight="1" x14ac:dyDescent="0.25">
      <c r="A17" s="37">
        <f>IFERROR(IF(D17="",1,0),1)</f>
        <v>0</v>
      </c>
      <c r="B17" s="52">
        <f>INDEX(DatesVOC,1,E17)</f>
        <v>43374</v>
      </c>
      <c r="C17" s="52">
        <f t="shared" ref="C17" si="0">B17</f>
        <v>43374</v>
      </c>
      <c r="D17" s="53">
        <f t="array" ref="D17">HLOOKUP(B17,ReadingTableVOC,2,FALSE)</f>
        <v>100.11</v>
      </c>
      <c r="E17" s="68">
        <f>IF(E16="",8,E16+1)</f>
        <v>8</v>
      </c>
      <c r="F17" s="68"/>
    </row>
    <row r="18" spans="1:6" hidden="1" x14ac:dyDescent="0.25"/>
    <row r="19" spans="1:6" hidden="1" x14ac:dyDescent="0.25">
      <c r="B19" s="51" t="s">
        <v>577</v>
      </c>
      <c r="C19" s="51"/>
    </row>
    <row r="20" spans="1:6" hidden="1" x14ac:dyDescent="0.25">
      <c r="B20" s="54">
        <f t="array" ref="B20">SUM(IF($D$3:$D$5&lt;&gt;"",1/COUNTIF($D$3:$D$5, $D$3:$D$5), 0))</f>
        <v>1</v>
      </c>
      <c r="C20" s="54">
        <f t="array" ref="C20">SUM(IF($B$3:$B$5&lt;&gt;"",1/COUNTIF($B$3:$B$5, $B$3:$B$5), 0))</f>
        <v>1</v>
      </c>
    </row>
    <row r="21" spans="1:6" hidden="1" x14ac:dyDescent="0.25"/>
  </sheetData>
  <sheetProtection algorithmName="SHA-512" hashValue="DIxI+apkjRtX/VNzfq2koHHLhnfKDFxbCa6iVnMsDyA61Qr0CmKNLhN0sZWSMRREcKZ/MLndy+51hQG4XkMM1w==" saltValue="YEQGeX8I1pALQiZmb1Pjhw==" spinCount="100000" sheet="1" objects="1" scenarios="1"/>
  <autoFilter ref="B2:G4" xr:uid="{00000000-0009-0000-0000-000008000000}"/>
  <mergeCells count="1">
    <mergeCell ref="B7:B9"/>
  </mergeCells>
  <dataValidations count="3">
    <dataValidation type="date" allowBlank="1" showInputMessage="1" showErrorMessage="1" error="Please enter a valid date in mm/dd/yyyy format." sqref="D3:D4" xr:uid="{00000000-0002-0000-0800-000000000000}">
      <formula1>1</formula1>
      <formula2>2958464</formula2>
    </dataValidation>
    <dataValidation type="time" allowBlank="1" showInputMessage="1" showErrorMessage="1" error=" Please enter a valid time  in hr:mm format." sqref="E3:E4" xr:uid="{00000000-0002-0000-0800-000001000000}">
      <formula1>0</formula1>
      <formula2>0.999988425925926</formula2>
    </dataValidation>
    <dataValidation type="time" allowBlank="1" showInputMessage="1" showErrorMessage="1" error="Please enter a valid time in hr:mm format." sqref="F3:F4" xr:uid="{00000000-0002-0000-0800-000002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refreshSummaryVOC">
                <anchor moveWithCells="1" sizeWithCells="1">
                  <from>
                    <xdr:col>1</xdr:col>
                    <xdr:colOff>847725</xdr:colOff>
                    <xdr:row>5</xdr:row>
                    <xdr:rowOff>190500</xdr:rowOff>
                  </from>
                  <to>
                    <xdr:col>2</xdr:col>
                    <xdr:colOff>885825</xdr:colOff>
                    <xdr:row>5</xdr:row>
                    <xdr:rowOff>504825</xdr:rowOff>
                  </to>
                </anchor>
              </controlPr>
            </control>
          </mc:Choice>
        </mc:AlternateContent>
        <mc:AlternateContent xmlns:mc="http://schemas.openxmlformats.org/markup-compatibility/2006">
          <mc:Choice Requires="x14">
            <control shapeId="21506" r:id="rId5" name="Button 2">
              <controlPr defaultSize="0" print="0" autoFill="0" autoPict="0" macro="[0]!AddRAW">
                <anchor moveWithCells="1">
                  <from>
                    <xdr:col>0</xdr:col>
                    <xdr:colOff>276225</xdr:colOff>
                    <xdr:row>4</xdr:row>
                    <xdr:rowOff>114300</xdr:rowOff>
                  </from>
                  <to>
                    <xdr:col>2</xdr:col>
                    <xdr:colOff>114300</xdr:colOff>
                    <xdr:row>4</xdr:row>
                    <xdr:rowOff>381000</xdr:rowOff>
                  </to>
                </anchor>
              </controlPr>
            </control>
          </mc:Choice>
        </mc:AlternateContent>
        <mc:AlternateContent xmlns:mc="http://schemas.openxmlformats.org/markup-compatibility/2006">
          <mc:Choice Requires="x14">
            <control shapeId="21507" r:id="rId6" name="Button 3">
              <controlPr defaultSize="0" print="0" autoFill="0" autoPict="0" macro="[0]!DeleteRowRAW">
                <anchor moveWithCells="1">
                  <from>
                    <xdr:col>2</xdr:col>
                    <xdr:colOff>209550</xdr:colOff>
                    <xdr:row>4</xdr:row>
                    <xdr:rowOff>133350</xdr:rowOff>
                  </from>
                  <to>
                    <xdr:col>3</xdr:col>
                    <xdr:colOff>600075</xdr:colOff>
                    <xdr:row>4</xdr:row>
                    <xdr:rowOff>400050</xdr:rowOff>
                  </to>
                </anchor>
              </controlPr>
            </control>
          </mc:Choice>
        </mc:AlternateContent>
        <mc:AlternateContent xmlns:mc="http://schemas.openxmlformats.org/markup-compatibility/2006">
          <mc:Choice Requires="x14">
            <control shapeId="21509" r:id="rId7" name="Button 5">
              <controlPr defaultSize="0" print="0" autoFill="0" autoPict="0" macro="[0]!Button5_Click">
                <anchor moveWithCells="1" sizeWithCells="1">
                  <from>
                    <xdr:col>3</xdr:col>
                    <xdr:colOff>695325</xdr:colOff>
                    <xdr:row>4</xdr:row>
                    <xdr:rowOff>133350</xdr:rowOff>
                  </from>
                  <to>
                    <xdr:col>4</xdr:col>
                    <xdr:colOff>885825</xdr:colOff>
                    <xdr:row>4</xdr:row>
                    <xdr:rowOff>419100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J14"/>
  <sheetViews>
    <sheetView zoomScaleNormal="100" workbookViewId="0">
      <pane xSplit="1" ySplit="6" topLeftCell="B7" activePane="bottomRight" state="frozen"/>
      <selection activeCell="D28" sqref="C28:D32"/>
      <selection pane="topRight" activeCell="D28" sqref="C28:D32"/>
      <selection pane="bottomLeft" activeCell="D28" sqref="C28:D32"/>
      <selection pane="bottomRight" activeCell="B27" sqref="B27"/>
    </sheetView>
  </sheetViews>
  <sheetFormatPr defaultColWidth="9.140625" defaultRowHeight="15" x14ac:dyDescent="0.25"/>
  <cols>
    <col min="1" max="1" width="2.42578125" style="6" customWidth="1"/>
    <col min="2" max="5" width="20.7109375" style="2" customWidth="1"/>
    <col min="6" max="6" width="3.7109375" style="2" customWidth="1"/>
    <col min="7" max="10" width="9.140625" style="2" hidden="1" customWidth="1"/>
    <col min="11" max="13" width="0" style="2" hidden="1" customWidth="1"/>
    <col min="14" max="16384" width="9.140625" style="2"/>
  </cols>
  <sheetData>
    <row r="1" spans="1:9" x14ac:dyDescent="0.25">
      <c r="A1" s="4" t="s">
        <v>589</v>
      </c>
      <c r="B1" s="1"/>
      <c r="C1" s="1"/>
      <c r="D1" s="1"/>
      <c r="E1" s="1"/>
      <c r="F1" s="1"/>
    </row>
    <row r="2" spans="1:9" x14ac:dyDescent="0.25">
      <c r="A2" s="4" t="s">
        <v>589</v>
      </c>
      <c r="B2" s="241" t="s">
        <v>563</v>
      </c>
      <c r="C2" s="246"/>
      <c r="D2" s="242"/>
      <c r="E2" s="33" t="s">
        <v>568</v>
      </c>
      <c r="F2" s="1"/>
    </row>
    <row r="3" spans="1:9" ht="15" customHeight="1" x14ac:dyDescent="0.25">
      <c r="A3" s="4" t="s">
        <v>589</v>
      </c>
      <c r="B3" s="239" t="s">
        <v>673</v>
      </c>
      <c r="C3" s="247"/>
      <c r="D3" s="240"/>
      <c r="E3" s="33" t="s">
        <v>555</v>
      </c>
      <c r="F3" s="1"/>
    </row>
    <row r="4" spans="1:9" ht="14.25" customHeight="1" x14ac:dyDescent="0.25">
      <c r="A4" s="4" t="s">
        <v>589</v>
      </c>
      <c r="B4" s="17" t="s">
        <v>564</v>
      </c>
      <c r="C4" s="18"/>
      <c r="D4" s="19"/>
      <c r="E4" s="20" t="s">
        <v>559</v>
      </c>
      <c r="F4" s="1"/>
    </row>
    <row r="5" spans="1:9" x14ac:dyDescent="0.25">
      <c r="A5" s="4" t="s">
        <v>589</v>
      </c>
      <c r="B5" s="1"/>
      <c r="C5" s="1"/>
      <c r="D5" s="1"/>
      <c r="E5" s="1"/>
      <c r="F5" s="1"/>
    </row>
    <row r="6" spans="1:9" ht="25.5" x14ac:dyDescent="0.25">
      <c r="A6" s="4">
        <v>10</v>
      </c>
      <c r="B6" s="3" t="s">
        <v>543</v>
      </c>
      <c r="C6" s="3" t="s">
        <v>544</v>
      </c>
      <c r="D6" s="3" t="str">
        <f>CONCATENATE("Total Waste 
","(",E4,")")</f>
        <v>Total Waste 
(lbs)</v>
      </c>
      <c r="E6" s="3" t="str">
        <f>CONCATENATE("Diverted 
","(",E4,")")</f>
        <v>Diverted 
(lbs)</v>
      </c>
      <c r="F6" s="1"/>
    </row>
    <row r="7" spans="1:9" x14ac:dyDescent="0.25">
      <c r="A7" s="4"/>
      <c r="B7" s="35">
        <v>43435</v>
      </c>
      <c r="C7" s="35">
        <v>43496</v>
      </c>
      <c r="D7" s="21">
        <v>111</v>
      </c>
      <c r="E7" s="21">
        <v>99</v>
      </c>
      <c r="F7" s="1"/>
    </row>
    <row r="8" spans="1:9" x14ac:dyDescent="0.25">
      <c r="A8" s="4"/>
      <c r="B8" s="23"/>
      <c r="C8" s="23"/>
      <c r="D8" s="26"/>
      <c r="E8" s="27"/>
      <c r="F8" s="1"/>
    </row>
    <row r="9" spans="1:9" hidden="1" x14ac:dyDescent="0.25">
      <c r="A9" s="5">
        <v>0</v>
      </c>
      <c r="B9" s="25"/>
      <c r="C9" s="25"/>
      <c r="D9" s="28"/>
      <c r="E9" s="29"/>
      <c r="F9" s="1"/>
    </row>
    <row r="10" spans="1:9" ht="25.5" customHeight="1" x14ac:dyDescent="0.25">
      <c r="A10" s="4" t="s">
        <v>545</v>
      </c>
      <c r="B10" s="24"/>
      <c r="C10" s="24"/>
      <c r="D10" s="24"/>
      <c r="E10" s="30"/>
      <c r="F10" s="1"/>
    </row>
    <row r="12" spans="1:9" x14ac:dyDescent="0.25">
      <c r="I12" s="2" t="s">
        <v>559</v>
      </c>
    </row>
    <row r="13" spans="1:9" x14ac:dyDescent="0.25">
      <c r="I13" s="2" t="s">
        <v>554</v>
      </c>
    </row>
    <row r="14" spans="1:9" x14ac:dyDescent="0.25">
      <c r="I14" s="2" t="s">
        <v>539</v>
      </c>
    </row>
  </sheetData>
  <sheetProtection algorithmName="SHA-512" hashValue="G5nsn2Ggt/lC0wpG4zfAKK4unZ/KbYz9gDVA5GbkmiKdYNYJSgyL1ZBsJSzOE2gmnGpuz2TjLcOSeMNuMVaDaQ==" saltValue="cn4rcLiJXVp1a3PpWsdBNA==" spinCount="100000" sheet="1" objects="1" scenarios="1"/>
  <mergeCells count="2">
    <mergeCell ref="B2:D2"/>
    <mergeCell ref="B3:D3"/>
  </mergeCells>
  <dataValidations count="4">
    <dataValidation type="list" allowBlank="1" showInputMessage="1" showErrorMessage="1" error="Units cannot edit." sqref="E4" xr:uid="{00000000-0002-0000-0900-000000000000}">
      <formula1>newWaUnit</formula1>
    </dataValidation>
    <dataValidation allowBlank="1" showInputMessage="1" showErrorMessage="1" error="Please enter a valid date in mm/dd/yyyy format." sqref="B8:D10" xr:uid="{00000000-0002-0000-0900-000001000000}"/>
    <dataValidation type="date" allowBlank="1" showInputMessage="1" showErrorMessage="1" error="Please enter a valid date in mm/dd/yyyy format." sqref="B7:C7" xr:uid="{00000000-0002-0000-0900-000002000000}">
      <formula1>1</formula1>
      <formula2>54789</formula2>
    </dataValidation>
    <dataValidation type="decimal" allowBlank="1" showInputMessage="1" showErrorMessage="1" error="Please enter a valid reading." sqref="D7:E7" xr:uid="{00000000-0002-0000-0900-000003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7_Click">
                <anchor moveWithCells="1">
                  <from>
                    <xdr:col>1</xdr:col>
                    <xdr:colOff>133350</xdr:colOff>
                    <xdr:row>8</xdr:row>
                    <xdr:rowOff>0</xdr:rowOff>
                  </from>
                  <to>
                    <xdr:col>2</xdr:col>
                    <xdr:colOff>9525</xdr:colOff>
                    <xdr:row>9</xdr:row>
                    <xdr:rowOff>266700</xdr:rowOff>
                  </to>
                </anchor>
              </controlPr>
            </control>
          </mc:Choice>
        </mc:AlternateContent>
        <mc:AlternateContent xmlns:mc="http://schemas.openxmlformats.org/markup-compatibility/2006">
          <mc:Choice Requires="x14">
            <control shapeId="12290" r:id="rId5" name="Button 2">
              <controlPr defaultSize="0" print="0" autoFill="0" autoPict="0" macro="[0]!Button13_Click">
                <anchor moveWithCells="1">
                  <from>
                    <xdr:col>2</xdr:col>
                    <xdr:colOff>133350</xdr:colOff>
                    <xdr:row>8</xdr:row>
                    <xdr:rowOff>0</xdr:rowOff>
                  </from>
                  <to>
                    <xdr:col>3</xdr:col>
                    <xdr:colOff>9525</xdr:colOff>
                    <xdr:row>9</xdr:row>
                    <xdr:rowOff>266700</xdr:rowOff>
                  </to>
                </anchor>
              </controlPr>
            </control>
          </mc:Choice>
        </mc:AlternateContent>
        <mc:AlternateContent xmlns:mc="http://schemas.openxmlformats.org/markup-compatibility/2006">
          <mc:Choice Requires="x14">
            <control shapeId="12292" r:id="rId6" name="Button 4">
              <controlPr defaultSize="0" print="0" autoFill="0" autoPict="0" macro="[0]!Button4_Click">
                <anchor moveWithCells="1" sizeWithCells="1">
                  <from>
                    <xdr:col>3</xdr:col>
                    <xdr:colOff>76200</xdr:colOff>
                    <xdr:row>9</xdr:row>
                    <xdr:rowOff>9525</xdr:rowOff>
                  </from>
                  <to>
                    <xdr:col>3</xdr:col>
                    <xdr:colOff>1200150</xdr:colOff>
                    <xdr:row>9</xdr:row>
                    <xdr:rowOff>266700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7EC4C-73CD-4A46-A338-226C825AAB94}">
  <sheetPr codeName="Sheet1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B7" sqref="B7"/>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AnalyticsEnergy Meter via up...</v>
      </c>
      <c r="C1" s="1"/>
      <c r="D1" s="4" t="str">
        <f ca="1">B1</f>
        <v>AnalyticsEnergy Meter via up...</v>
      </c>
      <c r="E1" s="1"/>
    </row>
    <row r="2" spans="1:10" x14ac:dyDescent="0.25">
      <c r="A2" s="4" t="s">
        <v>589</v>
      </c>
      <c r="B2" s="212" t="s">
        <v>563</v>
      </c>
      <c r="C2" s="152"/>
      <c r="D2" s="148" t="s">
        <v>753</v>
      </c>
      <c r="E2" s="1"/>
    </row>
    <row r="3" spans="1:10" x14ac:dyDescent="0.25">
      <c r="A3" s="4" t="s">
        <v>589</v>
      </c>
      <c r="B3" s="211" t="s">
        <v>673</v>
      </c>
      <c r="C3" s="9"/>
      <c r="D3" s="148" t="s">
        <v>667</v>
      </c>
      <c r="E3" s="1"/>
    </row>
    <row r="4" spans="1:10" x14ac:dyDescent="0.25">
      <c r="A4" s="4" t="s">
        <v>589</v>
      </c>
      <c r="B4" s="211" t="s">
        <v>564</v>
      </c>
      <c r="C4" s="9"/>
      <c r="D4" s="148" t="s">
        <v>525</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(kBtu)</v>
      </c>
      <c r="E6" s="1"/>
    </row>
    <row r="7" spans="1:10" x14ac:dyDescent="0.25">
      <c r="A7" s="5"/>
      <c r="B7" s="35">
        <v>43435</v>
      </c>
      <c r="C7" s="35">
        <v>43496</v>
      </c>
      <c r="D7" s="22">
        <v>2000</v>
      </c>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sheetProtection algorithmName="SHA-512" hashValue="Ga5D+hUIFIcztvPnC6hkZGrITinNwuzlykpLHXKjU+znI+7V+UXk92Wcyo0w42nHnR1DKuEo6ja0zsj0OR2ivg==" saltValue="Re26LyacegrblJunvX48sQ==" spinCount="100000" sheet="1" objects="1" scenarios="1"/>
  <dataValidations count="6">
    <dataValidation type="textLength" allowBlank="1" showInputMessage="1" showErrorMessage="1" errorTitle="Data Source" error="It can only accept 40 characters." sqref="D5" xr:uid="{DFC976F5-E2E0-4CA8-A238-529079BFCA31}">
      <formula1>0</formula1>
      <formula2>40</formula2>
    </dataValidation>
    <dataValidation type="decimal" allowBlank="1" showInputMessage="1" showErrorMessage="1" error="Please enter a valid reading." sqref="D7" xr:uid="{8FE32AF3-3EFD-4392-81D7-1DE313165251}">
      <formula1>0</formula1>
      <formula2>9999999999</formula2>
    </dataValidation>
    <dataValidation type="date" allowBlank="1" showInputMessage="1" showErrorMessage="1" error="Please enter a valid date in mm/dd/yyyy format." sqref="B7:C7" xr:uid="{741C1F85-92F8-456A-9827-F98C08C1D3C2}">
      <formula1>1</formula1>
      <formula2>73415</formula2>
    </dataValidation>
    <dataValidation allowBlank="1" showInputMessage="1" showErrorMessage="1" error="Please enter a valid date in mm/dd/yyyy format." sqref="B8:D10" xr:uid="{F42CCD0A-1858-4DB4-BA81-A9DA54407893}"/>
    <dataValidation type="list" allowBlank="1" showInputMessage="1" showErrorMessage="1" sqref="D3" xr:uid="{73DF8CB6-39CE-49F2-B86D-257A68ADC73A}">
      <formula1>ElectricityDrp</formula1>
    </dataValidation>
    <dataValidation type="list" allowBlank="1" showInputMessage="1" showErrorMessage="1" error="Units cannot edit." sqref="D4" xr:uid="{39C2BF46-D0EB-403A-BA3B-3351EF6767E3}">
      <formula1>elecName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9393" r:id="rId3" name="Button 1">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59394" r:id="rId4" name="Button 2">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59395" r:id="rId5" name="Button 3">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59396" r:id="rId6" name="Button 4">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C3BA3-1C8C-4483-AB62-BD95737001F3}">
  <sheetPr codeName="Sheet2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5" sqref="D15:D16"/>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4" t="s">
        <v>589</v>
      </c>
      <c r="B1" s="4" t="str">
        <f ca="1">MID(CELL("filename",A1),FIND("]",CELL("filename",A1))+1,256)</f>
        <v>AnalyticsWater meter via upload</v>
      </c>
      <c r="C1" s="1"/>
      <c r="D1" s="155" t="str">
        <f ca="1">B1</f>
        <v>AnalyticsWater meter via upload</v>
      </c>
      <c r="E1" s="1"/>
    </row>
    <row r="2" spans="1:9" x14ac:dyDescent="0.25">
      <c r="A2" s="4" t="s">
        <v>589</v>
      </c>
      <c r="B2" s="212" t="s">
        <v>563</v>
      </c>
      <c r="C2" s="152"/>
      <c r="D2" s="148" t="s">
        <v>754</v>
      </c>
      <c r="E2" s="1"/>
    </row>
    <row r="3" spans="1:9" x14ac:dyDescent="0.25">
      <c r="A3" s="4" t="s">
        <v>589</v>
      </c>
      <c r="B3" s="211" t="s">
        <v>673</v>
      </c>
      <c r="C3" s="9"/>
      <c r="D3" s="148" t="s">
        <v>668</v>
      </c>
      <c r="E3" s="1"/>
    </row>
    <row r="4" spans="1:9" x14ac:dyDescent="0.25">
      <c r="A4" s="4" t="s">
        <v>589</v>
      </c>
      <c r="B4" s="211" t="s">
        <v>564</v>
      </c>
      <c r="C4" s="9"/>
      <c r="D4" s="148" t="s">
        <v>524</v>
      </c>
      <c r="E4" s="1"/>
    </row>
    <row r="5" spans="1:9" ht="15" customHeight="1" x14ac:dyDescent="0.25">
      <c r="A5" s="4" t="s">
        <v>589</v>
      </c>
      <c r="B5" s="17" t="s">
        <v>674</v>
      </c>
      <c r="C5" s="154"/>
      <c r="D5" s="148"/>
      <c r="E5" s="1"/>
    </row>
    <row r="6" spans="1:9" ht="24.75" customHeight="1" x14ac:dyDescent="0.25">
      <c r="A6" s="4">
        <v>10</v>
      </c>
      <c r="B6" s="151" t="s">
        <v>543</v>
      </c>
      <c r="C6" s="151" t="s">
        <v>544</v>
      </c>
      <c r="D6" s="3" t="str">
        <f>CONCATENATE("Period Consumption 
","(",D4,")")</f>
        <v>Period Consumption 
(gal)</v>
      </c>
      <c r="E6" s="1"/>
    </row>
    <row r="7" spans="1:9" x14ac:dyDescent="0.25">
      <c r="A7" s="4"/>
      <c r="B7" s="35">
        <v>43435</v>
      </c>
      <c r="C7" s="35">
        <v>43496</v>
      </c>
      <c r="D7" s="21">
        <v>5.46</v>
      </c>
      <c r="E7" s="1"/>
    </row>
    <row r="8" spans="1:9" x14ac:dyDescent="0.25">
      <c r="A8" s="4"/>
      <c r="B8" s="23"/>
      <c r="C8" s="23"/>
      <c r="D8" s="26"/>
      <c r="E8" s="1"/>
    </row>
    <row r="9" spans="1:9" ht="6" customHeight="1" x14ac:dyDescent="0.25">
      <c r="A9" s="4"/>
      <c r="B9" s="23"/>
      <c r="C9" s="23"/>
      <c r="D9" s="26"/>
      <c r="E9" s="1"/>
      <c r="I9" t="s">
        <v>668</v>
      </c>
    </row>
    <row r="10" spans="1:9" ht="25.5" customHeight="1" x14ac:dyDescent="0.25">
      <c r="A10" s="4" t="s">
        <v>545</v>
      </c>
      <c r="B10" s="24"/>
      <c r="C10" s="24"/>
      <c r="D10" s="24"/>
      <c r="E10" s="1"/>
      <c r="I10" t="s">
        <v>669</v>
      </c>
    </row>
    <row r="11" spans="1:9" x14ac:dyDescent="0.25">
      <c r="I11" t="s">
        <v>670</v>
      </c>
    </row>
    <row r="15" spans="1:9" x14ac:dyDescent="0.25">
      <c r="H15" t="s">
        <v>524</v>
      </c>
    </row>
    <row r="16" spans="1:9" x14ac:dyDescent="0.25">
      <c r="H16" t="s">
        <v>527</v>
      </c>
    </row>
    <row r="17" spans="8:8" x14ac:dyDescent="0.25">
      <c r="H17" t="s">
        <v>546</v>
      </c>
    </row>
    <row r="18" spans="8:8" x14ac:dyDescent="0.25">
      <c r="H18" t="s">
        <v>547</v>
      </c>
    </row>
    <row r="19" spans="8:8" x14ac:dyDescent="0.25">
      <c r="H19" t="s">
        <v>521</v>
      </c>
    </row>
    <row r="20" spans="8:8" x14ac:dyDescent="0.25">
      <c r="H20" t="s">
        <v>526</v>
      </c>
    </row>
    <row r="21" spans="8:8" x14ac:dyDescent="0.25">
      <c r="H21" t="s">
        <v>541</v>
      </c>
    </row>
    <row r="22" spans="8:8" x14ac:dyDescent="0.25">
      <c r="H22" t="s">
        <v>560</v>
      </c>
    </row>
    <row r="23" spans="8:8" x14ac:dyDescent="0.25">
      <c r="H23" t="s">
        <v>523</v>
      </c>
    </row>
    <row r="24" spans="8:8" x14ac:dyDescent="0.25">
      <c r="H24" s="2" t="s">
        <v>542</v>
      </c>
    </row>
    <row r="25" spans="8:8" x14ac:dyDescent="0.25">
      <c r="H25" s="2" t="s">
        <v>561</v>
      </c>
    </row>
    <row r="26" spans="8:8" x14ac:dyDescent="0.25">
      <c r="H26" s="2" t="s">
        <v>562</v>
      </c>
    </row>
    <row r="27" spans="8:8" x14ac:dyDescent="0.25">
      <c r="H27" t="s">
        <v>671</v>
      </c>
    </row>
    <row r="28" spans="8:8" x14ac:dyDescent="0.25">
      <c r="H28" t="s">
        <v>672</v>
      </c>
    </row>
    <row r="29" spans="8:8" x14ac:dyDescent="0.25">
      <c r="H29" t="s">
        <v>666</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ZaYsFl26iD7Vwi+NUwlDHT8swFsvdi+JN0bYQwR7ZF0x56aleZdHsgxKlnpL9MD946Up6tTDvkfU2NfHURGHdA==" saltValue="e3dGuBfpKAJFj8UfL8fExg==" spinCount="100000" sheet="1" objects="1" scenarios="1"/>
  <dataValidations count="6">
    <dataValidation type="textLength" allowBlank="1" showInputMessage="1" showErrorMessage="1" errorTitle="Data Source" error="It can only accept 40 characters." sqref="D5" xr:uid="{613BF8EF-A841-4E13-805B-8CA4EA99F39C}">
      <formula1>0</formula1>
      <formula2>40</formula2>
    </dataValidation>
    <dataValidation type="decimal" allowBlank="1" showInputMessage="1" showErrorMessage="1" error="Please enter a valid reading." sqref="D7" xr:uid="{F6308C20-EEC8-42CA-82FA-B08DDC758286}">
      <formula1>0</formula1>
      <formula2>9999999999</formula2>
    </dataValidation>
    <dataValidation type="date" allowBlank="1" showInputMessage="1" showErrorMessage="1" error="Please enter a valid date in mm/dd/yyyy format." sqref="B7:C7" xr:uid="{BD34E46E-B0F7-4040-9B88-0DA07D8FCFFA}">
      <formula1>1</formula1>
      <formula2>73415</formula2>
    </dataValidation>
    <dataValidation allowBlank="1" showInputMessage="1" showErrorMessage="1" error="Please enter a valid date in mm/dd/yyyy format." sqref="B8:D10" xr:uid="{16AADEDB-5F60-40DE-A0A7-B8CA86BB9BAF}"/>
    <dataValidation type="list" allowBlank="1" showInputMessage="1" showErrorMessage="1" sqref="D3" xr:uid="{730E7A00-3B72-4554-BB80-77569E3F563D}">
      <formula1>WaterDrp</formula1>
    </dataValidation>
    <dataValidation type="list" allowBlank="1" showInputMessage="1" showErrorMessage="1" error="Units cannot edit." sqref="D4" xr:uid="{E459E8E2-4646-4346-9D34-125AD0BABC84}">
      <formula1>watUni</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60418" r:id="rId5" name="Button 2">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60419" r:id="rId6" name="Button 3">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E3017-079B-4C3B-A61F-EE92A23A44EE}">
  <sheetPr codeName="Sheet1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26.28515625" style="2" hidden="1" customWidth="1"/>
    <col min="7" max="7" width="43.140625" style="2" hidden="1" customWidth="1"/>
    <col min="8" max="8" width="46.140625" style="2" hidden="1" customWidth="1"/>
    <col min="9" max="9" width="40.5703125" style="2" hidden="1" customWidth="1"/>
    <col min="10" max="10" width="31.28515625" style="2" hidden="1" customWidth="1"/>
    <col min="11" max="11" width="27.85546875" style="2" hidden="1" customWidth="1"/>
    <col min="12" max="12" width="26.140625" style="2" hidden="1" customWidth="1"/>
    <col min="13" max="13" width="31.140625" style="2" hidden="1" customWidth="1"/>
    <col min="14" max="14" width="29.85546875" style="2" hidden="1" customWidth="1"/>
    <col min="15" max="15" width="29" style="2" hidden="1" customWidth="1"/>
    <col min="16" max="16" width="32.28515625" style="2" hidden="1" customWidth="1"/>
    <col min="17" max="17" width="22.7109375" style="2" hidden="1" customWidth="1"/>
    <col min="18" max="18" width="17.5703125" style="2" hidden="1" customWidth="1"/>
    <col min="19" max="19" width="20.140625" style="2" hidden="1" customWidth="1"/>
    <col min="20" max="20" width="15" style="2" hidden="1" customWidth="1"/>
    <col min="21" max="22" width="20.5703125" style="2" hidden="1" customWidth="1"/>
    <col min="23" max="32" width="19.5703125" style="2" customWidth="1"/>
    <col min="33" max="16384" width="9.140625" style="2"/>
  </cols>
  <sheetData>
    <row r="1" spans="1:24" ht="15" customHeight="1" x14ac:dyDescent="0.25">
      <c r="A1" s="4" t="s">
        <v>589</v>
      </c>
      <c r="B1" s="4" t="str">
        <f ca="1">MID(CELL("filename",A1),FIND("]",CELL("filename",A1))+1,256)</f>
        <v>Carbon Monoxide</v>
      </c>
      <c r="C1" s="1"/>
      <c r="D1" s="4" t="str">
        <f ca="1">B1</f>
        <v>Carbon Monoxide</v>
      </c>
      <c r="E1" s="1"/>
    </row>
    <row r="2" spans="1:24" ht="15" customHeight="1" x14ac:dyDescent="0.25">
      <c r="A2" s="4" t="s">
        <v>589</v>
      </c>
      <c r="B2" s="147" t="s">
        <v>563</v>
      </c>
      <c r="C2" s="152"/>
      <c r="D2" s="159" t="s">
        <v>681</v>
      </c>
      <c r="E2" s="1"/>
    </row>
    <row r="3" spans="1:24" ht="15.75" customHeight="1" x14ac:dyDescent="0.25">
      <c r="A3" s="4" t="s">
        <v>589</v>
      </c>
      <c r="B3" s="146" t="s">
        <v>564</v>
      </c>
      <c r="C3" s="9"/>
      <c r="D3" s="150" t="s">
        <v>573</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682</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LV/AP4jgWVIYbO9BY6+/Ah8AaZWtvdfTXC3PkLnUp8oyNoqKt0FF8aiEb45NeJV1KcO4ii9CExLOhTzQQJhS+A==" saltValue="vN+W5NHRJoWzNg4231Og9Q==" spinCount="100000" sheet="1" objects="1" scenarios="1"/>
  <dataValidations count="6">
    <dataValidation type="list" allowBlank="1" showInputMessage="1" showErrorMessage="1" sqref="G15:X15" xr:uid="{78BB7D64-E419-4824-95A3-56984FF2C880}">
      <formula1>$G$15:$X$15</formula1>
    </dataValidation>
    <dataValidation allowBlank="1" showInputMessage="1" showErrorMessage="1" error="Please enter a valid date in mm/dd/yyyy format." sqref="B8:D10" xr:uid="{34E571DF-600C-47C7-8D7E-80D65381A57F}"/>
    <dataValidation type="decimal" allowBlank="1" showInputMessage="1" showErrorMessage="1" error="Please enter a valid reading." sqref="D7" xr:uid="{23BD981F-F28E-4976-9E90-21491D7CB595}">
      <formula1>0</formula1>
      <formula2>9999999999</formula2>
    </dataValidation>
    <dataValidation type="date" allowBlank="1" showInputMessage="1" showErrorMessage="1" error="Please enter a valid date in mm/dd/yyyy format." sqref="B7:C7" xr:uid="{9684AFDC-2AC2-4850-B9EA-18729C58B896}">
      <formula1>1</formula1>
      <formula2>73051</formula2>
    </dataValidation>
    <dataValidation type="textLength" allowBlank="1" showInputMessage="1" showErrorMessage="1" errorTitle="Data Source" error="It can only accept 40 characters." sqref="D5" xr:uid="{4BBE2021-787F-4E52-A403-700CD3135958}">
      <formula1>0</formula1>
      <formula2>40</formula2>
    </dataValidation>
    <dataValidation type="list" showInputMessage="1" showErrorMessage="1" error="Units cannot edit." sqref="D3:D4" xr:uid="{A0364499-AEE3-4525-956D-035DE9E60EFD}">
      <formula1>$H$7:$H$8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29698" r:id="rId5"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29700" r:id="rId6" name="Button 4">
              <controlPr defaultSize="0" print="0" autoFill="0" autoPict="0" macro="[0]!CarbonMonoxide_Button4_Click">
                <anchor moveWithCells="1" sizeWithCells="1">
                  <from>
                    <xdr:col>2</xdr:col>
                    <xdr:colOff>1362075</xdr:colOff>
                    <xdr:row>9</xdr:row>
                    <xdr:rowOff>38100</xdr:rowOff>
                  </from>
                  <to>
                    <xdr:col>3</xdr:col>
                    <xdr:colOff>1133475</xdr:colOff>
                    <xdr:row>9</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F174-C190-4D95-A5B4-FE6E6214FBCA}">
  <sheetPr codeName="Sheet14"/>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1.7109375" style="2" hidden="1" customWidth="1"/>
    <col min="9" max="9" width="7.5703125" style="2" hidden="1" customWidth="1"/>
    <col min="10" max="10" width="11" style="2" hidden="1" customWidth="1"/>
    <col min="11" max="11" width="10" style="2" hidden="1" customWidth="1"/>
    <col min="12" max="12" width="12.28515625" style="2" hidden="1" customWidth="1"/>
    <col min="13" max="13" width="5.140625" style="2" hidden="1" customWidth="1"/>
    <col min="14" max="14" width="12.5703125" style="2" hidden="1" customWidth="1"/>
    <col min="15" max="15" width="9.42578125" style="2" hidden="1" customWidth="1"/>
    <col min="16" max="16" width="10" style="2" hidden="1" customWidth="1"/>
    <col min="17" max="17" width="10.5703125" style="2" hidden="1" customWidth="1"/>
    <col min="18" max="18" width="9.42578125" style="2" hidden="1" customWidth="1"/>
    <col min="19" max="19" width="6" style="2" hidden="1" customWidth="1"/>
    <col min="20" max="20" width="12.7109375" style="2" hidden="1" customWidth="1"/>
    <col min="21" max="21" width="22.85546875" style="2" hidden="1" customWidth="1"/>
    <col min="22" max="22" width="25.140625" style="2" hidden="1" customWidth="1"/>
    <col min="23" max="32" width="19.5703125" style="2" customWidth="1"/>
    <col min="33" max="16384" width="9.140625" style="2"/>
  </cols>
  <sheetData>
    <row r="1" spans="1:24" ht="15" customHeight="1" x14ac:dyDescent="0.25">
      <c r="A1" s="4" t="s">
        <v>589</v>
      </c>
      <c r="B1" s="4" t="str">
        <f ca="1">MID(CELL("filename",A1),FIND("]",CELL("filename",A1))+1,256)</f>
        <v>Ozone</v>
      </c>
      <c r="C1" s="1"/>
      <c r="D1" s="4" t="str">
        <f ca="1">B1</f>
        <v>Ozone</v>
      </c>
      <c r="E1" s="1"/>
    </row>
    <row r="2" spans="1:24" ht="15" customHeight="1" x14ac:dyDescent="0.25">
      <c r="A2" s="4" t="s">
        <v>589</v>
      </c>
      <c r="B2" s="147" t="s">
        <v>563</v>
      </c>
      <c r="C2" s="152"/>
      <c r="D2" s="159" t="s">
        <v>683</v>
      </c>
      <c r="E2" s="1"/>
    </row>
    <row r="3" spans="1:24" ht="15.75" customHeight="1" x14ac:dyDescent="0.25">
      <c r="A3" s="4" t="s">
        <v>589</v>
      </c>
      <c r="B3" s="146" t="s">
        <v>564</v>
      </c>
      <c r="C3" s="9"/>
      <c r="D3" s="150" t="s">
        <v>573</v>
      </c>
      <c r="E3" s="1"/>
    </row>
    <row r="4" spans="1:24" ht="12"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2FfFtt5/++INn3TDRlq6FHVhNZhFjkhjeLvZ8ddpKQFma57z93JxDBjPUkZi2CdliThLbzIT4xmIF86FKug74g==" saltValue="Jz+/6tDsUmI+8Z2ZRkNn6A==" spinCount="100000" sheet="1" objects="1" scenarios="1"/>
  <dataValidations count="7">
    <dataValidation type="list" allowBlank="1" showInputMessage="1" showErrorMessage="1" sqref="G15:X15" xr:uid="{5A5D433D-2B68-4BDF-92E3-8183B3DFA8D6}">
      <formula1>$G$15:$X$15</formula1>
    </dataValidation>
    <dataValidation showInputMessage="1" showErrorMessage="1" error="Units cannot edit." sqref="D4" xr:uid="{D72855A0-8F7C-425C-B769-96CCD7E8BD93}"/>
    <dataValidation allowBlank="1" showInputMessage="1" showErrorMessage="1" error="Please enter a valid date in mm/dd/yyyy format." sqref="B8:D10" xr:uid="{55327D24-5939-4810-9950-3648BFA1AA46}"/>
    <dataValidation type="decimal" allowBlank="1" showInputMessage="1" showErrorMessage="1" error="Please enter a valid reading." sqref="D7" xr:uid="{BE1DC38E-BC07-47F0-90CA-5C6337E42CD8}">
      <formula1>0</formula1>
      <formula2>9999999999</formula2>
    </dataValidation>
    <dataValidation type="date" allowBlank="1" showInputMessage="1" showErrorMessage="1" error="Please enter a valid date in mm/dd/yyyy format." sqref="B7:C7" xr:uid="{C35A097D-BAE9-47CB-A5E2-FA6F1A76B475}">
      <formula1>1</formula1>
      <formula2>73051</formula2>
    </dataValidation>
    <dataValidation type="textLength" allowBlank="1" showInputMessage="1" showErrorMessage="1" errorTitle="Data Source" error="It can only accept 40 characters." sqref="D5" xr:uid="{2D7ADD04-53EF-4365-9250-4E1B69E13AA8}">
      <formula1>0</formula1>
      <formula2>40</formula2>
    </dataValidation>
    <dataValidation type="list" showInputMessage="1" showErrorMessage="1" error="Units cannot edit." sqref="D3" xr:uid="{CC7B21AF-F5F5-4B04-A008-E4072C1A9E8B}">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072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0725" r:id="rId5" name="Button 5">
              <controlPr defaultSize="0" print="0" autoFill="0" autoPict="0" macro="[0]!Ozone_Button5_Click">
                <anchor moveWithCells="1" sizeWithCells="1">
                  <from>
                    <xdr:col>2</xdr:col>
                    <xdr:colOff>1362075</xdr:colOff>
                    <xdr:row>9</xdr:row>
                    <xdr:rowOff>0</xdr:rowOff>
                  </from>
                  <to>
                    <xdr:col>3</xdr:col>
                    <xdr:colOff>1247775</xdr:colOff>
                    <xdr:row>9</xdr:row>
                    <xdr:rowOff>266700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EF2B0-3896-46D8-BFDD-F7AF72211069}">
  <sheetPr codeName="Sheet15"/>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4.140625" style="2" hidden="1" customWidth="1"/>
    <col min="9" max="9" width="12.42578125" style="2" hidden="1" customWidth="1"/>
    <col min="10" max="11" width="12.28515625" style="2" hidden="1" customWidth="1"/>
    <col min="12" max="12" width="11.85546875" style="2" hidden="1" customWidth="1"/>
    <col min="13" max="13" width="16" style="2" hidden="1" customWidth="1"/>
    <col min="14" max="14" width="14.140625" style="2" hidden="1" customWidth="1"/>
    <col min="15" max="15" width="11.42578125" style="2" hidden="1" customWidth="1"/>
    <col min="16" max="16" width="10.28515625" style="2" hidden="1" customWidth="1"/>
    <col min="17" max="17" width="11.85546875" style="2" hidden="1" customWidth="1"/>
    <col min="18" max="18" width="11.140625" style="2" hidden="1" customWidth="1"/>
    <col min="19" max="19" width="13.5703125" style="2" hidden="1" customWidth="1"/>
    <col min="20" max="20" width="12" style="2" hidden="1" customWidth="1"/>
    <col min="21" max="21" width="18.42578125" style="2" hidden="1" customWidth="1"/>
    <col min="22" max="22" width="16.7109375" style="2" hidden="1" customWidth="1"/>
    <col min="23" max="32" width="19.5703125" style="2" customWidth="1"/>
    <col min="33" max="16384" width="9.140625" style="2"/>
  </cols>
  <sheetData>
    <row r="1" spans="1:24" ht="15" customHeight="1" x14ac:dyDescent="0.25">
      <c r="A1" s="4" t="s">
        <v>589</v>
      </c>
      <c r="B1" s="4" t="str">
        <f ca="1">MID(CELL("filename",A1),FIND("]",CELL("filename",A1))+1,256)</f>
        <v>Atmospheric Particulate Matter</v>
      </c>
      <c r="C1" s="1"/>
      <c r="D1" s="4" t="str">
        <f ca="1">B1</f>
        <v>Atmospheric Particulate Matter</v>
      </c>
      <c r="E1" s="1"/>
    </row>
    <row r="2" spans="1:24" ht="15" customHeight="1" x14ac:dyDescent="0.25">
      <c r="A2" s="4" t="s">
        <v>589</v>
      </c>
      <c r="B2" s="147" t="s">
        <v>563</v>
      </c>
      <c r="C2" s="152"/>
      <c r="D2" s="159" t="s">
        <v>685</v>
      </c>
      <c r="E2" s="1"/>
    </row>
    <row r="3" spans="1:24" ht="15.75" customHeight="1" x14ac:dyDescent="0.25">
      <c r="A3" s="4" t="s">
        <v>589</v>
      </c>
      <c r="B3" s="146" t="s">
        <v>564</v>
      </c>
      <c r="C3" s="9"/>
      <c r="D3" s="150" t="s">
        <v>573</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e5dOUsj81qIzkKGPKWUE/wk0cpefsxMYUbvdhNrRUiy8BrWOtPIY1ZwfCHbO3Ex2ymI4v81qoMMxEf7lcCMoww==" saltValue="10QueLDgYxtKFApc/vh6Jw==" spinCount="100000" sheet="1" objects="1" scenarios="1"/>
  <dataValidations count="7">
    <dataValidation type="list" allowBlank="1" showInputMessage="1" showErrorMessage="1" sqref="G15:X15" xr:uid="{B2AFD790-B07F-452E-9FD2-12805DC46AC3}">
      <formula1>$G$15:$X$15</formula1>
    </dataValidation>
    <dataValidation showInputMessage="1" showErrorMessage="1" error="Units cannot edit." sqref="D4" xr:uid="{B64F65FF-E22A-4F31-849A-216DE958D47B}"/>
    <dataValidation allowBlank="1" showInputMessage="1" showErrorMessage="1" error="Please enter a valid date in mm/dd/yyyy format." sqref="B8:D10" xr:uid="{DA37F960-77C3-4A0A-A32B-B196596BF6BB}"/>
    <dataValidation type="decimal" allowBlank="1" showInputMessage="1" showErrorMessage="1" error="Please enter a valid reading." sqref="D7" xr:uid="{97E6C46C-3ECC-4048-80E6-DD1F2DB2354A}">
      <formula1>0</formula1>
      <formula2>9999999999</formula2>
    </dataValidation>
    <dataValidation type="date" allowBlank="1" showInputMessage="1" showErrorMessage="1" error="Please enter a valid date in mm/dd/yyyy format." sqref="B7:C7" xr:uid="{A1BBEBB6-96DA-4806-AAAB-77269CF790EF}">
      <formula1>1</formula1>
      <formula2>73051</formula2>
    </dataValidation>
    <dataValidation type="textLength" allowBlank="1" showInputMessage="1" showErrorMessage="1" errorTitle="Data Source" error="It can only accept 40 characters." sqref="D5" xr:uid="{2B1B0ED5-9C98-4898-BD6B-E2629DA73384}">
      <formula1>0</formula1>
      <formula2>40</formula2>
    </dataValidation>
    <dataValidation type="list" showInputMessage="1" showErrorMessage="1" error="Units cannot edit." sqref="D3" xr:uid="{4C151C77-D5D7-4C0E-B780-E25E37EDCE23}">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174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1748" r:id="rId5" name="Button 4">
              <controlPr defaultSize="0" print="0" autoFill="0" autoPict="0" macro="[0]!AtmosphericParticulateMatter_Button4_Click">
                <anchor moveWithCells="1" sizeWithCells="1">
                  <from>
                    <xdr:col>2</xdr:col>
                    <xdr:colOff>1362075</xdr:colOff>
                    <xdr:row>9</xdr:row>
                    <xdr:rowOff>38100</xdr:rowOff>
                  </from>
                  <to>
                    <xdr:col>3</xdr:col>
                    <xdr:colOff>1019175</xdr:colOff>
                    <xdr:row>9</xdr:row>
                    <xdr:rowOff>276225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9C07A-6DA1-4899-91F1-5599C0E64AD4}">
  <sheetPr codeName="Sheet16"/>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Acetaldehyde</v>
      </c>
      <c r="C1" s="1"/>
      <c r="D1" s="4" t="str">
        <f ca="1">B1</f>
        <v>Acetaldehyde</v>
      </c>
      <c r="E1" s="1"/>
    </row>
    <row r="2" spans="1:24" ht="15" customHeight="1" x14ac:dyDescent="0.25">
      <c r="A2" s="4" t="s">
        <v>589</v>
      </c>
      <c r="B2" s="147" t="s">
        <v>563</v>
      </c>
      <c r="C2" s="152"/>
      <c r="D2" s="159" t="s">
        <v>686</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138vaUTKs16TCsk7OituzupRbT6iL/2/+phO9UXQQVxAicmxUv0Sz5pg/wZjDQ6Ci8MfjqEmxdSul/TJfUUofw==" saltValue="/k0IPVhegRlDPVxeUBzw6g==" spinCount="100000" sheet="1" objects="1" scenarios="1"/>
  <dataValidations count="6">
    <dataValidation type="list" allowBlank="1" showInputMessage="1" showErrorMessage="1" sqref="G15:X15" xr:uid="{4953DB5C-F8CB-452E-9E57-1CFEDC9862E2}">
      <formula1>$G$15:$X$15</formula1>
    </dataValidation>
    <dataValidation showInputMessage="1" showErrorMessage="1" error="Units cannot edit." sqref="D3:D4" xr:uid="{56948F6C-4910-40A6-AA29-57D80B121BB4}"/>
    <dataValidation allowBlank="1" showInputMessage="1" showErrorMessage="1" error="Please enter a valid date in mm/dd/yyyy format." sqref="B8:D10" xr:uid="{1A7C6962-CE2B-4B0F-90E0-3893C5780AEE}"/>
    <dataValidation type="decimal" allowBlank="1" showInputMessage="1" showErrorMessage="1" error="Please enter a valid reading." sqref="D7" xr:uid="{FEA6F122-5BEC-4617-AFFC-3DEBFF34CDA0}">
      <formula1>0</formula1>
      <formula2>9999999999</formula2>
    </dataValidation>
    <dataValidation type="date" allowBlank="1" showInputMessage="1" showErrorMessage="1" error="Please enter a valid date in mm/dd/yyyy format." sqref="B7:C7" xr:uid="{8452ACAD-B7FB-4AAF-BD2C-0B05FBF5E350}">
      <formula1>1</formula1>
      <formula2>73051</formula2>
    </dataValidation>
    <dataValidation type="textLength" allowBlank="1" showInputMessage="1" showErrorMessage="1" errorTitle="Data Source" error="It can only accept 40 characters." sqref="D5" xr:uid="{685E0327-5750-4243-AB4F-04577158848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277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2772" r:id="rId5" name="Button 4">
              <controlPr defaultSize="0" print="0" autoFill="0" autoPict="0" macro="[0]!Acetaldehyde_Button4_Click">
                <anchor moveWithCells="1" sizeWithCells="1">
                  <from>
                    <xdr:col>2</xdr:col>
                    <xdr:colOff>1362075</xdr:colOff>
                    <xdr:row>9</xdr:row>
                    <xdr:rowOff>9525</xdr:rowOff>
                  </from>
                  <to>
                    <xdr:col>3</xdr:col>
                    <xdr:colOff>1181100</xdr:colOff>
                    <xdr:row>9</xdr:row>
                    <xdr:rowOff>276225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FC0C3-FE9F-4407-8B65-AE12978BB32B}">
  <sheetPr codeName="Sheet17"/>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Benzene</v>
      </c>
      <c r="C1" s="1"/>
      <c r="D1" s="4" t="str">
        <f ca="1">B1</f>
        <v>Benzene</v>
      </c>
      <c r="E1" s="1"/>
    </row>
    <row r="2" spans="1:24" ht="15" customHeight="1" x14ac:dyDescent="0.25">
      <c r="A2" s="4" t="s">
        <v>589</v>
      </c>
      <c r="B2" s="147" t="s">
        <v>563</v>
      </c>
      <c r="C2" s="152"/>
      <c r="D2" s="159" t="s">
        <v>687</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77O2IixTBMSPbmyqp0VDsUu5M9eViVZCkQV1ZPNeLwhhIcs+NO+i3xsn4avP81vz1PSKjOh8DKQl1IhEldMsyg==" saltValue="fZPO57VlKJpDuMCsFovcYA==" spinCount="100000" sheet="1" objects="1" scenarios="1"/>
  <dataValidations count="6">
    <dataValidation type="list" allowBlank="1" showInputMessage="1" showErrorMessage="1" sqref="G15:X15" xr:uid="{2F5B6D94-135B-43A7-A6B9-526DEB81DA4B}">
      <formula1>$G$15:$X$15</formula1>
    </dataValidation>
    <dataValidation showInputMessage="1" showErrorMessage="1" error="Units cannot edit." sqref="D3:D4" xr:uid="{6FE86DD4-68C0-49C9-8A39-202E6B699666}"/>
    <dataValidation allowBlank="1" showInputMessage="1" showErrorMessage="1" error="Please enter a valid date in mm/dd/yyyy format." sqref="B8:D10" xr:uid="{E4E880F8-BDA9-413F-A1E5-24AEB09B0E1F}"/>
    <dataValidation type="decimal" allowBlank="1" showInputMessage="1" showErrorMessage="1" error="Please enter a valid reading." sqref="D7" xr:uid="{535176D5-E0B5-4835-800D-0820FA48DC69}">
      <formula1>0</formula1>
      <formula2>9999999999</formula2>
    </dataValidation>
    <dataValidation type="date" allowBlank="1" showInputMessage="1" showErrorMessage="1" error="Please enter a valid date in mm/dd/yyyy format." sqref="B7:C7" xr:uid="{CB938181-7F34-4865-9297-51AF2463D78B}">
      <formula1>1</formula1>
      <formula2>73051</formula2>
    </dataValidation>
    <dataValidation type="textLength" allowBlank="1" showInputMessage="1" showErrorMessage="1" errorTitle="Data Source" error="It can only accept 40 characters." sqref="D5" xr:uid="{42E0D56D-E31E-4825-864C-5298BB7936A7}">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37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3796" r:id="rId5" name="Button 4">
              <controlPr defaultSize="0" print="0" autoFill="0" autoPict="0" macro="[0]!Benzene_Button4_Click">
                <anchor moveWithCells="1" sizeWithCells="1">
                  <from>
                    <xdr:col>3</xdr:col>
                    <xdr:colOff>0</xdr:colOff>
                    <xdr:row>9</xdr:row>
                    <xdr:rowOff>9525</xdr:rowOff>
                  </from>
                  <to>
                    <xdr:col>3</xdr:col>
                    <xdr:colOff>1076325</xdr:colOff>
                    <xdr:row>9</xdr:row>
                    <xdr:rowOff>276225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81D89-D5B0-42BF-B2F9-A08E8A762CC5}">
  <sheetPr codeName="Sheet18"/>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Styrene</v>
      </c>
      <c r="C1" s="1"/>
      <c r="D1" s="4" t="str">
        <f ca="1">B1</f>
        <v>Styrene</v>
      </c>
      <c r="E1" s="1"/>
    </row>
    <row r="2" spans="1:24" ht="15" customHeight="1" x14ac:dyDescent="0.25">
      <c r="A2" s="4" t="s">
        <v>589</v>
      </c>
      <c r="B2" s="147" t="s">
        <v>563</v>
      </c>
      <c r="C2" s="152"/>
      <c r="D2" s="159" t="s">
        <v>688</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J9azdfvskrd5Us0kAoYPKF3/Gy29aFY3l8OaTbKLanWinW6OyInqoOUZXlnrxqZYdqtdPfhMZM/9sGG5SMVudg==" saltValue="WaVYwc1EPr3bIP9jaEp8gA==" spinCount="100000" sheet="1" objects="1" scenarios="1"/>
  <dataValidations count="6">
    <dataValidation type="list" allowBlank="1" showInputMessage="1" showErrorMessage="1" sqref="G15:X15" xr:uid="{7AABBF0B-A504-4897-B5E9-7F29216856BC}">
      <formula1>$G$15:$X$15</formula1>
    </dataValidation>
    <dataValidation showInputMessage="1" showErrorMessage="1" error="Units cannot edit." sqref="D3:D4" xr:uid="{F8516D2E-3D21-4980-A29E-338BE7D9C33E}"/>
    <dataValidation allowBlank="1" showInputMessage="1" showErrorMessage="1" error="Please enter a valid date in mm/dd/yyyy format." sqref="B8:D10" xr:uid="{F6995953-9B0A-48D1-9C55-FAC0ADC4A526}"/>
    <dataValidation type="decimal" allowBlank="1" showInputMessage="1" showErrorMessage="1" error="Please enter a valid reading." sqref="D7" xr:uid="{DC9F0DF4-E3CE-4BF5-BEB9-E402C1C3A3A2}">
      <formula1>0</formula1>
      <formula2>9999999999</formula2>
    </dataValidation>
    <dataValidation type="date" allowBlank="1" showInputMessage="1" showErrorMessage="1" error="Please enter a valid date in mm/dd/yyyy format." sqref="B7:C7" xr:uid="{3947404C-B6FF-4FA2-8174-45F06C57A8F3}">
      <formula1>1</formula1>
      <formula2>73051</formula2>
    </dataValidation>
    <dataValidation type="textLength" allowBlank="1" showInputMessage="1" showErrorMessage="1" errorTitle="Data Source" error="It can only accept 40 characters." sqref="D5" xr:uid="{EC60286C-FDAA-41F0-8775-B3E220B65848}">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481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4820" r:id="rId5" name="Button 4">
              <controlPr defaultSize="0" print="0" autoFill="0" autoPict="0" macro="[0]!Styrene_Button4_Click">
                <anchor moveWithCells="1" sizeWithCells="1">
                  <from>
                    <xdr:col>2</xdr:col>
                    <xdr:colOff>1352550</xdr:colOff>
                    <xdr:row>9</xdr:row>
                    <xdr:rowOff>19050</xdr:rowOff>
                  </from>
                  <to>
                    <xdr:col>3</xdr:col>
                    <xdr:colOff>1104900</xdr:colOff>
                    <xdr:row>9</xdr:row>
                    <xdr:rowOff>276225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4517C-D8FD-40E2-B98D-38C4F1DEF131}">
  <sheetPr codeName="Sheet19"/>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Toluene</v>
      </c>
      <c r="C1" s="1"/>
      <c r="D1" s="4" t="str">
        <f ca="1">B1</f>
        <v>Toluene</v>
      </c>
      <c r="E1" s="1"/>
    </row>
    <row r="2" spans="1:24" ht="15" customHeight="1" x14ac:dyDescent="0.25">
      <c r="A2" s="4" t="s">
        <v>589</v>
      </c>
      <c r="B2" s="147" t="s">
        <v>563</v>
      </c>
      <c r="C2" s="152"/>
      <c r="D2" s="159" t="s">
        <v>690</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0rfjCMpU6pdocXGzK2p0JbMspjqJLcz+BOKQUegv8RqpNF7l7itqGItoxnOTbwZ2Oc2BPxXg8+50WfhLsr2s2g==" saltValue="26wSV8yet255YY3oxr9buw==" spinCount="100000" sheet="1" objects="1" scenarios="1"/>
  <dataValidations count="6">
    <dataValidation type="list" allowBlank="1" showInputMessage="1" showErrorMessage="1" sqref="G15:X15" xr:uid="{46DF15BF-48C1-40D3-BEF1-41F8D0C515BA}">
      <formula1>$G$15:$X$15</formula1>
    </dataValidation>
    <dataValidation showInputMessage="1" showErrorMessage="1" error="Units cannot edit." sqref="D3:D4" xr:uid="{84361206-9940-41D4-A715-C562DD912779}"/>
    <dataValidation allowBlank="1" showInputMessage="1" showErrorMessage="1" error="Please enter a valid date in mm/dd/yyyy format." sqref="B8:D10" xr:uid="{8BB8A957-FFBA-46A4-90CB-F0373A56CE8A}"/>
    <dataValidation type="decimal" allowBlank="1" showInputMessage="1" showErrorMessage="1" error="Please enter a valid reading." sqref="D7" xr:uid="{C4A78846-463F-4311-8F4B-9012E1D9043F}">
      <formula1>0</formula1>
      <formula2>9999999999</formula2>
    </dataValidation>
    <dataValidation type="date" allowBlank="1" showInputMessage="1" showErrorMessage="1" error="Please enter a valid date in mm/dd/yyyy format." sqref="B7:C7" xr:uid="{9CFBFDAC-078C-4A77-8A0B-B6300EEFCB72}">
      <formula1>1</formula1>
      <formula2>73051</formula2>
    </dataValidation>
    <dataValidation type="textLength" allowBlank="1" showInputMessage="1" showErrorMessage="1" errorTitle="Data Source" error="It can only accept 40 characters." sqref="D5" xr:uid="{E1F0EC41-7D87-4AAC-852F-DD9FB38D925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584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5844" r:id="rId5" name="Button 4">
              <controlPr defaultSize="0" print="0" autoFill="0" autoPict="0" macro="[0]!Toluene_Button4_Click">
                <anchor moveWithCells="1" sizeWithCells="1">
                  <from>
                    <xdr:col>2</xdr:col>
                    <xdr:colOff>1352550</xdr:colOff>
                    <xdr:row>9</xdr:row>
                    <xdr:rowOff>19050</xdr:rowOff>
                  </from>
                  <to>
                    <xdr:col>3</xdr:col>
                    <xdr:colOff>1066800</xdr:colOff>
                    <xdr:row>9</xdr:row>
                    <xdr:rowOff>285750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EF2F5-660B-4457-B318-D8373E483D8C}">
  <sheetPr codeName="Sheet20"/>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 xml:space="preserve">Naphthalene </v>
      </c>
      <c r="C1" s="1"/>
      <c r="D1" s="4" t="str">
        <f ca="1">B1</f>
        <v xml:space="preserve">Naphthalene </v>
      </c>
      <c r="E1" s="1"/>
    </row>
    <row r="2" spans="1:24" ht="15" customHeight="1" x14ac:dyDescent="0.25">
      <c r="A2" s="4" t="s">
        <v>589</v>
      </c>
      <c r="B2" s="147" t="s">
        <v>563</v>
      </c>
      <c r="C2" s="152"/>
      <c r="D2" s="159" t="s">
        <v>691</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72iI7hBV9g5Xt/S1e/Fg73r0zOSZi/06HpLgm3RADl8VqelTwrauTvkrLpYIsQGPqJVqx9NUJrONCHhHnTNmgw==" saltValue="lrMmjqb7/7QKSiP2iU4cGg==" spinCount="100000" sheet="1" objects="1" scenarios="1"/>
  <dataValidations count="6">
    <dataValidation type="list" allowBlank="1" showInputMessage="1" showErrorMessage="1" sqref="G15:X15" xr:uid="{2C19EEA9-2CE3-4216-B9A8-34E418E23730}">
      <formula1>$G$15:$X$15</formula1>
    </dataValidation>
    <dataValidation showInputMessage="1" showErrorMessage="1" error="Units cannot edit." sqref="D3:D4" xr:uid="{BD9D6C38-3058-4809-8307-58FF13423105}"/>
    <dataValidation allowBlank="1" showInputMessage="1" showErrorMessage="1" error="Please enter a valid date in mm/dd/yyyy format." sqref="B8:D10" xr:uid="{8BAEAF9F-FDB3-4581-BDD1-E76000DB56DB}"/>
    <dataValidation type="decimal" allowBlank="1" showInputMessage="1" showErrorMessage="1" error="Please enter a valid reading." sqref="D7" xr:uid="{696880EB-4E4F-426D-AD2F-307C83B4DF8A}">
      <formula1>0</formula1>
      <formula2>9999999999</formula2>
    </dataValidation>
    <dataValidation type="date" allowBlank="1" showInputMessage="1" showErrorMessage="1" error="Please enter a valid date in mm/dd/yyyy format." sqref="B7:C7" xr:uid="{B21D8156-E1D0-4221-8132-7DC0013A330A}">
      <formula1>1</formula1>
      <formula2>73051</formula2>
    </dataValidation>
    <dataValidation type="textLength" allowBlank="1" showInputMessage="1" showErrorMessage="1" errorTitle="Data Source" error="It can only accept 40 characters." sqref="D5" xr:uid="{B230F98C-55E1-43C9-853A-56B22A61FC7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686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6868" r:id="rId5" name="Button 4">
              <controlPr defaultSize="0" print="0" autoFill="0" autoPict="0" macro="[0]!Naphthalene_Button4_Click">
                <anchor moveWithCells="1" sizeWithCells="1">
                  <from>
                    <xdr:col>3</xdr:col>
                    <xdr:colOff>9525</xdr:colOff>
                    <xdr:row>9</xdr:row>
                    <xdr:rowOff>19050</xdr:rowOff>
                  </from>
                  <to>
                    <xdr:col>3</xdr:col>
                    <xdr:colOff>1152525</xdr:colOff>
                    <xdr:row>9</xdr:row>
                    <xdr:rowOff>285750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808A-9DC3-4D34-89A4-73F44E1387B2}">
  <sheetPr codeName="Sheet21"/>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Dichlorobenzene</v>
      </c>
      <c r="C1" s="1"/>
      <c r="D1" s="4" t="str">
        <f ca="1">B1</f>
        <v>Dichlorobenzene</v>
      </c>
      <c r="E1" s="1"/>
    </row>
    <row r="2" spans="1:24" ht="15" customHeight="1" x14ac:dyDescent="0.25">
      <c r="A2" s="4" t="s">
        <v>589</v>
      </c>
      <c r="B2" s="147" t="s">
        <v>563</v>
      </c>
      <c r="C2" s="152"/>
      <c r="D2" s="159" t="s">
        <v>692</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HLBRHPG/awe+p8qEhaNELxtvy+gmjgAsilxJA/OCPgM56tMPDM/qn9j0kp1nFlpf79lGbIeULA+G5bl1CNV9iQ==" saltValue="uU0nBjkFNe2jZ+4JSA2ozA==" spinCount="100000" sheet="1" objects="1" scenarios="1"/>
  <dataValidations count="6">
    <dataValidation type="list" allowBlank="1" showInputMessage="1" showErrorMessage="1" sqref="G15:X15" xr:uid="{0C04AC12-C044-4D89-9E7D-9E2CF04D0252}">
      <formula1>$G$15:$X$15</formula1>
    </dataValidation>
    <dataValidation showInputMessage="1" showErrorMessage="1" error="Units cannot edit." sqref="D3:D4" xr:uid="{08DC31BE-A628-4B31-81C8-391EC72593AB}"/>
    <dataValidation allowBlank="1" showInputMessage="1" showErrorMessage="1" error="Please enter a valid date in mm/dd/yyyy format." sqref="B8:D10" xr:uid="{90A14A99-150A-49DE-90C7-E3F5F1EB3ECE}"/>
    <dataValidation type="decimal" allowBlank="1" showInputMessage="1" showErrorMessage="1" error="Please enter a valid reading." sqref="D7" xr:uid="{C3036D31-F5B3-4680-B10F-CE199F4E716C}">
      <formula1>0</formula1>
      <formula2>9999999999</formula2>
    </dataValidation>
    <dataValidation type="date" allowBlank="1" showInputMessage="1" showErrorMessage="1" error="Please enter a valid date in mm/dd/yyyy format." sqref="B7:C7" xr:uid="{DB184DDC-BA25-40D0-904B-2A13B5A0B120}">
      <formula1>1</formula1>
      <formula2>73051</formula2>
    </dataValidation>
    <dataValidation type="textLength" allowBlank="1" showInputMessage="1" showErrorMessage="1" errorTitle="Data Source" error="It can only accept 40 characters." sqref="D5" xr:uid="{C84E511D-E2B6-4307-89ED-A15D5202B9B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789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7892" r:id="rId5" name="Button 4">
              <controlPr defaultSize="0" print="0" autoFill="0" autoPict="0" macro="[0]!Dichlorobenzene_Button4_Click">
                <anchor moveWithCells="1" sizeWithCells="1">
                  <from>
                    <xdr:col>3</xdr:col>
                    <xdr:colOff>0</xdr:colOff>
                    <xdr:row>9</xdr:row>
                    <xdr:rowOff>28575</xdr:rowOff>
                  </from>
                  <to>
                    <xdr:col>3</xdr:col>
                    <xdr:colOff>1085850</xdr:colOff>
                    <xdr:row>9</xdr:row>
                    <xdr:rowOff>266700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0967C-1F10-48C9-8CCF-EED1208EE08F}">
  <sheetPr codeName="Sheet22"/>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21" sqref="D21"/>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Xylenes-total</v>
      </c>
      <c r="C1" s="1"/>
      <c r="D1" s="4" t="str">
        <f ca="1">B1</f>
        <v>Xylenes-total</v>
      </c>
      <c r="E1" s="1"/>
    </row>
    <row r="2" spans="1:24" ht="15" customHeight="1" x14ac:dyDescent="0.25">
      <c r="A2" s="4" t="s">
        <v>589</v>
      </c>
      <c r="B2" s="147" t="s">
        <v>563</v>
      </c>
      <c r="C2" s="152"/>
      <c r="D2" s="159" t="s">
        <v>693</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RxfUT4ugYYaE/5muk6eTupnpExzUjYKbqxXBCYhuy0ds5jaVovgvJezBT+0NHQY9/c4BdB0bI10JYb1hSS+iSA==" saltValue="69BUgCwJHXzp6Hro4B3eDA==" spinCount="100000" sheet="1" objects="1" scenarios="1"/>
  <dataValidations count="6">
    <dataValidation type="list" allowBlank="1" showInputMessage="1" showErrorMessage="1" sqref="G15:X15" xr:uid="{C74E3275-073C-4B67-A3B2-30E9920D3E3C}">
      <formula1>$G$15:$X$15</formula1>
    </dataValidation>
    <dataValidation showInputMessage="1" showErrorMessage="1" error="Units cannot edit." sqref="D3:D4" xr:uid="{03E6DF44-26F0-424E-BFF2-7B6D37B05FE5}"/>
    <dataValidation allowBlank="1" showInputMessage="1" showErrorMessage="1" error="Please enter a valid date in mm/dd/yyyy format." sqref="B8:D10" xr:uid="{005E9A6A-6C8A-424B-858E-AB27E38CBD7C}"/>
    <dataValidation type="decimal" allowBlank="1" showInputMessage="1" showErrorMessage="1" error="Please enter a valid reading." sqref="D7" xr:uid="{58C5AA91-7F86-4352-88BD-793E10150CD0}">
      <formula1>0</formula1>
      <formula2>9999999999</formula2>
    </dataValidation>
    <dataValidation type="date" allowBlank="1" showInputMessage="1" showErrorMessage="1" error="Please enter a valid date in mm/dd/yyyy format." sqref="B7:C7" xr:uid="{6931FEEB-F5E9-40E3-9570-0859E1198FCE}">
      <formula1>1</formula1>
      <formula2>73051</formula2>
    </dataValidation>
    <dataValidation type="textLength" allowBlank="1" showInputMessage="1" showErrorMessage="1" errorTitle="Data Source" error="It can only accept 40 characters." sqref="D5" xr:uid="{14F04501-B42A-46E2-978B-2324D7DF27E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891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8916" r:id="rId5" name="Button 4">
              <controlPr defaultSize="0" print="0" autoFill="0" autoPict="0" macro="[0]!Xylenestotal_Button4_Click">
                <anchor moveWithCells="1" sizeWithCells="1">
                  <from>
                    <xdr:col>2</xdr:col>
                    <xdr:colOff>1352550</xdr:colOff>
                    <xdr:row>9</xdr:row>
                    <xdr:rowOff>28575</xdr:rowOff>
                  </from>
                  <to>
                    <xdr:col>3</xdr:col>
                    <xdr:colOff>1047750</xdr:colOff>
                    <xdr:row>9</xdr:row>
                    <xdr:rowOff>285750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5F0B-6880-4E2E-BD2C-757AD88B1316}">
  <sheetPr codeName="Sheet2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E21" sqref="E21"/>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19.5703125" style="2" hidden="1" customWidth="1"/>
    <col min="7" max="7" width="10.42578125" style="2" hidden="1" customWidth="1"/>
    <col min="8" max="8" width="4.42578125" style="2" hidden="1" customWidth="1"/>
    <col min="9" max="9" width="11" style="2" hidden="1" customWidth="1"/>
    <col min="10" max="10" width="13.42578125" style="2" hidden="1" customWidth="1"/>
    <col min="11" max="11" width="15.42578125" style="2" hidden="1" customWidth="1"/>
    <col min="12" max="12" width="12.7109375" style="2" hidden="1" customWidth="1"/>
    <col min="13" max="14" width="19.7109375" style="2" hidden="1" customWidth="1"/>
    <col min="15" max="15" width="18.7109375" style="2" hidden="1" customWidth="1"/>
    <col min="16" max="16" width="21.28515625" style="2" hidden="1" customWidth="1"/>
    <col min="17" max="17" width="17.7109375" style="2" hidden="1" customWidth="1"/>
    <col min="18" max="18" width="21.140625" style="2" hidden="1" customWidth="1"/>
    <col min="19" max="19" width="17" style="2" hidden="1" customWidth="1"/>
    <col min="20" max="20" width="20.42578125" style="2" hidden="1" customWidth="1"/>
    <col min="21" max="21" width="19.7109375" style="2" hidden="1" customWidth="1"/>
    <col min="22" max="22" width="34.42578125" style="2" hidden="1" customWidth="1"/>
    <col min="23" max="32" width="19.5703125" style="2" customWidth="1"/>
    <col min="33" max="16384" width="9.140625" style="2"/>
  </cols>
  <sheetData>
    <row r="1" spans="1:24" ht="15" customHeight="1" x14ac:dyDescent="0.25">
      <c r="A1" s="4" t="s">
        <v>589</v>
      </c>
      <c r="B1" s="4" t="str">
        <f ca="1">MID(CELL("filename",A1),FIND("]",CELL("filename",A1))+1,256)</f>
        <v>Formaldehyde</v>
      </c>
      <c r="C1" s="1"/>
      <c r="D1" s="4" t="str">
        <f ca="1">B1</f>
        <v>Formaldehyde</v>
      </c>
      <c r="E1" s="1"/>
    </row>
    <row r="2" spans="1:24" ht="15" customHeight="1" x14ac:dyDescent="0.25">
      <c r="A2" s="4" t="s">
        <v>589</v>
      </c>
      <c r="B2" s="147" t="s">
        <v>563</v>
      </c>
      <c r="C2" s="152"/>
      <c r="D2" s="159" t="s">
        <v>694</v>
      </c>
      <c r="E2" s="1"/>
    </row>
    <row r="3" spans="1:24" ht="15.75" customHeight="1" x14ac:dyDescent="0.25">
      <c r="A3" s="4" t="s">
        <v>589</v>
      </c>
      <c r="B3" s="146" t="s">
        <v>564</v>
      </c>
      <c r="C3" s="9"/>
      <c r="D3" s="150" t="s">
        <v>695</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(µg/m3 )</v>
      </c>
      <c r="E6" s="1"/>
    </row>
    <row r="7" spans="1:24" x14ac:dyDescent="0.25">
      <c r="A7" s="4"/>
      <c r="B7" s="35">
        <v>43435</v>
      </c>
      <c r="C7" s="35">
        <v>43496</v>
      </c>
      <c r="D7" s="22">
        <v>111</v>
      </c>
      <c r="E7" s="1"/>
      <c r="H7" s="2" t="s">
        <v>684</v>
      </c>
    </row>
    <row r="8" spans="1:24" x14ac:dyDescent="0.25">
      <c r="A8" s="4"/>
      <c r="B8" s="23"/>
      <c r="C8" s="161"/>
      <c r="D8" s="26"/>
      <c r="E8" s="1"/>
      <c r="H8" s="2" t="s">
        <v>696</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showInputMessage="1" showErrorMessage="1" error="Units cannot edit." sqref="D3:D4" xr:uid="{CA6CDC83-868D-433A-9A31-51B1E76903C3}">
      <formula1>$H$7:$H$8</formula1>
    </dataValidation>
    <dataValidation type="decimal" allowBlank="1" showInputMessage="1" showErrorMessage="1" error="Please enter a valid reading." sqref="D7" xr:uid="{71A8DE1D-F37F-40CD-BABA-6CD98E1925D4}">
      <formula1>0</formula1>
      <formula2>9999999999</formula2>
    </dataValidation>
    <dataValidation type="date" allowBlank="1" showInputMessage="1" showErrorMessage="1" error="Please enter a valid date in mm/dd/yyyy format." sqref="B7:C7" xr:uid="{6D5ACAA9-954F-431B-B1D3-FD01BCB8CF5F}">
      <formula1>1</formula1>
      <formula2>73051</formula2>
    </dataValidation>
    <dataValidation type="list" allowBlank="1" showInputMessage="1" showErrorMessage="1" sqref="G15:X15" xr:uid="{8342B6D1-2185-4ED9-9907-A5B5D1CC09E4}">
      <formula1>$G$15:$X$15</formula1>
    </dataValidation>
    <dataValidation allowBlank="1" showInputMessage="1" showErrorMessage="1" error="Please enter a valid date in mm/dd/yyyy format." sqref="B8:D10" xr:uid="{682CD4A8-628D-438E-B834-3CFEC127CBFE}"/>
    <dataValidation type="textLength" allowBlank="1" showInputMessage="1" showErrorMessage="1" errorTitle="Data Source" error="It can only accept 40 characters." sqref="D5" xr:uid="{7AB8FBD6-9E8A-45B8-B52A-443163F8E48E}">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993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9940" r:id="rId5" name="Button 4">
              <controlPr defaultSize="0" print="0" autoFill="0" autoPict="0" macro="[0]!Formaldehyde_Button4_Click">
                <anchor moveWithCells="1" sizeWithCells="1">
                  <from>
                    <xdr:col>2</xdr:col>
                    <xdr:colOff>1362075</xdr:colOff>
                    <xdr:row>9</xdr:row>
                    <xdr:rowOff>28575</xdr:rowOff>
                  </from>
                  <to>
                    <xdr:col>3</xdr:col>
                    <xdr:colOff>1162050</xdr:colOff>
                    <xdr:row>9</xdr:row>
                    <xdr:rowOff>276225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
  <sheetViews>
    <sheetView workbookViewId="0">
      <selection activeCell="F24" sqref="F24"/>
    </sheetView>
  </sheetViews>
  <sheetFormatPr defaultRowHeight="15" x14ac:dyDescent="0.25"/>
  <sheetData/>
  <sheetProtection algorithmName="SHA-512" hashValue="McZ0tgqKgH5LXwtBUt6htCvt12RocTEsnYSauavEUnZjtlZI7cPfLCJMf021NRXeOqoBbqT6cyqpev8pYcra9g==" saltValue="RB4xOIpcf4eswJbLPdXOOA=="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358</vt:i4>
      </vt:variant>
    </vt:vector>
  </HeadingPairs>
  <TitlesOfParts>
    <vt:vector size="382" baseType="lpstr">
      <vt:lpstr>Instructions</vt:lpstr>
      <vt:lpstr>Building Settings</vt:lpstr>
      <vt:lpstr>base_w</vt:lpstr>
      <vt:lpstr>base_e</vt:lpstr>
      <vt:lpstr>base_f</vt:lpstr>
      <vt:lpstr>CO2 Reading for Upload</vt:lpstr>
      <vt:lpstr>CO2 Readings</vt:lpstr>
      <vt:lpstr>TVOC Reading for Upload</vt:lpstr>
      <vt:lpstr>TVOC Readings</vt:lpstr>
      <vt:lpstr>Waste Stream</vt:lpstr>
      <vt:lpstr>AnalyticsEnergy Meter via up...</vt:lpstr>
      <vt:lpstr>AnalyticsWater meter via upload</vt:lpstr>
      <vt:lpstr>Carbon Monoxide</vt:lpstr>
      <vt:lpstr>Ozone</vt:lpstr>
      <vt:lpstr>Atmospheric Particulate Matter</vt:lpstr>
      <vt:lpstr>Acetaldehyde</vt:lpstr>
      <vt:lpstr>Benzene</vt:lpstr>
      <vt:lpstr>Styrene</vt:lpstr>
      <vt:lpstr>Toluene</vt:lpstr>
      <vt:lpstr>Naphthalene </vt:lpstr>
      <vt:lpstr>Dichlorobenzene</vt:lpstr>
      <vt:lpstr>Xylenes-total</vt:lpstr>
      <vt:lpstr>Formaldehyde</vt:lpstr>
      <vt:lpstr>base_summary</vt:lpstr>
      <vt:lpstr>columnDelete</vt:lpstr>
      <vt:lpstr>columnDeleteVOC</vt:lpstr>
      <vt:lpstr>Countries</vt:lpstr>
      <vt:lpstr>CountriesDetails</vt:lpstr>
      <vt:lpstr>countryName</vt:lpstr>
      <vt:lpstr>DataCopy</vt:lpstr>
      <vt:lpstr>DataCopyVOC</vt:lpstr>
      <vt:lpstr>Acetaldehyde!Dates</vt:lpstr>
      <vt:lpstr>'Atmospheric Particulate Matter'!Dates</vt:lpstr>
      <vt:lpstr>Benzene!Dates</vt:lpstr>
      <vt:lpstr>'Carbon Monoxide'!Dates</vt:lpstr>
      <vt:lpstr>Dichlorobenzene!Dates</vt:lpstr>
      <vt:lpstr>Formaldehyde!Dates</vt:lpstr>
      <vt:lpstr>'Naphthalene '!Dates</vt:lpstr>
      <vt:lpstr>Ozone!Dates</vt:lpstr>
      <vt:lpstr>Styrene!Dates</vt:lpstr>
      <vt:lpstr>Toluene!Dates</vt:lpstr>
      <vt:lpstr>'Xylenes-total'!Dates</vt:lpstr>
      <vt:lpstr>Dates</vt:lpstr>
      <vt:lpstr>Acetaldehyde!DatesVOC</vt:lpstr>
      <vt:lpstr>'Atmospheric Particulate Matter'!DatesVOC</vt:lpstr>
      <vt:lpstr>Benzene!DatesVOC</vt:lpstr>
      <vt:lpstr>'Carbon Monoxide'!DatesVOC</vt:lpstr>
      <vt:lpstr>Dichlorobenzene!DatesVOC</vt:lpstr>
      <vt:lpstr>Formaldehyde!DatesVOC</vt:lpstr>
      <vt:lpstr>'Naphthalene '!DatesVOC</vt:lpstr>
      <vt:lpstr>Ozone!DatesVOC</vt:lpstr>
      <vt:lpstr>Styrene!DatesVOC</vt:lpstr>
      <vt:lpstr>Toluene!DatesVOC</vt:lpstr>
      <vt:lpstr>'Xylenes-total'!DatesVOC</vt:lpstr>
      <vt:lpstr>DatesVOC</vt:lpstr>
      <vt:lpstr>DelRwNmEnd</vt:lpstr>
      <vt:lpstr>DelRwNmEndVOC</vt:lpstr>
      <vt:lpstr>DelRwNmStart</vt:lpstr>
      <vt:lpstr>DelRwNmStartVOC</vt:lpstr>
      <vt:lpstr>Acetaldehyde!elecName</vt:lpstr>
      <vt:lpstr>'AnalyticsEnergy Meter via up...'!elecName</vt:lpstr>
      <vt:lpstr>'Atmospheric Particulate Matter'!elecName</vt:lpstr>
      <vt:lpstr>Benzene!elecName</vt:lpstr>
      <vt:lpstr>'Carbon Monoxide'!elecName</vt:lpstr>
      <vt:lpstr>Dichlorobenzene!elecName</vt:lpstr>
      <vt:lpstr>Formaldehyde!elecName</vt:lpstr>
      <vt:lpstr>'Naphthalene '!elecName</vt:lpstr>
      <vt:lpstr>Ozone!elecName</vt:lpstr>
      <vt:lpstr>Styrene!elecName</vt:lpstr>
      <vt:lpstr>Toluene!elecName</vt:lpstr>
      <vt:lpstr>'Xylenes-total'!elecName</vt:lpstr>
      <vt:lpstr>elecName</vt:lpstr>
      <vt:lpstr>Acetaldehyde!ElectricityDrp</vt:lpstr>
      <vt:lpstr>'AnalyticsEnergy Meter via up...'!ElectricityDrp</vt:lpstr>
      <vt:lpstr>'Atmospheric Particulate Matter'!ElectricityDrp</vt:lpstr>
      <vt:lpstr>Benzene!ElectricityDrp</vt:lpstr>
      <vt:lpstr>'Carbon Monoxide'!ElectricityDrp</vt:lpstr>
      <vt:lpstr>Dichlorobenzene!ElectricityDrp</vt:lpstr>
      <vt:lpstr>Formaldehyde!ElectricityDrp</vt:lpstr>
      <vt:lpstr>'Naphthalene '!ElectricityDrp</vt:lpstr>
      <vt:lpstr>Ozone!ElectricityDrp</vt:lpstr>
      <vt:lpstr>Styrene!ElectricityDrp</vt:lpstr>
      <vt:lpstr>Toluene!ElectricityDrp</vt:lpstr>
      <vt:lpstr>'Xylenes-total'!ElectricityDrp</vt:lpstr>
      <vt:lpstr>ElectricityDrp</vt:lpstr>
      <vt:lpstr>Acetaldehyde!fdet</vt:lpstr>
      <vt:lpstr>'Atmospheric Particulate Matter'!fdet</vt:lpstr>
      <vt:lpstr>Benzene!fdet</vt:lpstr>
      <vt:lpstr>'Carbon Monoxide'!fdet</vt:lpstr>
      <vt:lpstr>Dichlorobenzene!fdet</vt:lpstr>
      <vt:lpstr>Formaldehyde!fdet</vt:lpstr>
      <vt:lpstr>'Naphthalene '!fdet</vt:lpstr>
      <vt:lpstr>Ozone!fdet</vt:lpstr>
      <vt:lpstr>Styrene!fdet</vt:lpstr>
      <vt:lpstr>Toluene!fdet</vt:lpstr>
      <vt:lpstr>'Xylenes-total'!fdet</vt:lpstr>
      <vt:lpstr>fdet</vt:lpstr>
      <vt:lpstr>Acetaldehyde!fude</vt:lpstr>
      <vt:lpstr>'Atmospheric Particulate Matter'!fude</vt:lpstr>
      <vt:lpstr>Benzene!fude</vt:lpstr>
      <vt:lpstr>'Carbon Monoxide'!fude</vt:lpstr>
      <vt:lpstr>Dichlorobenzene!fude</vt:lpstr>
      <vt:lpstr>Formaldehyde!fude</vt:lpstr>
      <vt:lpstr>'Naphthalene '!fude</vt:lpstr>
      <vt:lpstr>Ozone!fude</vt:lpstr>
      <vt:lpstr>Styrene!fude</vt:lpstr>
      <vt:lpstr>Toluene!fude</vt:lpstr>
      <vt:lpstr>'Xylenes-total'!fude</vt:lpstr>
      <vt:lpstr>fude</vt:lpstr>
      <vt:lpstr>Acetaldehyde!fuel1</vt:lpstr>
      <vt:lpstr>'Atmospheric Particulate Matter'!fuel1</vt:lpstr>
      <vt:lpstr>Benzene!fuel1</vt:lpstr>
      <vt:lpstr>'Carbon Monoxide'!fuel1</vt:lpstr>
      <vt:lpstr>Dichlorobenzene!fuel1</vt:lpstr>
      <vt:lpstr>Formaldehyde!fuel1</vt:lpstr>
      <vt:lpstr>'Naphthalene '!fuel1</vt:lpstr>
      <vt:lpstr>Ozone!fuel1</vt:lpstr>
      <vt:lpstr>Styrene!fuel1</vt:lpstr>
      <vt:lpstr>Toluene!fuel1</vt:lpstr>
      <vt:lpstr>'Xylenes-total'!fuel1</vt:lpstr>
      <vt:lpstr>fuel1</vt:lpstr>
      <vt:lpstr>Acetaldehyde!fuel2</vt:lpstr>
      <vt:lpstr>'Atmospheric Particulate Matter'!fuel2</vt:lpstr>
      <vt:lpstr>Benzene!fuel2</vt:lpstr>
      <vt:lpstr>'Carbon Monoxide'!fuel2</vt:lpstr>
      <vt:lpstr>Dichlorobenzene!fuel2</vt:lpstr>
      <vt:lpstr>Formaldehyde!fuel2</vt:lpstr>
      <vt:lpstr>'Naphthalene '!fuel2</vt:lpstr>
      <vt:lpstr>Ozone!fuel2</vt:lpstr>
      <vt:lpstr>Styrene!fuel2</vt:lpstr>
      <vt:lpstr>Toluene!fuel2</vt:lpstr>
      <vt:lpstr>'Xylenes-total'!fuel2</vt:lpstr>
      <vt:lpstr>fuel2</vt:lpstr>
      <vt:lpstr>Acetaldehyde!kerosene</vt:lpstr>
      <vt:lpstr>'Atmospheric Particulate Matter'!kerosene</vt:lpstr>
      <vt:lpstr>Benzene!kerosene</vt:lpstr>
      <vt:lpstr>'Carbon Monoxide'!kerosene</vt:lpstr>
      <vt:lpstr>Dichlorobenzene!kerosene</vt:lpstr>
      <vt:lpstr>Formaldehyde!kerosene</vt:lpstr>
      <vt:lpstr>'Naphthalene '!kerosene</vt:lpstr>
      <vt:lpstr>Ozone!kerosene</vt:lpstr>
      <vt:lpstr>Styrene!kerosene</vt:lpstr>
      <vt:lpstr>Toluene!kerosene</vt:lpstr>
      <vt:lpstr>'Xylenes-total'!kerosene</vt:lpstr>
      <vt:lpstr>kerosene</vt:lpstr>
      <vt:lpstr>Acetaldehyde!liquid</vt:lpstr>
      <vt:lpstr>'Atmospheric Particulate Matter'!liquid</vt:lpstr>
      <vt:lpstr>Benzene!liquid</vt:lpstr>
      <vt:lpstr>'Carbon Monoxide'!liquid</vt:lpstr>
      <vt:lpstr>Dichlorobenzene!liquid</vt:lpstr>
      <vt:lpstr>Formaldehyde!liquid</vt:lpstr>
      <vt:lpstr>'Naphthalene '!liquid</vt:lpstr>
      <vt:lpstr>Ozone!liquid</vt:lpstr>
      <vt:lpstr>Styrene!liquid</vt:lpstr>
      <vt:lpstr>Toluene!liquid</vt:lpstr>
      <vt:lpstr>'Xylenes-total'!liquid</vt:lpstr>
      <vt:lpstr>liquid</vt:lpstr>
      <vt:lpstr>meterName</vt:lpstr>
      <vt:lpstr>MeterTypes</vt:lpstr>
      <vt:lpstr>Acetaldehyde!myCategoryH</vt:lpstr>
      <vt:lpstr>'Atmospheric Particulate Matter'!myCategoryH</vt:lpstr>
      <vt:lpstr>Benzene!myCategoryH</vt:lpstr>
      <vt:lpstr>'Carbon Monoxide'!myCategoryH</vt:lpstr>
      <vt:lpstr>Dichlorobenzene!myCategoryH</vt:lpstr>
      <vt:lpstr>Formaldehyde!myCategoryH</vt:lpstr>
      <vt:lpstr>'Naphthalene '!myCategoryH</vt:lpstr>
      <vt:lpstr>Ozone!myCategoryH</vt:lpstr>
      <vt:lpstr>Styrene!myCategoryH</vt:lpstr>
      <vt:lpstr>Toluene!myCategoryH</vt:lpstr>
      <vt:lpstr>'Xylenes-total'!myCategoryH</vt:lpstr>
      <vt:lpstr>myCategoryH</vt:lpstr>
      <vt:lpstr>Acetaldehyde!myTableH</vt:lpstr>
      <vt:lpstr>'Atmospheric Particulate Matter'!myTableH</vt:lpstr>
      <vt:lpstr>Benzene!myTableH</vt:lpstr>
      <vt:lpstr>'Carbon Monoxide'!myTableH</vt:lpstr>
      <vt:lpstr>Dichlorobenzene!myTableH</vt:lpstr>
      <vt:lpstr>Formaldehyde!myTableH</vt:lpstr>
      <vt:lpstr>'Naphthalene '!myTableH</vt:lpstr>
      <vt:lpstr>Ozone!myTableH</vt:lpstr>
      <vt:lpstr>Styrene!myTableH</vt:lpstr>
      <vt:lpstr>Toluene!myTableH</vt:lpstr>
      <vt:lpstr>'Xylenes-total'!myTableH</vt:lpstr>
      <vt:lpstr>myTableH</vt:lpstr>
      <vt:lpstr>Acetaldehyde!newMet</vt:lpstr>
      <vt:lpstr>'Atmospheric Particulate Matter'!newMet</vt:lpstr>
      <vt:lpstr>Benzene!newMet</vt:lpstr>
      <vt:lpstr>'Carbon Monoxide'!newMet</vt:lpstr>
      <vt:lpstr>Dichlorobenzene!newMet</vt:lpstr>
      <vt:lpstr>Formaldehyde!newMet</vt:lpstr>
      <vt:lpstr>'Naphthalene '!newMet</vt:lpstr>
      <vt:lpstr>Ozone!newMet</vt:lpstr>
      <vt:lpstr>Styrene!newMet</vt:lpstr>
      <vt:lpstr>Toluene!newMet</vt:lpstr>
      <vt:lpstr>'Xylenes-total'!newMet</vt:lpstr>
      <vt:lpstr>newMet</vt:lpstr>
      <vt:lpstr>Acetaldehyde!newWaUnit</vt:lpstr>
      <vt:lpstr>'Atmospheric Particulate Matter'!newWaUnit</vt:lpstr>
      <vt:lpstr>Benzene!newWaUnit</vt:lpstr>
      <vt:lpstr>'Carbon Monoxide'!newWaUnit</vt:lpstr>
      <vt:lpstr>Dichlorobenzene!newWaUnit</vt:lpstr>
      <vt:lpstr>Formaldehyde!newWaUnit</vt:lpstr>
      <vt:lpstr>'Naphthalene '!newWaUnit</vt:lpstr>
      <vt:lpstr>Ozone!newWaUnit</vt:lpstr>
      <vt:lpstr>Styrene!newWaUnit</vt:lpstr>
      <vt:lpstr>Toluene!newWaUnit</vt:lpstr>
      <vt:lpstr>'Xylenes-total'!newWaUnit</vt:lpstr>
      <vt:lpstr>newWaUnit</vt:lpstr>
      <vt:lpstr>Acetaldehyde!Other_Fuels_Drp</vt:lpstr>
      <vt:lpstr>'Atmospheric Particulate Matter'!Other_Fuels_Drp</vt:lpstr>
      <vt:lpstr>Benzene!Other_Fuels_Drp</vt:lpstr>
      <vt:lpstr>'Carbon Monoxide'!Other_Fuels_Drp</vt:lpstr>
      <vt:lpstr>Dichlorobenzene!Other_Fuels_Drp</vt:lpstr>
      <vt:lpstr>Formaldehyde!Other_Fuels_Drp</vt:lpstr>
      <vt:lpstr>'Naphthalene '!Other_Fuels_Drp</vt:lpstr>
      <vt:lpstr>Ozone!Other_Fuels_Drp</vt:lpstr>
      <vt:lpstr>Styrene!Other_Fuels_Drp</vt:lpstr>
      <vt:lpstr>Toluene!Other_Fuels_Drp</vt:lpstr>
      <vt:lpstr>'Xylenes-total'!Other_Fuels_Drp</vt:lpstr>
      <vt:lpstr>Other_Fuels_Drp</vt:lpstr>
      <vt:lpstr>Acetaldehyde!Propane</vt:lpstr>
      <vt:lpstr>'Atmospheric Particulate Matter'!Propane</vt:lpstr>
      <vt:lpstr>Benzene!Propane</vt:lpstr>
      <vt:lpstr>'Carbon Monoxide'!Propane</vt:lpstr>
      <vt:lpstr>Dichlorobenzene!Propane</vt:lpstr>
      <vt:lpstr>Formaldehyde!Propane</vt:lpstr>
      <vt:lpstr>'Naphthalene '!Propane</vt:lpstr>
      <vt:lpstr>Ozone!Propane</vt:lpstr>
      <vt:lpstr>Styrene!Propane</vt:lpstr>
      <vt:lpstr>Toluene!Propane</vt:lpstr>
      <vt:lpstr>'Xylenes-total'!Propane</vt:lpstr>
      <vt:lpstr>Propane</vt:lpstr>
      <vt:lpstr>Acetaldehyde!propanes</vt:lpstr>
      <vt:lpstr>'Atmospheric Particulate Matter'!propanes</vt:lpstr>
      <vt:lpstr>Benzene!propanes</vt:lpstr>
      <vt:lpstr>'Carbon Monoxide'!propanes</vt:lpstr>
      <vt:lpstr>Dichlorobenzene!propanes</vt:lpstr>
      <vt:lpstr>Formaldehyde!propanes</vt:lpstr>
      <vt:lpstr>'Naphthalene '!propanes</vt:lpstr>
      <vt:lpstr>Ozone!propanes</vt:lpstr>
      <vt:lpstr>Styrene!propanes</vt:lpstr>
      <vt:lpstr>Toluene!propanes</vt:lpstr>
      <vt:lpstr>'Xylenes-total'!propanes</vt:lpstr>
      <vt:lpstr>propanes</vt:lpstr>
      <vt:lpstr>Acetaldehyde!prounit</vt:lpstr>
      <vt:lpstr>'Atmospheric Particulate Matter'!prounit</vt:lpstr>
      <vt:lpstr>Benzene!prounit</vt:lpstr>
      <vt:lpstr>'Carbon Monoxide'!prounit</vt:lpstr>
      <vt:lpstr>Dichlorobenzene!prounit</vt:lpstr>
      <vt:lpstr>Formaldehyde!prounit</vt:lpstr>
      <vt:lpstr>'Naphthalene '!prounit</vt:lpstr>
      <vt:lpstr>Ozone!prounit</vt:lpstr>
      <vt:lpstr>Styrene!prounit</vt:lpstr>
      <vt:lpstr>Toluene!prounit</vt:lpstr>
      <vt:lpstr>'Xylenes-total'!prounit</vt:lpstr>
      <vt:lpstr>prounit</vt:lpstr>
      <vt:lpstr>RangeCount</vt:lpstr>
      <vt:lpstr>RangeCountVOC</vt:lpstr>
      <vt:lpstr>Acetaldehyde!ReadingTable</vt:lpstr>
      <vt:lpstr>'Atmospheric Particulate Matter'!ReadingTable</vt:lpstr>
      <vt:lpstr>Benzene!ReadingTable</vt:lpstr>
      <vt:lpstr>'Carbon Monoxide'!ReadingTable</vt:lpstr>
      <vt:lpstr>Dichlorobenzene!ReadingTable</vt:lpstr>
      <vt:lpstr>Formaldehyde!ReadingTable</vt:lpstr>
      <vt:lpstr>'Naphthalene '!ReadingTable</vt:lpstr>
      <vt:lpstr>Ozone!ReadingTable</vt:lpstr>
      <vt:lpstr>Styrene!ReadingTable</vt:lpstr>
      <vt:lpstr>Toluene!ReadingTable</vt:lpstr>
      <vt:lpstr>'Xylenes-total'!ReadingTable</vt:lpstr>
      <vt:lpstr>ReadingTable</vt:lpstr>
      <vt:lpstr>Acetaldehyde!ReadingTableVOC</vt:lpstr>
      <vt:lpstr>'Atmospheric Particulate Matter'!ReadingTableVOC</vt:lpstr>
      <vt:lpstr>Benzene!ReadingTableVOC</vt:lpstr>
      <vt:lpstr>'Carbon Monoxide'!ReadingTableVOC</vt:lpstr>
      <vt:lpstr>Dichlorobenzene!ReadingTableVOC</vt:lpstr>
      <vt:lpstr>Formaldehyde!ReadingTableVOC</vt:lpstr>
      <vt:lpstr>'Naphthalene '!ReadingTableVOC</vt:lpstr>
      <vt:lpstr>Ozone!ReadingTableVOC</vt:lpstr>
      <vt:lpstr>Styrene!ReadingTableVOC</vt:lpstr>
      <vt:lpstr>Toluene!ReadingTableVOC</vt:lpstr>
      <vt:lpstr>'Xylenes-total'!ReadingTableVOC</vt:lpstr>
      <vt:lpstr>ReadingTableVOC</vt:lpstr>
      <vt:lpstr>Acetaldehyde!spacetype</vt:lpstr>
      <vt:lpstr>'Atmospheric Particulate Matter'!spacetype</vt:lpstr>
      <vt:lpstr>Benzene!spacetype</vt:lpstr>
      <vt:lpstr>'Carbon Monoxide'!spacetype</vt:lpstr>
      <vt:lpstr>Dichlorobenzene!spacetype</vt:lpstr>
      <vt:lpstr>Formaldehyde!spacetype</vt:lpstr>
      <vt:lpstr>'Naphthalene '!spacetype</vt:lpstr>
      <vt:lpstr>Ozone!spacetype</vt:lpstr>
      <vt:lpstr>Styrene!spacetype</vt:lpstr>
      <vt:lpstr>Toluene!spacetype</vt:lpstr>
      <vt:lpstr>'Xylenes-total'!spacetype</vt:lpstr>
      <vt:lpstr>spacetype</vt:lpstr>
      <vt:lpstr>sumAnchor</vt:lpstr>
      <vt:lpstr>sumAnchorVOC</vt:lpstr>
      <vt:lpstr>sumDate</vt:lpstr>
      <vt:lpstr>sumDateVOC</vt:lpstr>
      <vt:lpstr>UniqueDate</vt:lpstr>
      <vt:lpstr>UniqueDateVOC</vt:lpstr>
      <vt:lpstr>UniqueLoc</vt:lpstr>
      <vt:lpstr>UniqueLocVOC</vt:lpstr>
      <vt:lpstr>Units</vt:lpstr>
      <vt:lpstr>UserFormat</vt:lpstr>
      <vt:lpstr>validUnits</vt:lpstr>
      <vt:lpstr>'AnalyticsWater meter via upload'!water_meter_type</vt:lpstr>
      <vt:lpstr>water_meter_type</vt:lpstr>
      <vt:lpstr>'AnalyticsWater meter via upload'!water_type</vt:lpstr>
      <vt:lpstr>water_type</vt:lpstr>
      <vt:lpstr>'AnalyticsWater meter via upload'!water_units</vt:lpstr>
      <vt:lpstr>water_units</vt:lpstr>
      <vt:lpstr>Acetaldehyde!WaterDrp</vt:lpstr>
      <vt:lpstr>'AnalyticsWater meter via upload'!WaterDrp</vt:lpstr>
      <vt:lpstr>'Atmospheric Particulate Matter'!WaterDrp</vt:lpstr>
      <vt:lpstr>Benzene!WaterDrp</vt:lpstr>
      <vt:lpstr>'Carbon Monoxide'!WaterDrp</vt:lpstr>
      <vt:lpstr>Dichlorobenzene!WaterDrp</vt:lpstr>
      <vt:lpstr>Formaldehyde!WaterDrp</vt:lpstr>
      <vt:lpstr>'Naphthalene '!WaterDrp</vt:lpstr>
      <vt:lpstr>Ozone!WaterDrp</vt:lpstr>
      <vt:lpstr>Styrene!WaterDrp</vt:lpstr>
      <vt:lpstr>Toluene!WaterDrp</vt:lpstr>
      <vt:lpstr>'Xylenes-total'!WaterDrp</vt:lpstr>
      <vt:lpstr>WaterDrp</vt:lpstr>
      <vt:lpstr>'AnalyticsWater meter via upload'!waterType</vt:lpstr>
      <vt:lpstr>waterType</vt:lpstr>
      <vt:lpstr>'AnalyticsWater meter via upload'!waterUnits</vt:lpstr>
      <vt:lpstr>waterUnits</vt:lpstr>
      <vt:lpstr>'AnalyticsWater meter via upload'!watUn</vt:lpstr>
      <vt:lpstr>watUn</vt:lpstr>
      <vt:lpstr>Acetaldehyde!watUni</vt:lpstr>
      <vt:lpstr>'AnalyticsWater meter via upload'!watUni</vt:lpstr>
      <vt:lpstr>'Atmospheric Particulate Matter'!watUni</vt:lpstr>
      <vt:lpstr>Benzene!watUni</vt:lpstr>
      <vt:lpstr>'Carbon Monoxide'!watUni</vt:lpstr>
      <vt:lpstr>Dichlorobenzene!watUni</vt:lpstr>
      <vt:lpstr>Formaldehyde!watUni</vt:lpstr>
      <vt:lpstr>'Naphthalene '!watUni</vt:lpstr>
      <vt:lpstr>Ozone!watUni</vt:lpstr>
      <vt:lpstr>Styrene!watUni</vt:lpstr>
      <vt:lpstr>Toluene!watUni</vt:lpstr>
      <vt:lpstr>'Xylenes-total'!watUni</vt:lpstr>
      <vt:lpstr>watUni</vt:lpstr>
      <vt:lpstr>waUn</vt:lpstr>
      <vt:lpstr>waunit</vt:lpstr>
      <vt:lpstr>Acetaldehyde!Wood</vt:lpstr>
      <vt:lpstr>'Atmospheric Particulate Matter'!Wood</vt:lpstr>
      <vt:lpstr>Benzene!Wood</vt:lpstr>
      <vt:lpstr>'Carbon Monoxide'!Wood</vt:lpstr>
      <vt:lpstr>Dichlorobenzene!Wood</vt:lpstr>
      <vt:lpstr>Formaldehyde!Wood</vt:lpstr>
      <vt:lpstr>'Naphthalene '!Wood</vt:lpstr>
      <vt:lpstr>Ozone!Wood</vt:lpstr>
      <vt:lpstr>Styrene!Wood</vt:lpstr>
      <vt:lpstr>Toluene!Wood</vt:lpstr>
      <vt:lpstr>'Xylenes-total'!Wood</vt:lpstr>
      <vt:lpstr>Wood</vt:lpstr>
      <vt:lpstr>Acetaldehyde!woods</vt:lpstr>
      <vt:lpstr>'Atmospheric Particulate Matter'!woods</vt:lpstr>
      <vt:lpstr>Benzene!woods</vt:lpstr>
      <vt:lpstr>'Carbon Monoxide'!woods</vt:lpstr>
      <vt:lpstr>Dichlorobenzene!woods</vt:lpstr>
      <vt:lpstr>Formaldehyde!woods</vt:lpstr>
      <vt:lpstr>'Naphthalene '!woods</vt:lpstr>
      <vt:lpstr>Ozone!woods</vt:lpstr>
      <vt:lpstr>Styrene!woods</vt:lpstr>
      <vt:lpstr>Toluene!woods</vt:lpstr>
      <vt:lpstr>'Xylenes-total'!woods</vt:lpstr>
      <vt:lpstr>woods</vt:lpstr>
      <vt:lpstr>Acetaldehyde!woodunit</vt:lpstr>
      <vt:lpstr>'Atmospheric Particulate Matter'!woodunit</vt:lpstr>
      <vt:lpstr>Benzene!woodunit</vt:lpstr>
      <vt:lpstr>'Carbon Monoxide'!woodunit</vt:lpstr>
      <vt:lpstr>Dichlorobenzene!woodunit</vt:lpstr>
      <vt:lpstr>Formaldehyde!woodunit</vt:lpstr>
      <vt:lpstr>'Naphthalene '!woodunit</vt:lpstr>
      <vt:lpstr>Ozone!woodunit</vt:lpstr>
      <vt:lpstr>Styrene!woodunit</vt:lpstr>
      <vt:lpstr>Toluene!woodunit</vt:lpstr>
      <vt:lpstr>'Xylenes-total'!woodunit</vt:lpstr>
      <vt:lpstr>woodunit</vt:lpstr>
      <vt:lpstr>'AnalyticsWater meter via upload'!zep</vt:lpstr>
      <vt:lpstr>zep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Abhishek Kumar</cp:lastModifiedBy>
  <cp:lastPrinted>2017-09-22T06:24:12Z</cp:lastPrinted>
  <dcterms:created xsi:type="dcterms:W3CDTF">2014-11-12T06:32:08Z</dcterms:created>
  <dcterms:modified xsi:type="dcterms:W3CDTF">2019-07-15T06:00:23Z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3f9d12aa-b1b3-469b-9b64-a2b86c545596</vt:lpwstr>
  </property>
</Properties>
</file>