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FD6289E7-D8C6-4E48-9E61-98E8FD145A6E}" xr6:coauthVersionLast="43" xr6:coauthVersionMax="43" xr10:uidLastSave="{00000000-0000-0000-0000-000000000000}"/>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AnalyticsEnergy Meter via up..." sheetId="30" r:id="rId11"/>
    <sheet name="Analytics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Readings'!$A$19:$E$19</definedName>
    <definedName name="DataCopyVOC">'TVOC Readings'!$A$17:$E$17</definedName>
    <definedName name="Dates" localSheetId="15">'CO2 Readings'!$15:$15</definedName>
    <definedName name="Dates" localSheetId="14">'CO2 Readings'!$15:$15</definedName>
    <definedName name="Dates" localSheetId="16">'CO2 Readings'!$15:$15</definedName>
    <definedName name="Dates" localSheetId="12">'CO2 Readings'!$15:$15</definedName>
    <definedName name="Dates" localSheetId="20">'CO2 Readings'!$15:$15</definedName>
    <definedName name="Dates" localSheetId="22">'CO2 Readings'!$15:$15</definedName>
    <definedName name="Dates" localSheetId="19">'CO2 Readings'!$15:$15</definedName>
    <definedName name="Dates" localSheetId="13">'CO2 Readings'!$15:$15</definedName>
    <definedName name="Dates" localSheetId="17">'CO2 Readings'!$15:$15</definedName>
    <definedName name="Dates" localSheetId="18">'CO2 Readings'!$15:$15</definedName>
    <definedName name="Dates" localSheetId="21">'CO2 Readings'!$15:$15</definedName>
    <definedName name="Dates">'CO2 Readings'!$15:$15</definedName>
    <definedName name="DatesVOC" localSheetId="15">'TVOC Readings'!$13:$13</definedName>
    <definedName name="DatesVOC" localSheetId="14">'TVOC Readings'!$13:$13</definedName>
    <definedName name="DatesVOC" localSheetId="16">'TVOC Readings'!$13:$13</definedName>
    <definedName name="DatesVOC" localSheetId="12">'TVOC Readings'!$13:$13</definedName>
    <definedName name="DatesVOC" localSheetId="20">'TVOC Readings'!$13:$13</definedName>
    <definedName name="DatesVOC" localSheetId="22">'TVOC Readings'!$13:$13</definedName>
    <definedName name="DatesVOC" localSheetId="19">'TVOC Readings'!$13:$13</definedName>
    <definedName name="DatesVOC" localSheetId="13">'TVOC Readings'!$13:$13</definedName>
    <definedName name="DatesVOC" localSheetId="17">'TVOC Readings'!$13:$13</definedName>
    <definedName name="DatesVOC" localSheetId="18">'TVOC Readings'!$13:$13</definedName>
    <definedName name="DatesVOC" localSheetId="21">'TVOC Readings'!$13:$13</definedName>
    <definedName name="DatesVOC">'TVOC Readings'!$13:$13</definedName>
    <definedName name="DelRwNmEnd">'CO2 Reading for Upload'!$A$11:$E$11</definedName>
    <definedName name="DelRwNmEndVOC">'TVOC Reading for Upload'!$A$10:$E$10</definedName>
    <definedName name="DelRwNmStart">'CO2 Reading for Upload'!$A$6:$E$6</definedName>
    <definedName name="DelRwNmStartVOC">'TVOC Reading for Upload'!$A$6:$E$6</definedName>
    <definedName name="elecName" localSheetId="15">base_e!$G$15:$G$19</definedName>
    <definedName name="elecName" localSheetId="10">'AnalyticsEnergy Meter via up...'!$G$15:$G$19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0">'AnalyticsEnergy Meter via up...'!$J$9:$J$10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0">base_f!#REF!</definedName>
    <definedName name="fuelname" localSheetId="11">base_f!#REF!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0">OFFSET(myItemList,0,0,1,COUNTA(myItemList))</definedName>
    <definedName name="myitem" localSheetId="11">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Stream'!$I$12:$I$14</definedName>
    <definedName name="newWaUnit" localSheetId="14">'Waste Stream'!$I$12:$I$14</definedName>
    <definedName name="newWaUnit" localSheetId="16">'Waste Stream'!$I$12:$I$14</definedName>
    <definedName name="newWaUnit" localSheetId="12">'Waste Stream'!$I$12:$I$14</definedName>
    <definedName name="newWaUnit" localSheetId="20">'Waste Stream'!$I$12:$I$14</definedName>
    <definedName name="newWaUnit" localSheetId="22">'Waste Stream'!$I$12:$I$14</definedName>
    <definedName name="newWaUnit" localSheetId="19">'Waste Stream'!$I$12:$I$14</definedName>
    <definedName name="newWaUnit" localSheetId="13">'Waste Stream'!$I$12:$I$14</definedName>
    <definedName name="newWaUnit" localSheetId="17">'Waste Stream'!$I$12:$I$14</definedName>
    <definedName name="newWaUnit" localSheetId="18">'Waste Stream'!$I$12:$I$14</definedName>
    <definedName name="newWaUnit" localSheetId="21">'Waste Stream'!$I$12:$I$14</definedName>
    <definedName name="newWaUnit">'Waste Stream'!$I$12:$I$14</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1">COUNTIF('AnalyticsWater meter via upload'!$B:$B,'AnalyticsWater meter via upload'!A1)=1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Upload'!$B$6:$B$11</definedName>
    <definedName name="RangeCountVOC">'TVOC Reading for Upload'!$B$6:$B$10</definedName>
    <definedName name="ReadingTable" localSheetId="15">'CO2 Readings'!$15:$16</definedName>
    <definedName name="ReadingTable" localSheetId="14">'CO2 Readings'!$15:$16</definedName>
    <definedName name="ReadingTable" localSheetId="16">'CO2 Readings'!$15:$16</definedName>
    <definedName name="ReadingTable" localSheetId="12">'CO2 Readings'!$15:$16</definedName>
    <definedName name="ReadingTable" localSheetId="20">'CO2 Readings'!$15:$16</definedName>
    <definedName name="ReadingTable" localSheetId="22">'CO2 Readings'!$15:$16</definedName>
    <definedName name="ReadingTable" localSheetId="19">'CO2 Readings'!$15:$16</definedName>
    <definedName name="ReadingTable" localSheetId="13">'CO2 Readings'!$15:$16</definedName>
    <definedName name="ReadingTable" localSheetId="17">'CO2 Readings'!$15:$16</definedName>
    <definedName name="ReadingTable" localSheetId="18">'CO2 Readings'!$15:$16</definedName>
    <definedName name="ReadingTable" localSheetId="21">'CO2 Readings'!$15:$16</definedName>
    <definedName name="ReadingTable">'CO2 Readings'!$15:$16</definedName>
    <definedName name="ReadingTableVOC" localSheetId="15">'TVOC Readings'!$13:$14</definedName>
    <definedName name="ReadingTableVOC" localSheetId="14">'TVOC Readings'!$13:$14</definedName>
    <definedName name="ReadingTableVOC" localSheetId="16">'TVOC Readings'!$13:$14</definedName>
    <definedName name="ReadingTableVOC" localSheetId="12">'TVOC Readings'!$13:$14</definedName>
    <definedName name="ReadingTableVOC" localSheetId="20">'TVOC Readings'!$13:$14</definedName>
    <definedName name="ReadingTableVOC" localSheetId="22">'TVOC Readings'!$13:$14</definedName>
    <definedName name="ReadingTableVOC" localSheetId="19">'TVOC Readings'!$13:$14</definedName>
    <definedName name="ReadingTableVOC" localSheetId="13">'TVOC Readings'!$13:$14</definedName>
    <definedName name="ReadingTableVOC" localSheetId="17">'TVOC Readings'!$13:$14</definedName>
    <definedName name="ReadingTableVOC" localSheetId="18">'TVOC Readings'!$13:$14</definedName>
    <definedName name="ReadingTableVOC" localSheetId="21">'TVOC Readings'!$13:$14</definedName>
    <definedName name="ReadingTableVOC">'TVOC Readings'!$13:$14</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Readings'!$F$7:$F$16</definedName>
    <definedName name="sumAnchorVOC">'TVOC Readings'!$G$6:$G$14</definedName>
    <definedName name="sumDate">'CO2 Readings'!$G$7:$G$16</definedName>
    <definedName name="sumDateVOC">'TVOC Readings'!$H$6:$H$14</definedName>
    <definedName name="UniqueDate">'CO2 Readings'!$B$22</definedName>
    <definedName name="UniqueDateVOC">'TVOC Readings'!$B$20</definedName>
    <definedName name="UniqueLoc">'CO2 Readings'!$C$22</definedName>
    <definedName name="UniqueLocVOC">'TVOC Readings'!$C$20</definedName>
    <definedName name="Units">Instructions!$M$6:$M$7</definedName>
    <definedName name="UserFormat">'CO2 Readings'!$A$25:$E$25</definedName>
    <definedName name="validUnits">Instructions!$L$323:$L$341</definedName>
    <definedName name="water_meter_type" localSheetId="11">'AnalyticsWater meter via upload'!$H$27:$I$39</definedName>
    <definedName name="water_meter_type">base_w!$H$27:$I$39</definedName>
    <definedName name="water_type" localSheetId="11">'AnalyticsWater meter via upload'!$H$27:$I$39</definedName>
    <definedName name="water_type">base_w!$H$27:$I$39</definedName>
    <definedName name="water_units" localSheetId="11">'AnalyticsWater meter via upload'!$H$15:$H$23</definedName>
    <definedName name="water_units">base_w!$H$15:$H$23</definedName>
    <definedName name="WaterDrp" localSheetId="15">base_w!$I$9:$I$11</definedName>
    <definedName name="WaterDrp" localSheetId="11">'AnalyticsWater meter via upload'!$I$9:$I$11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21">base_w!$I$9:$I$11</definedName>
    <definedName name="WaterDrp">base_w!$I$9:$I$11</definedName>
    <definedName name="waterType" localSheetId="11">'AnalyticsWater meter via upload'!$H$27:$H$39</definedName>
    <definedName name="waterType">base_w!$H$27:$H$39</definedName>
    <definedName name="waterUnits" localSheetId="11">'AnalyticsWater meter via upload'!$J$10:$J$14</definedName>
    <definedName name="waterUnits">base_w!$J$10:$J$14</definedName>
    <definedName name="watUn" localSheetId="11">'AnalyticsWater meter via upload'!$H$15:$H$23</definedName>
    <definedName name="watUn">base_w!$H$15:$H$23</definedName>
    <definedName name="watUni" localSheetId="15">base_w!$H$15:$H$29</definedName>
    <definedName name="watUni" localSheetId="11">'AnalyticsWater meter via upload'!$H$15:$H$29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21">base_w!$H$15:$H$29</definedName>
    <definedName name="watUni">base_w!$H$15:$H$29</definedName>
    <definedName name="waUn">'Waste Stream'!$I$12:$I$18</definedName>
    <definedName name="waunit">'Waste Stream'!$J$9:$J$11</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'AnalyticsWater meter via upload'!$J$8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1" l="1"/>
  <c r="B1" i="31"/>
  <c r="D1" i="31" s="1"/>
  <c r="D6" i="30"/>
  <c r="B1" i="30"/>
  <c r="D1" i="30" s="1"/>
  <c r="E7" i="13"/>
  <c r="B7" i="13" s="1"/>
  <c r="D7" i="13" s="1" a="1"/>
  <c r="D7" i="13" s="1"/>
  <c r="A7" i="13" s="1"/>
  <c r="E7" i="12"/>
  <c r="B7" i="12" s="1"/>
  <c r="H9" i="14" a="1"/>
  <c r="H9" i="14" s="1"/>
  <c r="C7" i="13" l="1"/>
  <c r="E8" i="12"/>
  <c r="B8" i="12" s="1"/>
  <c r="C8" i="12" s="1"/>
  <c r="D7" i="12"/>
  <c r="A7" i="12" s="1"/>
  <c r="C7" i="12"/>
  <c r="H15" i="14"/>
  <c r="H11" i="14" a="1"/>
  <c r="H11" i="14" s="1"/>
  <c r="H7" i="14"/>
  <c r="H12" i="14" a="1"/>
  <c r="H12" i="14" s="1"/>
  <c r="D8" i="12" l="1"/>
  <c r="A8" i="12" s="1"/>
  <c r="H16" i="14"/>
  <c r="J9" i="16"/>
  <c r="J10" i="16"/>
  <c r="J11" i="16"/>
  <c r="J12" i="16"/>
  <c r="J13" i="16"/>
  <c r="J14" i="16"/>
  <c r="J15" i="16"/>
  <c r="J16" i="16"/>
  <c r="J17" i="16"/>
  <c r="J18" i="16"/>
  <c r="I19" i="16"/>
  <c r="F19" i="16" l="1"/>
  <c r="D26" i="16" s="1"/>
  <c r="K8" i="16" l="1"/>
  <c r="J8" i="16" s="1"/>
  <c r="K9" i="16"/>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8" i="15" l="1" a="1"/>
  <c r="H8" i="15" s="1"/>
  <c r="G9" i="14" a="1"/>
  <c r="G9" i="14" s="1"/>
  <c r="E19" i="16" l="1"/>
  <c r="L17" i="16" l="1"/>
  <c r="L18" i="16"/>
  <c r="B10" i="15" l="1" a="1"/>
  <c r="B10" i="15" s="1"/>
  <c r="B11" i="14" a="1"/>
  <c r="B11" i="14" s="1"/>
  <c r="D24" i="16"/>
  <c r="B24" i="16"/>
  <c r="D6" i="16"/>
  <c r="D6" i="13"/>
  <c r="D6" i="12"/>
  <c r="E17" i="15"/>
  <c r="C20" i="15" a="1"/>
  <c r="C20" i="15" s="1"/>
  <c r="B20" i="15" a="1"/>
  <c r="B20" i="15" s="1"/>
  <c r="C22" i="14" a="1"/>
  <c r="C22" i="14" s="1"/>
  <c r="B22" i="14" a="1"/>
  <c r="B22" i="14" s="1"/>
  <c r="E19" i="14"/>
  <c r="B1" i="6"/>
  <c r="B1" i="8"/>
  <c r="B1" i="4"/>
  <c r="D6" i="8"/>
  <c r="D6" i="6"/>
  <c r="D6" i="4"/>
  <c r="E6" i="11"/>
  <c r="D6" i="11"/>
  <c r="B12" i="14" l="1" a="1"/>
  <c r="B12" i="14" s="1"/>
  <c r="A10" i="15"/>
  <c r="H10" i="15" a="1"/>
  <c r="H10" i="15" s="1"/>
  <c r="H6" i="15"/>
  <c r="H13" i="15"/>
  <c r="D1" i="8"/>
  <c r="D1" i="6"/>
  <c r="D1" i="4"/>
  <c r="J19" i="16"/>
  <c r="G7" i="14"/>
  <c r="G15" i="14"/>
  <c r="A11" i="14"/>
  <c r="G11" i="14" a="1"/>
  <c r="G11" i="14" s="1"/>
  <c r="D28" i="16" l="1"/>
  <c r="D27" i="16"/>
  <c r="B17" i="15"/>
  <c r="C17" i="15" s="1"/>
  <c r="G12" i="14" a="1"/>
  <c r="G12" i="14" s="1"/>
  <c r="A12" i="14"/>
  <c r="H14" i="15"/>
  <c r="B19" i="14"/>
  <c r="C19" i="14" s="1"/>
  <c r="D17" i="15" l="1" a="1"/>
  <c r="D17" i="15" s="1"/>
  <c r="A17" i="15" s="1"/>
  <c r="G16" i="14"/>
  <c r="D19" i="14" l="1"/>
  <c r="A1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<sst xmlns="http://schemas.openxmlformats.org/spreadsheetml/2006/main" count="3889" uniqueCount="755">
  <si>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</si>
  <si>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</si>
  <si>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</si>
  <si>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</si>
  <si>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</si>
  <si>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</si>
  <si>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</si>
  <si>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</si>
  <si>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</si>
  <si>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</si>
  <si>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</si>
  <si>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</si>
  <si>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</si>
  <si>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</si>
  <si>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</si>
  <si>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</si>
  <si>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</si>
  <si>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</si>
  <si>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</si>
  <si>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</si>
  <si>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</si>
  <si>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</si>
  <si>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</si>
  <si>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</si>
  <si>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</si>
  <si>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</si>
  <si>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</si>
  <si>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</si>
  <si>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</si>
  <si>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</si>
  <si>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</si>
  <si>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</si>
  <si>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</si>
  <si>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</si>
  <si>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</si>
  <si>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</si>
  <si>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</si>
  <si>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</si>
  <si>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</si>
  <si>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</si>
  <si>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</si>
  <si>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</si>
  <si>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</si>
  <si>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</si>
  <si>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</si>
  <si>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</si>
  <si>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</si>
  <si>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</si>
  <si>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</si>
  <si>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</si>
  <si>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</si>
  <si>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</si>
  <si>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</si>
  <si>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</si>
  <si>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</si>
  <si>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</si>
  <si>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</si>
  <si>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</si>
  <si>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</si>
  <si>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</si>
  <si>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</si>
  <si>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</si>
  <si>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</si>
  <si>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</si>
  <si>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</si>
  <si>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</si>
  <si>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</si>
  <si>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</si>
  <si>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</si>
  <si>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</si>
  <si>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</si>
  <si>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</si>
  <si>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</si>
  <si>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</si>
  <si>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</si>
  <si>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</si>
  <si>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</si>
  <si>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</si>
  <si>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</si>
  <si>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</si>
  <si>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</si>
  <si>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</si>
  <si>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</si>
  <si>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</si>
  <si>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</si>
  <si>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</si>
  <si>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</si>
  <si>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</si>
  <si>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</si>
  <si>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</si>
  <si>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</si>
  <si>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</si>
  <si>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</si>
  <si>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</si>
  <si>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</si>
  <si>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</si>
  <si>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</si>
  <si>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</si>
  <si>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</si>
  <si>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</si>
  <si>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</si>
  <si>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</si>
  <si>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</si>
  <si>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</si>
  <si>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</si>
  <si>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</si>
  <si>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</si>
  <si>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</si>
  <si>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</si>
  <si>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</si>
  <si>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</si>
  <si>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</si>
  <si>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</si>
  <si>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</si>
  <si>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</si>
  <si>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</si>
  <si>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</si>
  <si>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</si>
  <si>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</si>
  <si>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</si>
  <si>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</si>
  <si>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</si>
  <si>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</si>
  <si>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</si>
  <si>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</si>
  <si>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</si>
  <si>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</si>
  <si>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</si>
  <si>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</si>
  <si>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</si>
  <si>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</si>
  <si>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</si>
  <si>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</si>
  <si>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</si>
  <si>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</si>
  <si>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</si>
  <si>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</si>
  <si>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</si>
  <si>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</si>
  <si>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</si>
  <si>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</si>
  <si>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</si>
  <si>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</si>
  <si>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</si>
  <si>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</si>
  <si>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</si>
  <si>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</si>
  <si>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</si>
  <si>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</si>
  <si>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</si>
  <si>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</si>
  <si>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</si>
  <si>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</si>
  <si>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</si>
  <si>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</si>
  <si>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</si>
  <si>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</si>
  <si>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</si>
  <si>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</si>
  <si>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</si>
  <si>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</si>
  <si>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</si>
  <si>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</si>
  <si>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</si>
  <si>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</si>
  <si>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</si>
  <si>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</si>
  <si>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</si>
  <si>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</si>
  <si>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</si>
  <si>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</si>
  <si>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</si>
  <si>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</si>
  <si>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</si>
  <si>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</si>
  <si>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</si>
  <si>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</si>
  <si>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</si>
  <si>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</si>
  <si>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</si>
  <si>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</si>
  <si>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</si>
  <si>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</si>
  <si>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</si>
  <si>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</si>
  <si>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</si>
  <si>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</si>
  <si>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</si>
  <si>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</si>
  <si>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</si>
  <si>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</si>
  <si>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</si>
  <si>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</si>
  <si>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</si>
  <si>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</si>
  <si>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</si>
  <si>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</si>
  <si>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</si>
  <si>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</si>
  <si>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</si>
  <si>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</si>
  <si>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</si>
  <si>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</si>
  <si>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</si>
  <si>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</si>
  <si>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</si>
  <si>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</si>
  <si>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</si>
  <si>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</si>
  <si>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</si>
  <si>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</si>
  <si>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</si>
  <si>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</si>
  <si>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</si>
  <si>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</si>
  <si>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</si>
  <si>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</si>
  <si>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</si>
  <si>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</si>
  <si>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</si>
  <si>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</si>
  <si>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</si>
  <si>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</si>
  <si>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</si>
  <si>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</si>
  <si>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</si>
  <si>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</si>
  <si>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</si>
  <si>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</si>
  <si>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</si>
  <si>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</si>
  <si>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</si>
  <si>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</si>
  <si>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</si>
  <si>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</si>
  <si>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</si>
  <si>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</si>
  <si>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</si>
  <si>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</si>
  <si>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</si>
  <si>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</si>
  <si>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</si>
  <si>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</si>
  <si>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</si>
  <si>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</si>
  <si>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</si>
  <si>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</si>
  <si>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</si>
  <si>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</si>
  <si>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</si>
  <si>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</si>
  <si>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</si>
  <si>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</si>
  <si>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</si>
  <si>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</si>
  <si>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</si>
  <si>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</si>
  <si>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</si>
  <si>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</si>
  <si>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</si>
  <si>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</si>
  <si>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</si>
  <si>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</si>
  <si>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</si>
  <si>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</si>
  <si>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</si>
  <si>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</si>
  <si>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</si>
  <si>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</si>
  <si>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</si>
  <si>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</si>
  <si>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</si>
  <si>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</si>
  <si>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</si>
  <si>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</si>
  <si>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</si>
  <si>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</si>
  <si>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</si>
  <si>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</si>
  <si>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</si>
  <si>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</si>
  <si>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</si>
  <si>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</si>
  <si>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</si>
  <si>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</si>
  <si>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</si>
  <si>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</si>
  <si>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</si>
  <si>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</si>
  <si>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</si>
  <si>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</si>
  <si>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</si>
  <si>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</si>
  <si>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</si>
  <si>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</si>
  <si>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</si>
  <si>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</si>
  <si>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</si>
  <si>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</si>
  <si>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</si>
  <si>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</si>
  <si>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</si>
  <si>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</si>
  <si>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</si>
  <si>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</si>
  <si>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</si>
  <si>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</si>
  <si>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</si>
  <si>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</si>
  <si>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</si>
  <si>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</si>
  <si>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</si>
  <si>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</si>
  <si>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</si>
  <si>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</si>
  <si>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</si>
  <si>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</si>
  <si>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</si>
  <si>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</si>
  <si>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</si>
  <si>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</si>
  <si>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</si>
  <si>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</si>
  <si>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</si>
  <si>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</si>
  <si>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</si>
  <si>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</si>
  <si>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</si>
  <si>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</si>
  <si>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</si>
  <si>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</si>
  <si>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</si>
  <si>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</si>
  <si>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</si>
  <si>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</si>
  <si>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</si>
  <si>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</si>
  <si>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</si>
  <si>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</si>
  <si>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</si>
  <si>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</si>
  <si>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</si>
  <si>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</si>
  <si>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</si>
  <si>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</si>
  <si>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</si>
  <si>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</si>
  <si>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</si>
  <si>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</si>
  <si>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</si>
  <si>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</si>
  <si>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</si>
  <si>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</si>
  <si>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</si>
  <si>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</si>
  <si>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</si>
  <si>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</si>
  <si>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</si>
  <si>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</si>
  <si>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</si>
  <si>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</si>
  <si>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</si>
  <si>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</si>
  <si>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</si>
  <si>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</si>
  <si>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</si>
  <si>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</si>
  <si>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</si>
  <si>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</si>
  <si>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</si>
  <si>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</si>
  <si>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</si>
  <si>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</si>
  <si>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</si>
  <si>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</si>
  <si>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</si>
  <si>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</si>
  <si>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</si>
  <si>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</si>
  <si>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</si>
  <si>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</si>
  <si>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</si>
  <si>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</si>
  <si>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</si>
  <si>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</si>
  <si>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</si>
  <si>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</si>
  <si>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</si>
  <si>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</si>
  <si>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</si>
  <si>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</si>
  <si>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</si>
  <si>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</si>
  <si>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</si>
  <si>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</si>
  <si>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</si>
  <si>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</si>
  <si>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</si>
  <si>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</si>
  <si>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</si>
  <si>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</si>
  <si>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</si>
  <si>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</si>
  <si>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</si>
  <si>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</si>
  <si>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</si>
  <si>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</si>
  <si>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</si>
  <si>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</si>
  <si>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</si>
  <si>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</si>
  <si>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</si>
  <si>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</si>
  <si>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</si>
  <si>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</si>
  <si>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</si>
  <si>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</si>
  <si>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</si>
  <si>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</si>
  <si>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</si>
  <si>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</si>
  <si>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</si>
  <si>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</si>
  <si>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</si>
  <si>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</si>
  <si>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</si>
  <si>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</si>
  <si>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</si>
  <si>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</si>
  <si>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</si>
  <si>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</si>
  <si>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</si>
  <si>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</si>
  <si>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</si>
  <si>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</si>
  <si>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</si>
  <si>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</si>
  <si>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</si>
  <si>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</si>
  <si>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</si>
  <si>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</si>
  <si>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</si>
  <si>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</si>
  <si>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</si>
  <si>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</si>
  <si>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</si>
  <si>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</si>
  <si>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</si>
  <si>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</si>
  <si>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</si>
  <si>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</si>
  <si>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</si>
  <si>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</si>
  <si>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</si>
  <si>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</si>
  <si>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</si>
  <si>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</si>
  <si>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</si>
  <si>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</si>
  <si>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</si>
  <si>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</si>
  <si>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</si>
  <si>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</si>
  <si>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</si>
  <si>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</si>
  <si>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</si>
  <si>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</si>
  <si>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</si>
  <si>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</si>
  <si>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</si>
  <si>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</si>
  <si>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</si>
  <si>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</si>
  <si>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</si>
  <si>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</si>
  <si>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</si>
  <si>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</si>
  <si>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</si>
  <si>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</si>
  <si>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</si>
  <si>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</si>
  <si>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</si>
  <si>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</si>
  <si>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</si>
  <si>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</si>
  <si>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</si>
  <si>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</si>
  <si>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</si>
  <si>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</si>
  <si>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</si>
  <si>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</si>
  <si>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</si>
  <si>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</si>
  <si>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</si>
  <si>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</si>
  <si>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</si>
  <si>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</si>
  <si>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</si>
  <si>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</si>
  <si>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</si>
  <si>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</si>
  <si>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</si>
  <si>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</si>
  <si>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</si>
  <si>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</si>
  <si>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</si>
  <si>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</si>
  <si>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</si>
  <si>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</si>
  <si>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</si>
  <si>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</si>
  <si>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</si>
  <si>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</si>
  <si>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</si>
  <si>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</si>
  <si>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</si>
  <si>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</si>
  <si>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</si>
  <si>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</si>
  <si>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</si>
  <si>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</si>
  <si>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</si>
  <si>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</si>
  <si>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</si>
  <si>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</si>
  <si>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</si>
  <si>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</si>
  <si>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</si>
  <si>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</si>
  <si>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</si>
  <si>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</si>
  <si>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</si>
  <si>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</si>
  <si>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</si>
  <si>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</si>
  <si>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</si>
  <si>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</si>
  <si>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</si>
  <si>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</si>
  <si>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</si>
  <si>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</si>
  <si>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</si>
  <si>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</si>
  <si>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</si>
  <si>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</si>
  <si>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</si>
  <si>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</si>
  <si>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</si>
  <si>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</si>
  <si>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</si>
  <si>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</si>
  <si>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</si>
  <si>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</si>
  <si>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</si>
  <si>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</si>
  <si>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</si>
  <si>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</si>
  <si>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</si>
  <si>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</si>
  <si>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</si>
  <si>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</si>
  <si>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</si>
  <si>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</si>
  <si>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</si>
  <si>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</si>
  <si>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</si>
  <si>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</si>
  <si>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</si>
  <si>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</si>
  <si>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</si>
  <si>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</si>
  <si>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</si>
  <si>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</si>
  <si>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</si>
  <si>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</si>
  <si>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</si>
  <si>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</si>
  <si>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</si>
  <si>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</si>
  <si>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</si>
  <si>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</si>
  <si>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</si>
  <si>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</si>
  <si>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</si>
  <si>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</si>
  <si>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</si>
  <si>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</si>
  <si>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</si>
  <si>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</si>
  <si>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</si>
  <si>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</si>
  <si>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</si>
  <si>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</si>
  <si>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</si>
  <si>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</si>
  <si>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</si>
  <si>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</si>
  <si>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</si>
  <si>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</si>
  <si>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</si>
  <si>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</si>
  <si>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</si>
  <si>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</si>
  <si>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</si>
  <si>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</si>
  <si>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</si>
  <si>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</si>
  <si>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</si>
  <si>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</si>
  <si>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</si>
  <si>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</si>
  <si>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</si>
  <si>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</si>
  <si>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</si>
  <si>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</si>
  <si>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</si>
  <si>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</si>
  <si>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</si>
  <si>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</si>
  <si>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</si>
  <si>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</si>
  <si>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</si>
  <si>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</si>
  <si>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</si>
  <si>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</si>
  <si>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</si>
  <si>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</si>
  <si>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</si>
  <si>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</si>
  <si>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</si>
  <si>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</si>
  <si>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</si>
  <si>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</si>
  <si>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</si>
  <si>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</si>
  <si>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</si>
  <si>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</si>
  <si>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</si>
  <si>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</si>
  <si>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</si>
  <si>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</si>
  <si>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</si>
  <si>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</si>
  <si>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</si>
  <si>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</si>
  <si>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</si>
  <si>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</si>
  <si>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</si>
  <si>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</si>
  <si>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</si>
  <si>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</si>
  <si>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</si>
  <si>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</si>
  <si>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</si>
  <si>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</si>
  <si>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</si>
  <si>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</si>
  <si>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</si>
  <si>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</si>
  <si>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</si>
  <si>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</si>
  <si>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</si>
  <si>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</si>
  <si>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</si>
  <si>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</si>
  <si>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</si>
  <si>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</si>
  <si>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</si>
  <si>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</si>
  <si>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</si>
  <si>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</si>
  <si>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</si>
  <si>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</si>
  <si>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</si>
  <si>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</si>
  <si>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</si>
  <si>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</si>
  <si>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</si>
  <si>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</si>
  <si>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</si>
  <si>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</si>
  <si>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</si>
  <si>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</si>
  <si>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</si>
  <si>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</si>
  <si>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</si>
  <si>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</si>
  <si>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</si>
  <si>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</si>
  <si>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</si>
  <si>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</si>
  <si>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</si>
  <si>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</si>
  <si>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</si>
  <si>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</si>
  <si>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</si>
  <si>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</si>
  <si>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</si>
  <si>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</si>
  <si>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</si>
  <si>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</si>
  <si>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</si>
  <si>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</si>
  <si>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</si>
  <si>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</si>
  <si>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</si>
  <si>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</si>
  <si>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</si>
  <si>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</si>
  <si>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</si>
  <si>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</si>
  <si>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</si>
  <si>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</si>
  <si>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</si>
  <si>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</si>
  <si>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</si>
  <si>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</si>
  <si>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</si>
  <si>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</si>
  <si>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</si>
  <si>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</si>
  <si>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</si>
  <si>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</si>
  <si>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</si>
  <si>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</si>
  <si>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</si>
  <si>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</si>
  <si>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</si>
  <si>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</si>
  <si>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</si>
  <si>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</si>
  <si>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</si>
  <si>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</si>
  <si>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</si>
  <si>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</si>
  <si>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</si>
  <si>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</si>
  <si>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</si>
  <si>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</si>
  <si>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</si>
  <si>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</si>
  <si>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</si>
  <si>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</si>
  <si>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</si>
  <si>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</si>
  <si>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</si>
  <si>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</si>
  <si>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</si>
  <si>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</si>
  <si>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</si>
  <si>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</si>
  <si>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</si>
  <si>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</si>
  <si>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AnalyticsEnergy Meter via upload</t>
  </si>
  <si>
    <t>AnalyticsWater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</si>
</sst>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28575</xdr:rowOff>
        </xdr:from>
        <xdr:to>
          <xdr:col>2</xdr:col>
          <xdr:colOff>466725</xdr:colOff>
          <xdr:row>9</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9</xdr:row>
          <xdr:rowOff>352425</xdr:rowOff>
        </xdr:from>
        <xdr:to>
          <xdr:col>3</xdr:col>
          <xdr:colOff>990600</xdr:colOff>
          <xdr:row>11</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1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topLeftCell="A17" zoomScale="90" zoomScaleNormal="90" workbookViewId="0">
      <pane xSplit="4" topLeftCell="E1" activePane="topRight" state="frozen"/>
      <selection activeCell="D28" sqref="C28:D32"/>
      <selection pane="topRight" activeCell="D30" sqref="D30"/>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election activeCell="D28" sqref="C28:D32"/>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43343</v>
      </c>
      <c r="C7" s="52">
        <f t="shared" ref="C7" si="0">B7</f>
        <v>43343</v>
      </c>
      <c r="D7" s="53">
        <f>HLOOKUP(B7,ReadingTable,2,FALSE)</f>
        <v>100.11</v>
      </c>
      <c r="E7" s="68">
        <f>IF(E6="",7,E6+1)</f>
        <v>7</v>
      </c>
    </row>
    <row r="8" spans="1:6" x14ac:dyDescent="0.25">
      <c r="A8" s="37">
        <f t="shared" ref="A8" si="1">IFERROR(IF(D8="",1,0),1)</f>
        <v>0</v>
      </c>
      <c r="B8" s="52">
        <f>INDEX(Dates,1,E8)</f>
        <v>43313</v>
      </c>
      <c r="C8" s="52">
        <f t="shared" ref="C8" si="2">B8</f>
        <v>43313</v>
      </c>
      <c r="D8" s="53">
        <f>HLOOKUP(B8,ReadingTable,2,FALSE)</f>
        <v>50.11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5"/>
  <sheetViews>
    <sheetView showGridLines="0" zoomScale="90" zoomScaleNormal="90" workbookViewId="0">
      <pane ySplit="2" topLeftCell="A3" activePane="bottomLeft" state="frozen"/>
      <selection activeCell="D28" sqref="C28:D32"/>
      <selection pane="bottomLeft" activeCell="D28" sqref="C28:D32"/>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750</v>
      </c>
      <c r="C3" s="76">
        <v>223</v>
      </c>
      <c r="D3" s="91">
        <v>43343</v>
      </c>
      <c r="E3" s="97">
        <v>0.375</v>
      </c>
      <c r="F3" s="92">
        <v>100.11</v>
      </c>
    </row>
    <row r="4" spans="1:8" x14ac:dyDescent="0.25">
      <c r="B4" s="75" t="s">
        <v>752</v>
      </c>
      <c r="C4" s="76">
        <v>224</v>
      </c>
      <c r="D4" s="91">
        <v>43313</v>
      </c>
      <c r="E4" s="97">
        <v>0.41666666666666669</v>
      </c>
      <c r="F4" s="92">
        <v>50.11</v>
      </c>
    </row>
    <row r="5" spans="1:8" x14ac:dyDescent="0.25">
      <c r="A5" s="38">
        <v>0</v>
      </c>
      <c r="B5" s="75"/>
      <c r="C5" s="76"/>
      <c r="D5" s="91"/>
      <c r="E5" s="97"/>
      <c r="F5" s="92"/>
    </row>
    <row r="6" spans="1:8" ht="39" customHeight="1" x14ac:dyDescent="0.25"/>
    <row r="7" spans="1:8" s="59" customFormat="1" ht="51" customHeight="1" x14ac:dyDescent="0.2">
      <c r="A7" s="38" t="s">
        <v>580</v>
      </c>
      <c r="B7" s="40"/>
      <c r="F7" s="60"/>
      <c r="G7" s="69">
        <f>IF(G9="",1,0)</f>
        <v>0</v>
      </c>
      <c r="H7" s="69">
        <f>IF(H9="",1,0)</f>
        <v>0</v>
      </c>
    </row>
    <row r="8" spans="1:8" ht="21" customHeight="1" x14ac:dyDescent="0.25">
      <c r="A8" s="38" t="s">
        <v>589</v>
      </c>
      <c r="B8" s="243"/>
      <c r="C8" s="61"/>
      <c r="D8" s="61"/>
      <c r="E8" s="61"/>
      <c r="F8" s="62"/>
      <c r="G8" s="47" t="s">
        <v>575</v>
      </c>
      <c r="H8" s="47" t="s">
        <v>575</v>
      </c>
    </row>
    <row r="9" spans="1:8" ht="15" customHeight="1" x14ac:dyDescent="0.25">
      <c r="A9" s="38" t="s">
        <v>589</v>
      </c>
      <c r="B9" s="244"/>
      <c r="C9" s="63"/>
      <c r="D9" s="63"/>
      <c r="E9" s="63"/>
      <c r="F9" s="64"/>
      <c r="G9" s="145">
        <f t="array" ref="G9">IFERROR(INDEX($D$3:$D$6, MATCH(0,IF(ISBLANK($D$3:$D$6),1,COUNTIF($F$9:F9, $D$3:$D$6)), 0)),"")</f>
        <v>43343</v>
      </c>
      <c r="H9" s="145">
        <f t="array" ref="H9">IFERROR(INDEX($D$3:$D$6, MATCH(0,IF(ISBLANK($D$3:$D$6),1,COUNTIF($F$9:G9, $D$3:$D$6)), 0)),"")</f>
        <v>43313</v>
      </c>
    </row>
    <row r="10" spans="1:8" ht="27.75" customHeight="1" x14ac:dyDescent="0.25">
      <c r="A10" s="38" t="s">
        <v>589</v>
      </c>
      <c r="B10" s="245"/>
      <c r="C10" s="65"/>
      <c r="D10" s="65"/>
      <c r="E10" s="65"/>
      <c r="F10" s="66"/>
      <c r="G10" s="71" t="s">
        <v>581</v>
      </c>
      <c r="H10" s="71" t="s">
        <v>581</v>
      </c>
    </row>
    <row r="11" spans="1:8" ht="15" customHeight="1" x14ac:dyDescent="0.25">
      <c r="A11" s="38">
        <f>IF(B11="",1,0)</f>
        <v>0</v>
      </c>
      <c r="B11" s="48" t="str">
        <f t="array" ref="B11">IFERROR(INDEX($B$3:$B$6, MATCH(0,IF(ISBLANK($B$3:$B$6),1,COUNTIF($B$10:B10, $B$3:$B$6)), 0)),"")</f>
        <v>Goa</v>
      </c>
      <c r="C11" s="49"/>
      <c r="D11" s="49"/>
      <c r="E11" s="49"/>
      <c r="F11" s="58"/>
      <c r="G11" s="93">
        <f t="array" ref="G11">IFERROR(PERCENTILE(IF($B$3:$B$6=$B11,IF($D$3:$D$6=G$9,IF($F$3:$F$6&lt;&gt;"",$F$3:$F$6))),0.95),"")</f>
        <v>100.11</v>
      </c>
      <c r="H11" s="93" t="str">
        <f t="array" ref="H11">IFERROR(PERCENTILE(IF($B$3:$B$6=$B11,IF($D$3:$D$6=H$9,IF($F$3:$F$6&lt;&gt;"",$F$3:$F$6))),0.95),"")</f>
        <v/>
      </c>
    </row>
    <row r="12" spans="1:8" ht="15" customHeight="1" x14ac:dyDescent="0.25">
      <c r="A12" s="38">
        <f t="shared" ref="A12" si="0">IF(B12="",1,0)</f>
        <v>0</v>
      </c>
      <c r="B12" s="48" t="str">
        <f t="array" ref="B12">IFERROR(INDEX($B$3:$B$6, MATCH(0,IF(ISBLANK($B$3:$B$6),1,COUNTIF($B$10:B11, $B$3:$B$6)), 0)),"")</f>
        <v>Hyd</v>
      </c>
      <c r="C12" s="49"/>
      <c r="D12" s="49"/>
      <c r="E12" s="49"/>
      <c r="F12" s="58"/>
      <c r="G12" s="93" t="str">
        <f t="array" ref="G12">IFERROR(PERCENTILE(IF($B$3:$B$6=$B12,IF($D$3:$D$6=G$9,IF($F$3:$F$6&lt;&gt;"",$F$3:$F$6))),0.95),"")</f>
        <v/>
      </c>
      <c r="H12" s="93">
        <f t="array" ref="H12">IFERROR(PERCENTILE(IF($B$3:$B$6=$B12,IF($D$3:$D$6=H$9,IF($F$3:$F$6&lt;&gt;"",$F$3:$F$6))),0.95),"")</f>
        <v>50.11</v>
      </c>
    </row>
    <row r="13" spans="1:8" ht="9" customHeight="1" x14ac:dyDescent="0.25">
      <c r="G13" s="94"/>
      <c r="H13" s="94"/>
    </row>
    <row r="14" spans="1:8" ht="9" customHeight="1" x14ac:dyDescent="0.25">
      <c r="A14" s="38" t="s">
        <v>545</v>
      </c>
      <c r="G14" s="94"/>
      <c r="H14" s="94"/>
    </row>
    <row r="15" spans="1:8" ht="15" hidden="1" customHeight="1" x14ac:dyDescent="0.25">
      <c r="G15" s="72">
        <f>G9</f>
        <v>43343</v>
      </c>
      <c r="H15" s="72">
        <f>H9</f>
        <v>43313</v>
      </c>
    </row>
    <row r="16" spans="1:8" ht="20.25" customHeight="1" x14ac:dyDescent="0.25">
      <c r="B16" s="55" t="s">
        <v>578</v>
      </c>
      <c r="C16" s="56"/>
      <c r="D16" s="56"/>
      <c r="E16" s="56"/>
      <c r="F16" s="57"/>
      <c r="G16" s="95">
        <f>IFERROR(AVERAGE(G11:G14),0)</f>
        <v>100.11</v>
      </c>
      <c r="H16" s="95">
        <f>IFERROR(AVERAGE(H11:H14),0)</f>
        <v>50.11</v>
      </c>
    </row>
    <row r="17" spans="1:5" ht="24.75" customHeight="1" x14ac:dyDescent="0.25"/>
    <row r="18" spans="1:5" ht="28.5" hidden="1" customHeight="1" x14ac:dyDescent="0.25">
      <c r="A18" s="38">
        <v>10</v>
      </c>
      <c r="B18" s="50" t="s">
        <v>579</v>
      </c>
      <c r="C18" s="50"/>
      <c r="D18" s="50"/>
      <c r="E18" s="67"/>
    </row>
    <row r="19" spans="1:5" ht="15" hidden="1" customHeight="1" x14ac:dyDescent="0.25">
      <c r="A19" s="37">
        <f>IFERROR(IF(D19="",1,0),1)</f>
        <v>0</v>
      </c>
      <c r="B19" s="52">
        <f>INDEX(Dates,1,E19)</f>
        <v>43343</v>
      </c>
      <c r="C19" s="52">
        <f t="shared" ref="C19" si="1">B19</f>
        <v>43343</v>
      </c>
      <c r="D19" s="53">
        <f>HLOOKUP(B19,ReadingTable,2,FALSE)</f>
        <v>100.11</v>
      </c>
      <c r="E19" s="68">
        <f>IF(E18="",7,E18+1)</f>
        <v>7</v>
      </c>
    </row>
    <row r="20" spans="1:5" hidden="1" x14ac:dyDescent="0.25"/>
    <row r="21" spans="1:5" hidden="1" x14ac:dyDescent="0.25">
      <c r="B21" s="51" t="s">
        <v>577</v>
      </c>
      <c r="C21" s="51"/>
    </row>
    <row r="22" spans="1:5" hidden="1" x14ac:dyDescent="0.25">
      <c r="B22" s="54">
        <f t="array" ref="B22">SUM(IF($D$3:$D$6&lt;&gt;"",1/COUNTIF($D$3:$D$6, $D$3:$D$6), 0))</f>
        <v>2</v>
      </c>
      <c r="C22" s="54">
        <f t="array" ref="C22">SUM(IF($B$3:$B$6&lt;&gt;"",1/COUNTIF($B$3:$B$6, $B$3:$B$6), 0))</f>
        <v>2</v>
      </c>
    </row>
    <row r="23" spans="1:5" hidden="1" x14ac:dyDescent="0.25"/>
    <row r="24" spans="1:5" ht="25.5" hidden="1" x14ac:dyDescent="0.25">
      <c r="B24" s="50" t="s">
        <v>583</v>
      </c>
    </row>
    <row r="25" spans="1:5" ht="15" hidden="1" x14ac:dyDescent="0.25">
      <c r="A25" s="4"/>
      <c r="B25" s="35"/>
      <c r="C25" s="35"/>
      <c r="D25" s="70"/>
      <c r="E25"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8:B10"/>
  </mergeCells>
  <dataValidations count="4">
    <dataValidation type="decimal" allowBlank="1" showInputMessage="1" showErrorMessage="1" error="Please enter a valid reading." sqref="D25" xr:uid="{00000000-0002-0000-0600-000000000000}">
      <formula1>0</formula1>
      <formula2>99999999</formula2>
    </dataValidation>
    <dataValidation type="date" allowBlank="1" showInputMessage="1" showErrorMessage="1" error="Please enter a valid date in mm/dd/yyyy format." sqref="B25:C25" xr:uid="{00000000-0002-0000-0600-000001000000}">
      <formula1>1</formula1>
      <formula2>73051</formula2>
    </dataValidation>
    <dataValidation type="date" allowBlank="1" showInputMessage="1" showErrorMessage="1" error="Please enter a valid date in mm/dd/yyyy format." sqref="D3:D5" xr:uid="{00000000-0002-0000-0600-000002000000}">
      <formula1>1</formula1>
      <formula2>2958464</formula2>
    </dataValidation>
    <dataValidation type="time" allowBlank="1" showInputMessage="1" showErrorMessage="1" error="Please enter a valid time in hh:mm format." sqref="E3:E5"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0"/>
  <sheetViews>
    <sheetView zoomScaleNormal="100" workbookViewId="0">
      <selection activeCell="D28" sqref="C28:D32"/>
    </sheetView>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10</v>
      </c>
      <c r="B6" s="3" t="s">
        <v>543</v>
      </c>
      <c r="C6" s="3" t="s">
        <v>544</v>
      </c>
      <c r="D6" s="3" t="str">
        <f>CONCATENATE("Highest TVOC Reading 
","(",D4,")")</f>
        <v>Highest TVOC Reading 
(ug/m3)</v>
      </c>
      <c r="E6" s="1"/>
    </row>
    <row r="7" spans="1:5" ht="15" customHeight="1" x14ac:dyDescent="0.25">
      <c r="A7" s="37">
        <f>IFERROR(IF(D7="",1,0),1)</f>
        <v>0</v>
      </c>
      <c r="B7" s="52">
        <f>INDEX(DatesVOC,1,E7)</f>
        <v>43374</v>
      </c>
      <c r="C7" s="52">
        <f t="shared" ref="C7" si="0">B7</f>
        <v>43374</v>
      </c>
      <c r="D7" s="53">
        <f t="array" ref="D7">HLOOKUP(B7,ReadingTableVOC,2,FALSE)</f>
        <v>100.11</v>
      </c>
      <c r="E7" s="68">
        <f>IF(E6="",8,E6+1)</f>
        <v>8</v>
      </c>
    </row>
    <row r="8" spans="1:5" ht="15" customHeight="1" x14ac:dyDescent="0.25">
      <c r="A8" s="4" t="s">
        <v>545</v>
      </c>
      <c r="B8" s="34"/>
      <c r="C8" s="34"/>
      <c r="D8" s="34"/>
      <c r="E8" s="1"/>
    </row>
    <row r="9" spans="1:5" ht="15" hidden="1" customHeight="1" x14ac:dyDescent="0.25">
      <c r="A9" s="4"/>
      <c r="B9" s="34"/>
      <c r="C9" s="34"/>
      <c r="D9" s="34"/>
      <c r="E9" s="1"/>
    </row>
    <row r="10" spans="1:5" ht="33.6" customHeight="1" x14ac:dyDescent="0.25">
      <c r="A10" s="4" t="s">
        <v>545</v>
      </c>
      <c r="B10" s="34"/>
      <c r="C10" s="34"/>
      <c r="D10" s="34"/>
      <c r="E10"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8:D10" xr:uid="{00000000-0002-0000-0700-000000000000}"/>
    <dataValidation type="decimal" allowBlank="1" showInputMessage="1" showErrorMessage="1" error="Please enter a valid reading." sqref="D7" xr:uid="{00000000-0002-0000-0700-000001000000}">
      <formula1>0</formula1>
      <formula2>99999999</formula2>
    </dataValidation>
    <dataValidation type="date" allowBlank="1" showInputMessage="1" showErrorMessage="1" error="Please enter a valid date in mm/dd/yyyy format." sqref="B7:C7"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9</xdr:row>
                    <xdr:rowOff>28575</xdr:rowOff>
                  </from>
                  <to>
                    <xdr:col>2</xdr:col>
                    <xdr:colOff>466725</xdr:colOff>
                    <xdr:row>9</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9</xdr:row>
                    <xdr:rowOff>352425</xdr:rowOff>
                  </from>
                  <to>
                    <xdr:col>3</xdr:col>
                    <xdr:colOff>990600</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H21"/>
  <sheetViews>
    <sheetView showGridLines="0" zoomScale="90" zoomScaleNormal="90" workbookViewId="0">
      <pane ySplit="2" topLeftCell="A3" activePane="bottomLeft" state="frozen"/>
      <selection activeCell="D28" sqref="C28:D32"/>
      <selection pane="bottomLeft" activeCell="B25" sqref="B25"/>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43374</v>
      </c>
      <c r="E3" s="97">
        <v>0.375</v>
      </c>
      <c r="F3" s="98">
        <v>0.5</v>
      </c>
      <c r="G3" s="92">
        <v>100.11</v>
      </c>
    </row>
    <row r="4" spans="1:8" x14ac:dyDescent="0.25">
      <c r="B4" s="75"/>
      <c r="C4" s="76"/>
      <c r="D4" s="91"/>
      <c r="E4" s="97"/>
      <c r="F4" s="98"/>
      <c r="G4" s="92"/>
      <c r="H4" s="46"/>
    </row>
    <row r="5" spans="1:8" ht="39" customHeight="1" x14ac:dyDescent="0.25"/>
    <row r="6" spans="1:8" s="59" customFormat="1" ht="51" customHeight="1" x14ac:dyDescent="0.2">
      <c r="A6" s="38" t="s">
        <v>580</v>
      </c>
      <c r="B6" s="40"/>
      <c r="G6" s="60"/>
      <c r="H6" s="69">
        <f>IF(H8="",1,0)</f>
        <v>0</v>
      </c>
    </row>
    <row r="7" spans="1:8" ht="21" customHeight="1" x14ac:dyDescent="0.25">
      <c r="A7" s="38" t="s">
        <v>589</v>
      </c>
      <c r="B7" s="243"/>
      <c r="C7" s="61"/>
      <c r="D7" s="61"/>
      <c r="E7" s="61"/>
      <c r="F7" s="61"/>
      <c r="G7" s="62"/>
      <c r="H7" s="47" t="s">
        <v>575</v>
      </c>
    </row>
    <row r="8" spans="1:8" ht="15" customHeight="1" x14ac:dyDescent="0.25">
      <c r="A8" s="38" t="s">
        <v>589</v>
      </c>
      <c r="B8" s="244"/>
      <c r="C8" s="63"/>
      <c r="D8" s="63"/>
      <c r="E8" s="63"/>
      <c r="F8" s="63"/>
      <c r="G8" s="64"/>
      <c r="H8" s="145">
        <f t="array" ref="H8">IFERROR(INDEX($D$3:$D$5, MATCH(0,IF(ISBLANK($D$3:$D$5),1,COUNTIF($G$8:G8, $D$3:$D$5)), 0)),"")</f>
        <v>43374</v>
      </c>
    </row>
    <row r="9" spans="1:8" ht="27.75" customHeight="1" x14ac:dyDescent="0.25">
      <c r="A9" s="38" t="s">
        <v>589</v>
      </c>
      <c r="B9" s="245"/>
      <c r="C9" s="65"/>
      <c r="D9" s="65"/>
      <c r="E9" s="65"/>
      <c r="F9" s="65"/>
      <c r="G9" s="66"/>
      <c r="H9" s="74" t="s">
        <v>586</v>
      </c>
    </row>
    <row r="10" spans="1:8" ht="15" customHeight="1" x14ac:dyDescent="0.25">
      <c r="A10" s="38">
        <f>IF(B10="",1,0)</f>
        <v>0</v>
      </c>
      <c r="B10" s="48" t="str">
        <f t="array" ref="B10">IFERROR(INDEX($B$3:$B$5, MATCH(0,IF(ISBLANK($B$3:$B$5),1,COUNTIF($B$9:B9, $B$3:$B$5)), 0)),"")</f>
        <v>Goa</v>
      </c>
      <c r="C10" s="49"/>
      <c r="D10" s="49"/>
      <c r="E10" s="49"/>
      <c r="F10" s="49"/>
      <c r="G10" s="58"/>
      <c r="H10" s="93">
        <f t="array" ref="H10">IFERROR(AVERAGE(IF($B$3:$B$5=$B10,IF($D$3:$D$5=H$8,IF($G$3:$G$5&lt;&gt;"",$G$3:$G$5)))),"")</f>
        <v>100.11</v>
      </c>
    </row>
    <row r="11" spans="1:8" ht="9" customHeight="1" x14ac:dyDescent="0.25">
      <c r="H11" s="94"/>
    </row>
    <row r="12" spans="1:8" ht="9" customHeight="1" x14ac:dyDescent="0.25">
      <c r="A12" s="38" t="s">
        <v>545</v>
      </c>
      <c r="H12" s="94"/>
    </row>
    <row r="13" spans="1:8" ht="15" hidden="1" customHeight="1" x14ac:dyDescent="0.25">
      <c r="H13" s="96">
        <f>H8</f>
        <v>43374</v>
      </c>
    </row>
    <row r="14" spans="1:8" ht="20.25" customHeight="1" x14ac:dyDescent="0.25">
      <c r="B14" s="55" t="s">
        <v>587</v>
      </c>
      <c r="C14" s="56"/>
      <c r="D14" s="56"/>
      <c r="E14" s="56"/>
      <c r="F14" s="56"/>
      <c r="G14" s="57"/>
      <c r="H14" s="95">
        <f>IFERROR(MAX(H10:H12),0)</f>
        <v>100.11</v>
      </c>
    </row>
    <row r="15" spans="1:8" ht="24.75" customHeight="1" x14ac:dyDescent="0.25"/>
    <row r="16" spans="1:8" ht="28.5" hidden="1" customHeight="1" x14ac:dyDescent="0.25">
      <c r="A16" s="38">
        <v>10</v>
      </c>
      <c r="B16" s="50" t="s">
        <v>579</v>
      </c>
      <c r="C16" s="50"/>
      <c r="D16" s="50"/>
      <c r="E16" s="67"/>
      <c r="F16" s="67"/>
    </row>
    <row r="17" spans="1:6" ht="15" hidden="1" customHeight="1" x14ac:dyDescent="0.25">
      <c r="A17" s="37">
        <f>IFERROR(IF(D17="",1,0),1)</f>
        <v>0</v>
      </c>
      <c r="B17" s="52">
        <f>INDEX(DatesVOC,1,E17)</f>
        <v>43374</v>
      </c>
      <c r="C17" s="52">
        <f t="shared" ref="C17" si="0">B17</f>
        <v>43374</v>
      </c>
      <c r="D17" s="53">
        <f t="array" ref="D17">HLOOKUP(B17,ReadingTableVOC,2,FALSE)</f>
        <v>100.11</v>
      </c>
      <c r="E17" s="68">
        <f>IF(E16="",8,E16+1)</f>
        <v>8</v>
      </c>
      <c r="F17" s="68"/>
    </row>
    <row r="18" spans="1:6" hidden="1" x14ac:dyDescent="0.25"/>
    <row r="19" spans="1:6" hidden="1" x14ac:dyDescent="0.25">
      <c r="B19" s="51" t="s">
        <v>577</v>
      </c>
      <c r="C19" s="51"/>
    </row>
    <row r="20" spans="1:6" hidden="1" x14ac:dyDescent="0.25">
      <c r="B20" s="54">
        <f t="array" ref="B20">SUM(IF($D$3:$D$5&lt;&gt;"",1/COUNTIF($D$3:$D$5, $D$3:$D$5), 0))</f>
        <v>1</v>
      </c>
      <c r="C20" s="54">
        <f t="array" ref="C20">SUM(IF($B$3:$B$5&lt;&gt;"",1/COUNTIF($B$3:$B$5, $B$3:$B$5), 0))</f>
        <v>1</v>
      </c>
    </row>
    <row r="21"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28" sqref="C28:D32"/>
      <selection pane="topRight" activeCell="D28" sqref="C28:D32"/>
      <selection pane="bottomLeft" activeCell="D28" sqref="C28:D32"/>
      <selection pane="bottomRight" activeCell="B27" sqref="B2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 Meter via up...</v>
      </c>
      <c r="C1" s="1"/>
      <c r="D1" s="4" t="str">
        <f ca="1">B1</f>
        <v>AnalyticsEnergy Meter via up...</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525</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(kBtu)</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 xr:uid="{8FE32AF3-3EFD-4392-81D7-1DE313165251}">
      <formula1>0</formula1>
      <formula2>9999999999</formula2>
    </dataValidation>
    <dataValidation type="date" allowBlank="1" showInputMessage="1" showErrorMessage="1" error="Please enter a valid date in mm/dd/yyyy format." sqref="B7:C7" xr:uid="{741C1F85-92F8-456A-9827-F98C08C1D3C2}">
      <formula1>1</formula1>
      <formula2>73415</formula2>
    </dataValidation>
    <dataValidation allowBlank="1" showInputMessage="1" showErrorMessage="1" error="Please enter a valid date in mm/dd/yyyy format." sqref="B8:D10"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5" sqref="D15: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 meter via upload</v>
      </c>
      <c r="C1" s="1"/>
      <c r="D1" s="155" t="str">
        <f ca="1">B1</f>
        <v>AnalyticsWater meter via upload</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 xr:uid="{F6308C20-EEC8-42CA-82FA-B08DDC758286}">
      <formula1>0</formula1>
      <formula2>9999999999</formula2>
    </dataValidation>
    <dataValidation type="date" allowBlank="1" showInputMessage="1" showErrorMessage="1" error="Please enter a valid date in mm/dd/yyyy format." sqref="B7:C7" xr:uid="{BD34E46E-B0F7-4040-9B88-0DA07D8FCFFA}">
      <formula1>1</formula1>
      <formula2>73415</formula2>
    </dataValidation>
    <dataValidation allowBlank="1" showInputMessage="1" showErrorMessage="1" error="Please enter a valid date in mm/dd/yyyy format." sqref="B8:D10"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AnalyticsEnergy Meter via up...</vt:lpstr>
      <vt:lpstr>AnalyticsWater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 Meter via up...'!elecName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'AnalyticsEnergy Meter via up...'!ElectricityDrp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 meter via upload'!water_meter_type</vt:lpstr>
      <vt:lpstr>water_meter_type</vt:lpstr>
      <vt:lpstr>'AnalyticsWater meter via upload'!water_type</vt:lpstr>
      <vt:lpstr>water_type</vt:lpstr>
      <vt:lpstr>'AnalyticsWater meter via upload'!water_units</vt:lpstr>
      <vt:lpstr>water_units</vt:lpstr>
      <vt:lpstr>Acetaldehyde!WaterDrp</vt:lpstr>
      <vt:lpstr>'AnalyticsWater meter via upload'!WaterDrp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 meter via upload'!waterType</vt:lpstr>
      <vt:lpstr>waterType</vt:lpstr>
      <vt:lpstr>'AnalyticsWater meter via upload'!waterUnits</vt:lpstr>
      <vt:lpstr>waterUnits</vt:lpstr>
      <vt:lpstr>'AnalyticsWater meter via upload'!watUn</vt:lpstr>
      <vt:lpstr>watUn</vt:lpstr>
      <vt:lpstr>Acetaldehyde!watUni</vt:lpstr>
      <vt:lpstr>'AnalyticsWater meter via upload'!watUni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2019-07-17T06:14:59Z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