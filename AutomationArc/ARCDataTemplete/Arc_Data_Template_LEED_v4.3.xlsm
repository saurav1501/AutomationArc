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7B85FA52-AAED-472B-B170-68AFB5135EEA}" xr6:coauthVersionLast="36" xr6:coauthVersionMax="43" xr10:uidLastSave="{00000000-0000-0000-0000-000000000000}"/>
  <workbookProtection workbookAlgorithmName="SHA-512" workbookHashValue="xmMVM7EWEdJwCjB2rwpQ5I3RC4NoqY3iQ2gK8HcnBJVBVEuxz5eOxfvNsSStIoJzdhOiOG6S7lCTNuQKqbHYXw==" workbookSaltValue="mLy05xxHfsPNN3hYmlYrqg==" workbookSpinCount="100000" lockStructure="1"/>
  <bookViews>
    <workbookView xWindow="0" yWindow="0" windowWidth="20490" windowHeight="8790" firstSheet="20" activeTab="22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Water meter via upload" sheetId="29" r:id="rId22"/>
    <sheet name="AnalyticsEnergy Meter via up...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2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2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2">base_f!#REF!</definedName>
    <definedName name="fuelname" localSheetId="21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2">OFFSET(myItemList,0,0,1,COUNTA(myItemList))</definedName>
    <definedName name="myitem" localSheetId="21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1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1">'AnalyticsWater meter via upload'!$H$51:$I$63</definedName>
    <definedName name="water_meter_type">base_w!$H$27:$I$39</definedName>
    <definedName name="water_type" localSheetId="21">'AnalyticsWater meter via upload'!$H$51:$I$63</definedName>
    <definedName name="water_type">base_w!$H$27:$I$39</definedName>
    <definedName name="water_units" localSheetId="21">'AnalyticsWater meter via upload'!$H$39:$H$47</definedName>
    <definedName name="water_units">base_w!$H$15:$H$23</definedName>
    <definedName name="WaterDrp" localSheetId="13">base_w!$I$9:$I$11</definedName>
    <definedName name="WaterDrp" localSheetId="21">'AnalyticsWater meter via upload'!$I$33:$I$35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1">'AnalyticsWater meter via upload'!$H$51:$H$63</definedName>
    <definedName name="waterType">base_w!$H$27:$H$39</definedName>
    <definedName name="waterUnits" localSheetId="21">'AnalyticsWater meter via upload'!$J$34:$J$38</definedName>
    <definedName name="waterUnits">base_w!$J$10:$J$14</definedName>
    <definedName name="watUn" localSheetId="21">'AnalyticsWater meter via upload'!$H$39:$H$47</definedName>
    <definedName name="watUn">base_w!$H$15:$H$23</definedName>
    <definedName name="watUni" localSheetId="13">base_w!$H$15:$H$29</definedName>
    <definedName name="watUni" localSheetId="21">'AnalyticsWater meter via upload'!$H$39:$H$53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1">'AnalyticsWater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30" l="1"/>
  <c r="B1" i="30"/>
  <c r="D1" i="30" s="1"/>
  <c r="AF31" i="15" l="1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3"/>
  <c r="E8" i="13" s="1"/>
  <c r="E9" i="13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D6" i="29"/>
  <c r="B1" i="29"/>
  <c r="D1" i="29" s="1"/>
  <c r="AF29" i="15" l="1"/>
  <c r="AF37" i="15" a="1"/>
  <c r="AF37" i="15" s="1"/>
  <c r="AF45" i="15"/>
  <c r="AF41" i="15" a="1"/>
  <c r="AF41" i="15" s="1"/>
  <c r="AF39" i="15" a="1"/>
  <c r="AF39" i="15" s="1"/>
  <c r="AF35" i="15" a="1"/>
  <c r="AF35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E29" i="15"/>
  <c r="AE45" i="15"/>
  <c r="AE41" i="15" a="1"/>
  <c r="AE41" i="15" s="1"/>
  <c r="AE39" i="15" a="1"/>
  <c r="AE39" i="15" s="1"/>
  <c r="AE37" i="15" a="1"/>
  <c r="AE37" i="15" s="1"/>
  <c r="AE35" i="15" a="1"/>
  <c r="AE35" i="15" s="1"/>
  <c r="AE33" i="15" a="1"/>
  <c r="AE33" i="15" s="1"/>
  <c r="AE42" i="15" a="1"/>
  <c r="AE42" i="15" s="1"/>
  <c r="AE40" i="15" a="1"/>
  <c r="AE40" i="15" s="1"/>
  <c r="AE38" i="15" a="1"/>
  <c r="AE38" i="15" s="1"/>
  <c r="AE36" i="15" a="1"/>
  <c r="AE36" i="15" s="1"/>
  <c r="AE34" i="15" a="1"/>
  <c r="AE34" i="15" s="1"/>
  <c r="AD29" i="15"/>
  <c r="AD37" i="15" a="1"/>
  <c r="AD37" i="15" s="1"/>
  <c r="AD33" i="15" a="1"/>
  <c r="AD33" i="15" s="1"/>
  <c r="AD45" i="15"/>
  <c r="AD41" i="15" a="1"/>
  <c r="AD41" i="15" s="1"/>
  <c r="AD39" i="15" a="1"/>
  <c r="AD39" i="15" s="1"/>
  <c r="AD35" i="15" a="1"/>
  <c r="AD35" i="15" s="1"/>
  <c r="AD38" i="15" a="1"/>
  <c r="AD38" i="15" s="1"/>
  <c r="AD34" i="15" a="1"/>
  <c r="AD34" i="15" s="1"/>
  <c r="AD42" i="15" a="1"/>
  <c r="AD42" i="15" s="1"/>
  <c r="AD40" i="15" a="1"/>
  <c r="AD40" i="15" s="1"/>
  <c r="AD36" i="15" a="1"/>
  <c r="AD36" i="15" s="1"/>
  <c r="AC29" i="15"/>
  <c r="AC45" i="15"/>
  <c r="AC41" i="15" a="1"/>
  <c r="AC41" i="15" s="1"/>
  <c r="AC39" i="15" a="1"/>
  <c r="AC39" i="15" s="1"/>
  <c r="AC37" i="15" a="1"/>
  <c r="AC37" i="15" s="1"/>
  <c r="AC35" i="15" a="1"/>
  <c r="AC35" i="15" s="1"/>
  <c r="AC33" i="15" a="1"/>
  <c r="AC33" i="15" s="1"/>
  <c r="AC42" i="15" a="1"/>
  <c r="AC42" i="15" s="1"/>
  <c r="AC40" i="15" a="1"/>
  <c r="AC40" i="15" s="1"/>
  <c r="AC38" i="15" a="1"/>
  <c r="AC38" i="15" s="1"/>
  <c r="AC36" i="15" a="1"/>
  <c r="AC36" i="15" s="1"/>
  <c r="AC34" i="15" a="1"/>
  <c r="AC34" i="15" s="1"/>
  <c r="AB29" i="15"/>
  <c r="AB39" i="15" a="1"/>
  <c r="AB39" i="15" s="1"/>
  <c r="AB33" i="15" a="1"/>
  <c r="AB33" i="15" s="1"/>
  <c r="AB40" i="15" a="1"/>
  <c r="AB40" i="15" s="1"/>
  <c r="AB36" i="15" a="1"/>
  <c r="AB36" i="15" s="1"/>
  <c r="AB45" i="15"/>
  <c r="AB41" i="15" a="1"/>
  <c r="AB41" i="15" s="1"/>
  <c r="AB37" i="15" a="1"/>
  <c r="AB37" i="15" s="1"/>
  <c r="AB35" i="15" a="1"/>
  <c r="AB35" i="15" s="1"/>
  <c r="AB42" i="15" a="1"/>
  <c r="AB42" i="15" s="1"/>
  <c r="AB38" i="15" a="1"/>
  <c r="AB38" i="15" s="1"/>
  <c r="AB34" i="15" a="1"/>
  <c r="AB34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29" i="15"/>
  <c r="Z39" i="15" a="1"/>
  <c r="Z39" i="15" s="1"/>
  <c r="Z33" i="15" a="1"/>
  <c r="Z33" i="15" s="1"/>
  <c r="Z45" i="15"/>
  <c r="Z41" i="15" a="1"/>
  <c r="Z41" i="15" s="1"/>
  <c r="Z37" i="15" a="1"/>
  <c r="Z37" i="15" s="1"/>
  <c r="Z35" i="15" a="1"/>
  <c r="Z35" i="15" s="1"/>
  <c r="Z40" i="15" a="1"/>
  <c r="Z40" i="15" s="1"/>
  <c r="Z34" i="15" a="1"/>
  <c r="Z34" i="15" s="1"/>
  <c r="Z42" i="15" a="1"/>
  <c r="Z42" i="15" s="1"/>
  <c r="Z38" i="15" a="1"/>
  <c r="Z38" i="15" s="1"/>
  <c r="Z36" i="15" a="1"/>
  <c r="Z36" i="15" s="1"/>
  <c r="Y29" i="15"/>
  <c r="Y45" i="15"/>
  <c r="Y41" i="15" a="1"/>
  <c r="Y41" i="15" s="1"/>
  <c r="Y39" i="15" a="1"/>
  <c r="Y39" i="15" s="1"/>
  <c r="Y37" i="15" a="1"/>
  <c r="Y37" i="15" s="1"/>
  <c r="Y35" i="15" a="1"/>
  <c r="Y35" i="15" s="1"/>
  <c r="Y33" i="15" a="1"/>
  <c r="Y33" i="15" s="1"/>
  <c r="Y42" i="15" a="1"/>
  <c r="Y42" i="15" s="1"/>
  <c r="Y40" i="15" a="1"/>
  <c r="Y40" i="15" s="1"/>
  <c r="Y38" i="15" a="1"/>
  <c r="Y38" i="15" s="1"/>
  <c r="Y36" i="15" a="1"/>
  <c r="Y36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36" i="15" a="1"/>
  <c r="V36" i="15" s="1"/>
  <c r="V42" i="15" a="1"/>
  <c r="V42" i="15" s="1"/>
  <c r="V40" i="15" a="1"/>
  <c r="V40" i="15" s="1"/>
  <c r="V38" i="15" a="1"/>
  <c r="V38" i="15" s="1"/>
  <c r="V34" i="15" a="1"/>
  <c r="V34" i="15" s="1"/>
  <c r="U29" i="15"/>
  <c r="U33" i="15" a="1"/>
  <c r="U33" i="15" s="1"/>
  <c r="U34" i="15" a="1"/>
  <c r="U34" i="15" s="1"/>
  <c r="U45" i="15"/>
  <c r="U41" i="15" a="1"/>
  <c r="U41" i="15" s="1"/>
  <c r="U39" i="15" a="1"/>
  <c r="U39" i="15" s="1"/>
  <c r="U37" i="15" a="1"/>
  <c r="U37" i="15" s="1"/>
  <c r="U35" i="15" a="1"/>
  <c r="U35" i="15" s="1"/>
  <c r="U40" i="15" a="1"/>
  <c r="U40" i="15" s="1"/>
  <c r="U36" i="15" a="1"/>
  <c r="U36" i="15" s="1"/>
  <c r="U42" i="15" a="1"/>
  <c r="U42" i="15" s="1"/>
  <c r="U38" i="15" a="1"/>
  <c r="U38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42" i="15" a="1"/>
  <c r="T42" i="15" s="1"/>
  <c r="T38" i="15" a="1"/>
  <c r="T38" i="15" s="1"/>
  <c r="T36" i="15" a="1"/>
  <c r="T36" i="15" s="1"/>
  <c r="T40" i="15" a="1"/>
  <c r="T40" i="15" s="1"/>
  <c r="T34" i="15" a="1"/>
  <c r="T34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29" i="15"/>
  <c r="R37" i="15" a="1"/>
  <c r="R37" i="15" s="1"/>
  <c r="R33" i="15" a="1"/>
  <c r="R33" i="15" s="1"/>
  <c r="R45" i="15"/>
  <c r="R41" i="15" a="1"/>
  <c r="R41" i="15" s="1"/>
  <c r="R39" i="15" a="1"/>
  <c r="R39" i="15" s="1"/>
  <c r="R35" i="15" a="1"/>
  <c r="R35" i="15" s="1"/>
  <c r="R38" i="15" a="1"/>
  <c r="R38" i="15" s="1"/>
  <c r="R34" i="15" a="1"/>
  <c r="R34" i="15" s="1"/>
  <c r="R42" i="15" a="1"/>
  <c r="R42" i="15" s="1"/>
  <c r="R40" i="15" a="1"/>
  <c r="R40" i="15" s="1"/>
  <c r="R36" i="15" a="1"/>
  <c r="R36" i="15" s="1"/>
  <c r="Q29" i="15"/>
  <c r="Q33" i="15" a="1"/>
  <c r="Q33" i="15" s="1"/>
  <c r="Q36" i="15" a="1"/>
  <c r="Q36" i="15" s="1"/>
  <c r="Q45" i="15"/>
  <c r="Q41" i="15" a="1"/>
  <c r="Q41" i="15" s="1"/>
  <c r="Q39" i="15" a="1"/>
  <c r="Q39" i="15" s="1"/>
  <c r="Q37" i="15" a="1"/>
  <c r="Q37" i="15" s="1"/>
  <c r="Q35" i="15" a="1"/>
  <c r="Q35" i="15" s="1"/>
  <c r="Q40" i="15" a="1"/>
  <c r="Q40" i="15" s="1"/>
  <c r="Q34" i="15" a="1"/>
  <c r="Q34" i="15" s="1"/>
  <c r="Q42" i="15" a="1"/>
  <c r="Q42" i="15" s="1"/>
  <c r="Q38" i="15" a="1"/>
  <c r="Q38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34" i="15" a="1"/>
  <c r="P34" i="15" s="1"/>
  <c r="P42" i="15" a="1"/>
  <c r="P42" i="15" s="1"/>
  <c r="P40" i="15" a="1"/>
  <c r="P40" i="15" s="1"/>
  <c r="P38" i="15" a="1"/>
  <c r="P38" i="15" s="1"/>
  <c r="P36" i="15" a="1"/>
  <c r="P36" i="15" s="1"/>
  <c r="O29" i="15"/>
  <c r="O33" i="15" a="1"/>
  <c r="O33" i="15" s="1"/>
  <c r="O36" i="15" a="1"/>
  <c r="O36" i="15" s="1"/>
  <c r="O45" i="15"/>
  <c r="O41" i="15" a="1"/>
  <c r="O41" i="15" s="1"/>
  <c r="O39" i="15" a="1"/>
  <c r="O39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34" i="15" a="1"/>
  <c r="N34" i="15" s="1"/>
  <c r="N42" i="15" a="1"/>
  <c r="N42" i="15" s="1"/>
  <c r="N40" i="15" a="1"/>
  <c r="N40" i="15" s="1"/>
  <c r="N38" i="15" a="1"/>
  <c r="N38" i="15" s="1"/>
  <c r="N36" i="15" a="1"/>
  <c r="N36" i="15" s="1"/>
  <c r="M29" i="15"/>
  <c r="M40" i="15" a="1"/>
  <c r="M40" i="15" s="1"/>
  <c r="M45" i="15"/>
  <c r="M41" i="15" a="1"/>
  <c r="M41" i="15" s="1"/>
  <c r="M39" i="15" a="1"/>
  <c r="M39" i="15" s="1"/>
  <c r="M37" i="15" a="1"/>
  <c r="M37" i="15" s="1"/>
  <c r="M35" i="15" a="1"/>
  <c r="M35" i="15" s="1"/>
  <c r="M33" i="15" a="1"/>
  <c r="M33" i="15" s="1"/>
  <c r="M38" i="15" a="1"/>
  <c r="M38" i="15" s="1"/>
  <c r="M34" i="15" a="1"/>
  <c r="M34" i="15" s="1"/>
  <c r="M42" i="15" a="1"/>
  <c r="M42" i="15" s="1"/>
  <c r="M36" i="15" a="1"/>
  <c r="M36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34" i="15" a="1"/>
  <c r="L34" i="15" s="1"/>
  <c r="L42" i="15" a="1"/>
  <c r="L42" i="15" s="1"/>
  <c r="L40" i="15" a="1"/>
  <c r="L40" i="15" s="1"/>
  <c r="L38" i="15" a="1"/>
  <c r="L38" i="15" s="1"/>
  <c r="L36" i="15" a="1"/>
  <c r="L36" i="15" s="1"/>
  <c r="K29" i="15"/>
  <c r="K45" i="15"/>
  <c r="K41" i="15" a="1"/>
  <c r="K41" i="15" s="1"/>
  <c r="K39" i="15" a="1"/>
  <c r="K39" i="15" s="1"/>
  <c r="K37" i="15" a="1"/>
  <c r="K37" i="15" s="1"/>
  <c r="K35" i="15" a="1"/>
  <c r="K35" i="15" s="1"/>
  <c r="K33" i="15" a="1"/>
  <c r="K33" i="15" s="1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E10" i="13"/>
  <c r="E8" i="12"/>
  <c r="B8" i="12" s="1"/>
  <c r="C8" i="12" s="1"/>
  <c r="D7" i="12"/>
  <c r="A7" i="12" s="1"/>
  <c r="C7" i="12"/>
  <c r="AE29" i="14"/>
  <c r="AE39" i="14" a="1"/>
  <c r="AE39" i="14" s="1"/>
  <c r="AE37" i="14" a="1"/>
  <c r="AE37" i="14" s="1"/>
  <c r="AE33" i="14" a="1"/>
  <c r="AE33" i="14" s="1"/>
  <c r="AE34" i="14" a="1"/>
  <c r="AE34" i="14" s="1"/>
  <c r="AE45" i="14"/>
  <c r="AE41" i="14" a="1"/>
  <c r="AE41" i="14" s="1"/>
  <c r="AE35" i="14" a="1"/>
  <c r="AE35" i="14" s="1"/>
  <c r="AE42" i="14" a="1"/>
  <c r="AE42" i="14" s="1"/>
  <c r="AE40" i="14" a="1"/>
  <c r="AE40" i="14" s="1"/>
  <c r="AE38" i="14" a="1"/>
  <c r="AE38" i="14" s="1"/>
  <c r="AE36" i="14" a="1"/>
  <c r="AE36" i="14" s="1"/>
  <c r="AD29" i="14"/>
  <c r="AD45" i="14"/>
  <c r="AD41" i="14" a="1"/>
  <c r="AD41" i="14" s="1"/>
  <c r="AD39" i="14" a="1"/>
  <c r="AD39" i="14" s="1"/>
  <c r="AD37" i="14" a="1"/>
  <c r="AD37" i="14" s="1"/>
  <c r="AD35" i="14" a="1"/>
  <c r="AD35" i="14" s="1"/>
  <c r="AD33" i="14" a="1"/>
  <c r="AD33" i="14" s="1"/>
  <c r="AD34" i="14" a="1"/>
  <c r="AD34" i="14" s="1"/>
  <c r="AD42" i="14" a="1"/>
  <c r="AD42" i="14" s="1"/>
  <c r="AD40" i="14" a="1"/>
  <c r="AD40" i="14" s="1"/>
  <c r="AD38" i="14" a="1"/>
  <c r="AD38" i="14" s="1"/>
  <c r="AD36" i="14" a="1"/>
  <c r="AD36" i="14" s="1"/>
  <c r="AC29" i="14"/>
  <c r="AC39" i="14" a="1"/>
  <c r="AC39" i="14" s="1"/>
  <c r="AC35" i="14" a="1"/>
  <c r="AC35" i="14" s="1"/>
  <c r="AC34" i="14" a="1"/>
  <c r="AC34" i="14" s="1"/>
  <c r="AC45" i="14"/>
  <c r="AC41" i="14" a="1"/>
  <c r="AC41" i="14" s="1"/>
  <c r="AC37" i="14" a="1"/>
  <c r="AC37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B29" i="14"/>
  <c r="AB45" i="14"/>
  <c r="AB41" i="14" a="1"/>
  <c r="AB41" i="14" s="1"/>
  <c r="AB39" i="14" a="1"/>
  <c r="AB39" i="14" s="1"/>
  <c r="AB37" i="14" a="1"/>
  <c r="AB37" i="14" s="1"/>
  <c r="AB35" i="14" a="1"/>
  <c r="AB35" i="14" s="1"/>
  <c r="AB33" i="14" a="1"/>
  <c r="AB33" i="14" s="1"/>
  <c r="AB42" i="14" a="1"/>
  <c r="AB42" i="14" s="1"/>
  <c r="AB40" i="14" a="1"/>
  <c r="AB40" i="14" s="1"/>
  <c r="AB38" i="14" a="1"/>
  <c r="AB38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4" i="14" a="1"/>
  <c r="AA34" i="14" s="1"/>
  <c r="AA42" i="14" a="1"/>
  <c r="AA42" i="14" s="1"/>
  <c r="AA38" i="14" a="1"/>
  <c r="AA38" i="14" s="1"/>
  <c r="AA36" i="14" a="1"/>
  <c r="AA36" i="14" s="1"/>
  <c r="Z29" i="14"/>
  <c r="Z33" i="14" a="1"/>
  <c r="Z33" i="14" s="1"/>
  <c r="Z45" i="14"/>
  <c r="Z41" i="14" a="1"/>
  <c r="Z41" i="14" s="1"/>
  <c r="Z39" i="14" a="1"/>
  <c r="Z39" i="14" s="1"/>
  <c r="Z37" i="14" a="1"/>
  <c r="Z37" i="14" s="1"/>
  <c r="Z35" i="14" a="1"/>
  <c r="Z35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45" i="14"/>
  <c r="X41" i="14" a="1"/>
  <c r="X41" i="14" s="1"/>
  <c r="X39" i="14" a="1"/>
  <c r="X39" i="14" s="1"/>
  <c r="X37" i="14" a="1"/>
  <c r="X37" i="14" s="1"/>
  <c r="X35" i="14" a="1"/>
  <c r="X35" i="14" s="1"/>
  <c r="X33" i="14" a="1"/>
  <c r="X33" i="14" s="1"/>
  <c r="X42" i="14" a="1"/>
  <c r="X42" i="14" s="1"/>
  <c r="X40" i="14" a="1"/>
  <c r="X40" i="14" s="1"/>
  <c r="X38" i="14" a="1"/>
  <c r="X38" i="14" s="1"/>
  <c r="X36" i="14" a="1"/>
  <c r="X36" i="14" s="1"/>
  <c r="X34" i="14" a="1"/>
  <c r="X34" i="14" s="1"/>
  <c r="W29" i="14"/>
  <c r="W33" i="14" a="1"/>
  <c r="W33" i="14" s="1"/>
  <c r="W45" i="14"/>
  <c r="W41" i="14" a="1"/>
  <c r="W41" i="14" s="1"/>
  <c r="W39" i="14" a="1"/>
  <c r="W39" i="14" s="1"/>
  <c r="W37" i="14" a="1"/>
  <c r="W37" i="14" s="1"/>
  <c r="W35" i="14" a="1"/>
  <c r="W35" i="14" s="1"/>
  <c r="W40" i="14" a="1"/>
  <c r="W40" i="14" s="1"/>
  <c r="W42" i="14" a="1"/>
  <c r="W42" i="14" s="1"/>
  <c r="W38" i="14" a="1"/>
  <c r="W38" i="14" s="1"/>
  <c r="W36" i="14" a="1"/>
  <c r="W36" i="14" s="1"/>
  <c r="W34" i="14" a="1"/>
  <c r="W34" i="14" s="1"/>
  <c r="V29" i="14"/>
  <c r="V33" i="14" a="1"/>
  <c r="V33" i="14" s="1"/>
  <c r="V45" i="14"/>
  <c r="V41" i="14" a="1"/>
  <c r="V41" i="14" s="1"/>
  <c r="V39" i="14" a="1"/>
  <c r="V39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V36" i="14" a="1"/>
  <c r="V36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45" i="14"/>
  <c r="T41" i="14" a="1"/>
  <c r="T41" i="14" s="1"/>
  <c r="T39" i="14" a="1"/>
  <c r="T39" i="14" s="1"/>
  <c r="T37" i="14" a="1"/>
  <c r="T37" i="14" s="1"/>
  <c r="T35" i="14" a="1"/>
  <c r="T35" i="14" s="1"/>
  <c r="T33" i="14" a="1"/>
  <c r="T33" i="14" s="1"/>
  <c r="T42" i="14" a="1"/>
  <c r="T42" i="14" s="1"/>
  <c r="T40" i="14" a="1"/>
  <c r="T40" i="14" s="1"/>
  <c r="T38" i="14" a="1"/>
  <c r="T38" i="14" s="1"/>
  <c r="T36" i="14" a="1"/>
  <c r="T36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4" i="14" a="1"/>
  <c r="S34" i="14" s="1"/>
  <c r="S42" i="14" a="1"/>
  <c r="S42" i="14" s="1"/>
  <c r="S38" i="14" a="1"/>
  <c r="S38" i="14" s="1"/>
  <c r="S36" i="14" a="1"/>
  <c r="S36" i="14" s="1"/>
  <c r="R29" i="14"/>
  <c r="R45" i="14"/>
  <c r="R41" i="14" a="1"/>
  <c r="R41" i="14" s="1"/>
  <c r="R39" i="14" a="1"/>
  <c r="R39" i="14" s="1"/>
  <c r="R37" i="14" a="1"/>
  <c r="R37" i="14" s="1"/>
  <c r="R35" i="14" a="1"/>
  <c r="R35" i="14" s="1"/>
  <c r="R33" i="14" a="1"/>
  <c r="R33" i="14" s="1"/>
  <c r="R42" i="14" a="1"/>
  <c r="R42" i="14" s="1"/>
  <c r="R40" i="14" a="1"/>
  <c r="R40" i="14" s="1"/>
  <c r="R38" i="14" a="1"/>
  <c r="R38" i="14" s="1"/>
  <c r="R36" i="14" a="1"/>
  <c r="R36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4" i="14" a="1"/>
  <c r="Q34" i="14" s="1"/>
  <c r="Q42" i="14" a="1"/>
  <c r="Q42" i="14" s="1"/>
  <c r="Q38" i="14" a="1"/>
  <c r="Q38" i="14" s="1"/>
  <c r="Q36" i="14" a="1"/>
  <c r="Q36" i="14" s="1"/>
  <c r="P29" i="14"/>
  <c r="P45" i="14"/>
  <c r="P41" i="14" a="1"/>
  <c r="P41" i="14" s="1"/>
  <c r="P39" i="14" a="1"/>
  <c r="P39" i="14" s="1"/>
  <c r="P37" i="14" a="1"/>
  <c r="P37" i="14" s="1"/>
  <c r="P35" i="14" a="1"/>
  <c r="P35" i="14" s="1"/>
  <c r="P33" i="14" a="1"/>
  <c r="P33" i="14" s="1"/>
  <c r="P42" i="14" a="1"/>
  <c r="P42" i="14" s="1"/>
  <c r="P40" i="14" a="1"/>
  <c r="P40" i="14" s="1"/>
  <c r="P38" i="14" a="1"/>
  <c r="P38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3" i="14" a="1"/>
  <c r="N33" i="14" s="1"/>
  <c r="N45" i="14"/>
  <c r="N41" i="14" a="1"/>
  <c r="N41" i="14" s="1"/>
  <c r="N39" i="14" a="1"/>
  <c r="N39" i="14" s="1"/>
  <c r="N37" i="14" a="1"/>
  <c r="N37" i="14" s="1"/>
  <c r="N35" i="14" a="1"/>
  <c r="N35" i="14" s="1"/>
  <c r="N34" i="14" a="1"/>
  <c r="N34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45" i="14"/>
  <c r="K41" i="14" a="1"/>
  <c r="K41" i="14" s="1"/>
  <c r="K39" i="14" a="1"/>
  <c r="K39" i="14" s="1"/>
  <c r="K37" i="14" a="1"/>
  <c r="K37" i="14" s="1"/>
  <c r="K35" i="14" a="1"/>
  <c r="K35" i="14" s="1"/>
  <c r="K33" i="14" a="1"/>
  <c r="K33" i="14" s="1"/>
  <c r="K42" i="14" a="1"/>
  <c r="K42" i="14" s="1"/>
  <c r="K40" i="14" a="1"/>
  <c r="K40" i="14" s="1"/>
  <c r="K38" i="14" a="1"/>
  <c r="K38" i="14" s="1"/>
  <c r="K36" i="14" a="1"/>
  <c r="K36" i="14" s="1"/>
  <c r="K34" i="14" a="1"/>
  <c r="K34" i="14" s="1"/>
  <c r="J29" i="14"/>
  <c r="J37" i="14" a="1"/>
  <c r="J37" i="14" s="1"/>
  <c r="J38" i="14" a="1"/>
  <c r="J38" i="14" s="1"/>
  <c r="J45" i="14"/>
  <c r="J41" i="14" a="1"/>
  <c r="J41" i="14" s="1"/>
  <c r="J39" i="14" a="1"/>
  <c r="J39" i="14" s="1"/>
  <c r="J35" i="14" a="1"/>
  <c r="J35" i="14" s="1"/>
  <c r="J33" i="14" a="1"/>
  <c r="J33" i="14" s="1"/>
  <c r="J36" i="14" a="1"/>
  <c r="J36" i="14" s="1"/>
  <c r="J42" i="14" a="1"/>
  <c r="J42" i="14" s="1"/>
  <c r="J40" i="14" a="1"/>
  <c r="J40" i="14" s="1"/>
  <c r="J34" i="14" a="1"/>
  <c r="J34" i="14" s="1"/>
  <c r="I29" i="14"/>
  <c r="I39" i="14" a="1"/>
  <c r="I39" i="14" s="1"/>
  <c r="I35" i="14" a="1"/>
  <c r="I35" i="14" s="1"/>
  <c r="I45" i="14"/>
  <c r="I41" i="14" a="1"/>
  <c r="I41" i="14" s="1"/>
  <c r="I37" i="14" a="1"/>
  <c r="I37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45" i="14"/>
  <c r="H41" i="14" a="1"/>
  <c r="H41" i="14" s="1"/>
  <c r="H39" i="14" a="1"/>
  <c r="H39" i="14" s="1"/>
  <c r="H37" i="14" a="1"/>
  <c r="H37" i="14" s="1"/>
  <c r="H35" i="14" a="1"/>
  <c r="H35" i="14" s="1"/>
  <c r="H33" i="14" a="1"/>
  <c r="H33" i="14" s="1"/>
  <c r="H42" i="14" a="1"/>
  <c r="H42" i="14" s="1"/>
  <c r="H40" i="14" a="1"/>
  <c r="H40" i="14" s="1"/>
  <c r="H38" i="14" a="1"/>
  <c r="H38" i="14" s="1"/>
  <c r="H36" i="14" a="1"/>
  <c r="H36" i="14" s="1"/>
  <c r="H34" i="14" a="1"/>
  <c r="H34" i="14" s="1"/>
  <c r="T18" i="1"/>
  <c r="I46" i="15" l="1"/>
  <c r="M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L46" i="15"/>
  <c r="K46" i="15"/>
  <c r="J46" i="15"/>
  <c r="E11" i="13"/>
  <c r="E9" i="12"/>
  <c r="E10" i="12" s="1"/>
  <c r="D8" i="12"/>
  <c r="A8" i="12" s="1"/>
  <c r="B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E12" i="13" l="1"/>
  <c r="B10" i="12"/>
  <c r="E11" i="12"/>
  <c r="D9" i="12"/>
  <c r="A9" i="12" s="1"/>
  <c r="C9" i="12"/>
  <c r="D19" i="16"/>
  <c r="E13" i="13" l="1"/>
  <c r="C10" i="12"/>
  <c r="D10" i="12"/>
  <c r="A10" i="12" s="1"/>
  <c r="B11" i="12"/>
  <c r="E12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E14" i="13" l="1"/>
  <c r="C11" i="12"/>
  <c r="D11" i="12"/>
  <c r="A11" i="12" s="1"/>
  <c r="B12" i="12"/>
  <c r="E13" i="12"/>
  <c r="J7" i="16"/>
  <c r="K7" i="16"/>
  <c r="E15" i="13" l="1"/>
  <c r="B13" i="12"/>
  <c r="E14" i="12"/>
  <c r="C12" i="12"/>
  <c r="D12" i="12"/>
  <c r="A12" i="12" s="1"/>
  <c r="H19" i="16"/>
  <c r="G19" i="16"/>
  <c r="E16" i="13" l="1"/>
  <c r="B14" i="12"/>
  <c r="E15" i="12"/>
  <c r="D13" i="12"/>
  <c r="A13" i="12" s="1"/>
  <c r="C13" i="12"/>
  <c r="H31" i="15" a="1"/>
  <c r="H31" i="15" s="1"/>
  <c r="G31" i="14" a="1"/>
  <c r="G31" i="14" s="1"/>
  <c r="E17" i="13" l="1"/>
  <c r="B15" i="12"/>
  <c r="E16" i="12"/>
  <c r="C14" i="12"/>
  <c r="D14" i="12"/>
  <c r="A14" i="12" s="1"/>
  <c r="E19" i="16"/>
  <c r="B8" i="13" l="1"/>
  <c r="C8" i="13" s="1"/>
  <c r="E18" i="13"/>
  <c r="B16" i="12"/>
  <c r="E17" i="12"/>
  <c r="C15" i="12"/>
  <c r="D15" i="12"/>
  <c r="A15" i="12" s="1"/>
  <c r="J17" i="16"/>
  <c r="K17" i="16"/>
  <c r="I17" i="16" s="1"/>
  <c r="J18" i="16"/>
  <c r="K18" i="16"/>
  <c r="I18" i="16" s="1"/>
  <c r="B9" i="13" l="1"/>
  <c r="C9" i="13" s="1"/>
  <c r="E19" i="13"/>
  <c r="B17" i="12"/>
  <c r="E18" i="12"/>
  <c r="C16" i="12"/>
  <c r="D16" i="12"/>
  <c r="A16" i="12" s="1"/>
  <c r="J22" i="16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10" i="13" l="1"/>
  <c r="E20" i="13"/>
  <c r="B18" i="12"/>
  <c r="E19" i="12"/>
  <c r="D17" i="12"/>
  <c r="A17" i="12" s="1"/>
  <c r="C17" i="12"/>
  <c r="B34" i="14" a="1"/>
  <c r="B34" i="14" s="1"/>
  <c r="A33" i="15"/>
  <c r="B34" i="15" a="1"/>
  <c r="B34" i="15" s="1"/>
  <c r="H33" i="15" a="1"/>
  <c r="H33" i="15" s="1"/>
  <c r="H29" i="15"/>
  <c r="H45" i="15"/>
  <c r="B7" i="13" s="1"/>
  <c r="C7" i="13" s="1"/>
  <c r="D23" i="16"/>
  <c r="D1" i="8"/>
  <c r="D1" i="6"/>
  <c r="D1" i="4"/>
  <c r="I19" i="16"/>
  <c r="D24" i="16" s="1"/>
  <c r="G29" i="14"/>
  <c r="G45" i="14"/>
  <c r="A33" i="14"/>
  <c r="G33" i="14" a="1"/>
  <c r="G33" i="14" s="1"/>
  <c r="B11" i="13" l="1"/>
  <c r="C10" i="13"/>
  <c r="E21" i="13"/>
  <c r="B35" i="15" a="1"/>
  <c r="B35" i="15" s="1"/>
  <c r="C18" i="12"/>
  <c r="D18" i="12"/>
  <c r="A18" i="12" s="1"/>
  <c r="B19" i="12"/>
  <c r="E20" i="12"/>
  <c r="B35" i="14" a="1"/>
  <c r="B35" i="14" s="1"/>
  <c r="B36" i="14" a="1"/>
  <c r="B36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5" i="15" l="1" a="1"/>
  <c r="H35" i="15" s="1"/>
  <c r="B12" i="13"/>
  <c r="C11" i="13"/>
  <c r="E22" i="13"/>
  <c r="A35" i="15"/>
  <c r="B36" i="15" a="1"/>
  <c r="B36" i="15" s="1"/>
  <c r="C19" i="12"/>
  <c r="D19" i="12"/>
  <c r="A19" i="12" s="1"/>
  <c r="B20" i="12"/>
  <c r="E21" i="12"/>
  <c r="G35" i="14" a="1"/>
  <c r="G35" i="14" s="1"/>
  <c r="A35" i="14"/>
  <c r="G36" i="14" a="1"/>
  <c r="G36" i="14" s="1"/>
  <c r="A36" i="14"/>
  <c r="B37" i="14" a="1"/>
  <c r="B37" i="14" s="1"/>
  <c r="B14" i="13" l="1"/>
  <c r="B13" i="13"/>
  <c r="C12" i="13"/>
  <c r="E23" i="13"/>
  <c r="B37" i="15" a="1"/>
  <c r="B37" i="15" s="1"/>
  <c r="H36" i="15" a="1"/>
  <c r="H36" i="15" s="1"/>
  <c r="A36" i="15"/>
  <c r="B21" i="12"/>
  <c r="E22" i="12"/>
  <c r="C20" i="12"/>
  <c r="D20" i="12"/>
  <c r="A20" i="12" s="1"/>
  <c r="A37" i="14"/>
  <c r="G37" i="14" a="1"/>
  <c r="G37" i="14" s="1"/>
  <c r="B38" i="14" a="1"/>
  <c r="B38" i="14" s="1"/>
  <c r="B15" i="13" l="1"/>
  <c r="C15" i="13" s="1"/>
  <c r="B38" i="15" a="1"/>
  <c r="B38" i="15" s="1"/>
  <c r="H38" i="15" s="1" a="1"/>
  <c r="H38" i="15" s="1"/>
  <c r="C13" i="13"/>
  <c r="C14" i="13"/>
  <c r="E24" i="13"/>
  <c r="A37" i="15"/>
  <c r="H37" i="15" a="1"/>
  <c r="H37" i="15" s="1"/>
  <c r="B22" i="12"/>
  <c r="E23" i="12"/>
  <c r="D21" i="12"/>
  <c r="A21" i="12" s="1"/>
  <c r="C21" i="12"/>
  <c r="B39" i="14" a="1"/>
  <c r="B39" i="14" s="1"/>
  <c r="A38" i="14"/>
  <c r="G38" i="14" a="1"/>
  <c r="G38" i="14" s="1"/>
  <c r="B16" i="13" l="1"/>
  <c r="C16" i="13" s="1"/>
  <c r="A38" i="15"/>
  <c r="B39" i="15" a="1"/>
  <c r="B39" i="15" s="1"/>
  <c r="A39" i="15" s="1"/>
  <c r="E25" i="13"/>
  <c r="C22" i="12"/>
  <c r="D22" i="12"/>
  <c r="A22" i="12" s="1"/>
  <c r="B23" i="12"/>
  <c r="E24" i="12"/>
  <c r="B40" i="14" a="1"/>
  <c r="B40" i="14" s="1"/>
  <c r="B41" i="14" s="1" a="1"/>
  <c r="B41" i="14" s="1"/>
  <c r="A39" i="14"/>
  <c r="G39" i="14" a="1"/>
  <c r="G39" i="14" s="1"/>
  <c r="B17" i="13" l="1"/>
  <c r="C17" i="13" s="1"/>
  <c r="H39" i="15" a="1"/>
  <c r="H39" i="15" s="1"/>
  <c r="B40" i="15" a="1"/>
  <c r="B40" i="15" s="1"/>
  <c r="H40" i="15" s="1" a="1"/>
  <c r="H40" i="15" s="1"/>
  <c r="E26" i="13"/>
  <c r="B24" i="12"/>
  <c r="E25" i="12"/>
  <c r="C23" i="12"/>
  <c r="D23" i="12"/>
  <c r="A23" i="12" s="1"/>
  <c r="A40" i="14"/>
  <c r="G40" i="14" a="1"/>
  <c r="G40" i="14" s="1"/>
  <c r="B42" i="14" a="1"/>
  <c r="B42" i="14" s="1"/>
  <c r="G42" i="14" a="1"/>
  <c r="G42" i="14" s="1"/>
  <c r="A42" i="14"/>
  <c r="G41" i="14" a="1"/>
  <c r="G41" i="14" s="1"/>
  <c r="A41" i="14"/>
  <c r="B18" i="13" l="1"/>
  <c r="C18" i="13" s="1"/>
  <c r="A40" i="15"/>
  <c r="B41" i="15" a="1"/>
  <c r="B41" i="15" s="1"/>
  <c r="E27" i="13"/>
  <c r="A41" i="15"/>
  <c r="H41" i="15" a="1"/>
  <c r="H41" i="15" s="1"/>
  <c r="B42" i="15" a="1"/>
  <c r="B42" i="15" s="1"/>
  <c r="B25" i="12"/>
  <c r="E26" i="12"/>
  <c r="C24" i="12"/>
  <c r="D24" i="12"/>
  <c r="A24" i="12" s="1"/>
  <c r="B19" i="13" l="1"/>
  <c r="C19" i="13" s="1"/>
  <c r="B20" i="13"/>
  <c r="E28" i="13"/>
  <c r="A42" i="15"/>
  <c r="H42" i="15" a="1"/>
  <c r="H42" i="15" s="1"/>
  <c r="B26" i="12"/>
  <c r="E27" i="12"/>
  <c r="D25" i="12"/>
  <c r="A25" i="12" s="1"/>
  <c r="C25" i="12"/>
  <c r="C20" i="13" l="1"/>
  <c r="E29" i="13"/>
  <c r="B27" i="12"/>
  <c r="E28" i="12"/>
  <c r="C26" i="12"/>
  <c r="D26" i="12"/>
  <c r="A26" i="12" s="1"/>
  <c r="B21" i="13" l="1"/>
  <c r="C21" i="13" s="1"/>
  <c r="E30" i="13"/>
  <c r="B28" i="12"/>
  <c r="E29" i="12"/>
  <c r="C27" i="12"/>
  <c r="D27" i="12"/>
  <c r="A27" i="12" s="1"/>
  <c r="B22" i="13" l="1"/>
  <c r="C22" i="13" s="1"/>
  <c r="E31" i="13"/>
  <c r="B29" i="12"/>
  <c r="E30" i="12"/>
  <c r="C28" i="12"/>
  <c r="D28" i="12"/>
  <c r="A28" i="12" s="1"/>
  <c r="B23" i="13" l="1"/>
  <c r="C23" i="13" s="1"/>
  <c r="B30" i="12"/>
  <c r="E31" i="12"/>
  <c r="D29" i="12"/>
  <c r="A29" i="12" s="1"/>
  <c r="C29" i="12"/>
  <c r="B25" i="13" l="1"/>
  <c r="B24" i="13"/>
  <c r="C24" i="13" s="1"/>
  <c r="B31" i="12"/>
  <c r="C30" i="12"/>
  <c r="D30" i="12"/>
  <c r="A30" i="12" s="1"/>
  <c r="C25" i="13" l="1"/>
  <c r="C31" i="12"/>
  <c r="D31" i="12"/>
  <c r="A31" i="12" s="1"/>
  <c r="B27" i="13" l="1"/>
  <c r="B26" i="13"/>
  <c r="C26" i="13" s="1"/>
  <c r="G46" i="14"/>
  <c r="D27" i="13" l="1" a="1"/>
  <c r="D27" i="13" s="1"/>
  <c r="A27" i="13" s="1"/>
  <c r="D15" i="13" a="1"/>
  <c r="D15" i="13" s="1"/>
  <c r="A15" i="13" s="1"/>
  <c r="D23" i="13" a="1"/>
  <c r="D23" i="13" s="1"/>
  <c r="A23" i="13" s="1"/>
  <c r="D14" i="13" a="1"/>
  <c r="D14" i="13" s="1"/>
  <c r="A14" i="13" s="1"/>
  <c r="D8" i="13" a="1"/>
  <c r="D8" i="13" s="1"/>
  <c r="A8" i="13" s="1"/>
  <c r="D20" i="13" a="1"/>
  <c r="D20" i="13" s="1"/>
  <c r="A20" i="13" s="1"/>
  <c r="D9" i="13" a="1"/>
  <c r="D9" i="13" s="1"/>
  <c r="A9" i="13" s="1"/>
  <c r="D22" i="13" a="1"/>
  <c r="D22" i="13" s="1"/>
  <c r="A22" i="13" s="1"/>
  <c r="D11" i="13" a="1"/>
  <c r="D11" i="13" s="1"/>
  <c r="A11" i="13" s="1"/>
  <c r="D19" i="13" a="1"/>
  <c r="D19" i="13" s="1"/>
  <c r="A19" i="13" s="1"/>
  <c r="D18" i="13" a="1"/>
  <c r="D18" i="13" s="1"/>
  <c r="A18" i="13" s="1"/>
  <c r="D24" i="13" a="1"/>
  <c r="D24" i="13" s="1"/>
  <c r="A24" i="13" s="1"/>
  <c r="D17" i="13" a="1"/>
  <c r="D17" i="13" s="1"/>
  <c r="A17" i="13" s="1"/>
  <c r="D10" i="13" a="1"/>
  <c r="D10" i="13" s="1"/>
  <c r="A10" i="13" s="1"/>
  <c r="D16" i="13" a="1"/>
  <c r="D16" i="13" s="1"/>
  <c r="A16" i="13" s="1"/>
  <c r="D13" i="13" a="1"/>
  <c r="D13" i="13" s="1"/>
  <c r="A13" i="13" s="1"/>
  <c r="D21" i="13" a="1"/>
  <c r="D21" i="13" s="1"/>
  <c r="A21" i="13" s="1"/>
  <c r="D26" i="13" a="1"/>
  <c r="D26" i="13" s="1"/>
  <c r="A26" i="13" s="1"/>
  <c r="D12" i="13" a="1"/>
  <c r="D12" i="13" s="1"/>
  <c r="A12" i="13" s="1"/>
  <c r="D25" i="13" a="1"/>
  <c r="D25" i="13" s="1"/>
  <c r="A25" i="13" s="1"/>
  <c r="C27" i="13"/>
  <c r="H46" i="15"/>
  <c r="D7" i="13" s="1" a="1"/>
  <c r="D7" i="13" s="1"/>
  <c r="A7" i="13" s="1"/>
  <c r="D49" i="14"/>
  <c r="A49" i="14" s="1"/>
  <c r="B28" i="13" l="1"/>
  <c r="C28" i="13" s="1"/>
  <c r="D49" i="15" a="1"/>
  <c r="D49" i="15" s="1"/>
  <c r="A49" i="15" s="1"/>
  <c r="D28" i="13" l="1" a="1"/>
  <c r="D28" i="13" s="1"/>
  <c r="A28" i="13" s="1"/>
  <c r="B29" i="13"/>
  <c r="C29" i="13" s="1"/>
  <c r="D29" i="13" l="1" a="1"/>
  <c r="D29" i="13" s="1"/>
  <c r="A29" i="13" s="1"/>
  <c r="B30" i="13"/>
  <c r="C30" i="13" s="1"/>
  <c r="B31" i="13"/>
  <c r="D30" i="13" l="1" a="1"/>
  <c r="D30" i="13" s="1"/>
  <c r="A30" i="13" s="1"/>
  <c r="D31" i="13" a="1"/>
  <c r="D31" i="13" s="1"/>
  <c r="A31" i="13" s="1"/>
  <c r="C3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<sst xmlns="http://schemas.openxmlformats.org/spreadsheetml/2006/main" count="3948" uniqueCount="746">
  <si>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</si>
  <si>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</si>
  <si>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</si>
  <si>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</si>
  <si>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</si>
  <si>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</si>
  <si>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</si>
  <si>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</si>
  <si>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</si>
  <si>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</si>
  <si>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</si>
  <si>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</si>
  <si>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</si>
  <si>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</si>
  <si>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</si>
  <si>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</si>
  <si>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</si>
  <si>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</si>
  <si>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</si>
  <si>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</si>
  <si>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</si>
  <si>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</si>
  <si>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</si>
  <si>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</si>
  <si>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</si>
  <si>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</si>
  <si>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</si>
  <si>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</si>
  <si>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</si>
  <si>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</si>
  <si>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</si>
  <si>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</si>
  <si>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</si>
  <si>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</si>
  <si>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</si>
  <si>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</si>
  <si>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</si>
  <si>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</si>
  <si>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</si>
  <si>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</si>
  <si>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</si>
  <si>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</si>
  <si>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</si>
  <si>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</si>
  <si>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</si>
  <si>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</si>
  <si>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</si>
  <si>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</si>
  <si>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</si>
  <si>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</si>
  <si>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</si>
  <si>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</si>
  <si>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</si>
  <si>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</si>
  <si>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</si>
  <si>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</si>
  <si>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</si>
  <si>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</si>
  <si>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</si>
  <si>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</si>
  <si>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</si>
  <si>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</si>
  <si>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</si>
  <si>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</si>
  <si>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</si>
  <si>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</si>
  <si>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</si>
  <si>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</si>
  <si>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</si>
  <si>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</si>
  <si>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</si>
  <si>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</si>
  <si>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</si>
  <si>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</si>
  <si>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</si>
  <si>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</si>
  <si>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</si>
  <si>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</si>
  <si>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</si>
  <si>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</si>
  <si>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</si>
  <si>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</si>
  <si>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</si>
  <si>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</si>
  <si>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</si>
  <si>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</si>
  <si>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</si>
  <si>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</si>
  <si>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</si>
  <si>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</si>
  <si>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</si>
  <si>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</si>
  <si>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</si>
  <si>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</si>
  <si>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</si>
  <si>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</si>
  <si>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</si>
  <si>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</si>
  <si>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</si>
  <si>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</si>
  <si>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</si>
  <si>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</si>
  <si>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</si>
  <si>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</si>
  <si>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</si>
  <si>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</si>
  <si>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</si>
  <si>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</si>
  <si>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</si>
  <si>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</si>
  <si>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</si>
  <si>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</si>
  <si>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</si>
  <si>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</si>
  <si>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</si>
  <si>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</si>
  <si>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</si>
  <si>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</si>
  <si>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</si>
  <si>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</si>
  <si>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</si>
  <si>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</si>
  <si>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</si>
  <si>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</si>
  <si>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</si>
  <si>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</si>
  <si>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</si>
  <si>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</si>
  <si>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</si>
  <si>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</si>
  <si>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</si>
  <si>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</si>
  <si>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</si>
  <si>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</si>
  <si>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</si>
  <si>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</si>
  <si>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</si>
  <si>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</si>
  <si>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</si>
  <si>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</si>
  <si>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</si>
  <si>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</si>
  <si>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</si>
  <si>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</si>
  <si>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</si>
  <si>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</si>
  <si>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</si>
  <si>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</si>
  <si>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</si>
  <si>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</si>
  <si>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</si>
  <si>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</si>
  <si>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</si>
  <si>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</si>
  <si>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</si>
  <si>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</si>
  <si>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</si>
  <si>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</si>
  <si>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</si>
  <si>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</si>
  <si>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</si>
  <si>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</si>
  <si>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</si>
  <si>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</si>
  <si>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</si>
  <si>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</si>
  <si>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</si>
  <si>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</si>
  <si>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</si>
  <si>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</si>
  <si>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</si>
  <si>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</si>
  <si>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</si>
  <si>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</si>
  <si>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</si>
  <si>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</si>
  <si>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</si>
  <si>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</si>
  <si>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</si>
  <si>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</si>
  <si>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</si>
  <si>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</si>
  <si>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</si>
  <si>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</si>
  <si>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</si>
  <si>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</si>
  <si>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</si>
  <si>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</si>
  <si>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</si>
  <si>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</si>
  <si>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</si>
  <si>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</si>
  <si>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</si>
  <si>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</si>
  <si>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</si>
  <si>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</si>
  <si>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</si>
  <si>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</si>
  <si>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</si>
  <si>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</si>
  <si>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</si>
  <si>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</si>
  <si>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</si>
  <si>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</si>
  <si>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</si>
  <si>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</si>
  <si>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</si>
  <si>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</si>
  <si>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</si>
  <si>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</si>
  <si>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</si>
  <si>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</si>
  <si>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</si>
  <si>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</si>
  <si>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</si>
  <si>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</si>
  <si>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</si>
  <si>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</si>
  <si>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</si>
  <si>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</si>
  <si>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</si>
  <si>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</si>
  <si>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</si>
  <si>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</si>
  <si>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</si>
  <si>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</si>
  <si>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</si>
  <si>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</si>
  <si>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</si>
  <si>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</si>
  <si>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</si>
  <si>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</si>
  <si>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</si>
  <si>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</si>
  <si>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</si>
  <si>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</si>
  <si>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</si>
  <si>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</si>
  <si>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</si>
  <si>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</si>
  <si>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</si>
  <si>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</si>
  <si>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</si>
  <si>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</si>
  <si>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</si>
  <si>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</si>
  <si>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</si>
  <si>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</si>
  <si>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</si>
  <si>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</si>
  <si>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</si>
  <si>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</si>
  <si>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</si>
  <si>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</si>
  <si>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</si>
  <si>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</si>
  <si>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</si>
  <si>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</si>
  <si>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</si>
  <si>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</si>
  <si>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</si>
  <si>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</si>
  <si>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</si>
  <si>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</si>
  <si>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</si>
  <si>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</si>
  <si>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</si>
  <si>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</si>
  <si>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</si>
  <si>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</si>
  <si>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</si>
  <si>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</si>
  <si>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</si>
  <si>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</si>
  <si>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</si>
  <si>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</si>
  <si>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</si>
  <si>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</si>
  <si>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</si>
  <si>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</si>
  <si>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</si>
  <si>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</si>
  <si>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</si>
  <si>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</si>
  <si>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</si>
  <si>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</si>
  <si>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</si>
  <si>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</si>
  <si>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</si>
  <si>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</si>
  <si>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</si>
  <si>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</si>
  <si>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</si>
  <si>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</si>
  <si>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</si>
  <si>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</si>
  <si>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</si>
  <si>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</si>
  <si>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</si>
  <si>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</si>
  <si>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</si>
  <si>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</si>
  <si>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</si>
  <si>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</si>
  <si>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</si>
  <si>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</si>
  <si>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</si>
  <si>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</si>
  <si>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</si>
  <si>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</si>
  <si>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</si>
  <si>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</si>
  <si>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</si>
  <si>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</si>
  <si>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</si>
  <si>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</si>
  <si>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</si>
  <si>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</si>
  <si>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</si>
  <si>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</si>
  <si>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</si>
  <si>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</si>
  <si>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</si>
  <si>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</si>
  <si>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</si>
  <si>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</si>
  <si>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</si>
  <si>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</si>
  <si>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</si>
  <si>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</si>
  <si>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</si>
  <si>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</si>
  <si>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</si>
  <si>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</si>
  <si>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</si>
  <si>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</si>
  <si>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</si>
  <si>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</si>
  <si>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</si>
  <si>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</si>
  <si>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</si>
  <si>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</si>
  <si>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</si>
  <si>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</si>
  <si>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</si>
  <si>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</si>
  <si>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</si>
  <si>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</si>
  <si>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</si>
  <si>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</si>
  <si>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</si>
  <si>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</si>
  <si>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</si>
  <si>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</si>
  <si>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</si>
  <si>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</si>
  <si>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</si>
  <si>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</si>
  <si>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</si>
  <si>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</si>
  <si>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</si>
  <si>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</si>
  <si>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</si>
  <si>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</si>
  <si>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</si>
  <si>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</si>
  <si>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</si>
  <si>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</si>
  <si>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</si>
  <si>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</si>
  <si>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</si>
  <si>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</si>
  <si>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</si>
  <si>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</si>
  <si>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</si>
  <si>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</si>
  <si>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</si>
  <si>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</si>
  <si>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</si>
  <si>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</si>
  <si>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</si>
  <si>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</si>
  <si>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</si>
  <si>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</si>
  <si>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</si>
  <si>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</si>
  <si>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</si>
  <si>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</si>
  <si>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</si>
  <si>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</si>
  <si>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</si>
  <si>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</si>
  <si>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</si>
  <si>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</si>
  <si>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</si>
  <si>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</si>
  <si>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</si>
  <si>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</si>
  <si>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</si>
  <si>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</si>
  <si>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</si>
  <si>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</si>
  <si>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</si>
  <si>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</si>
  <si>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</si>
  <si>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</si>
  <si>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</si>
  <si>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</si>
  <si>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</si>
  <si>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</si>
  <si>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</si>
  <si>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</si>
  <si>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</si>
  <si>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</si>
  <si>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</si>
  <si>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</si>
  <si>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</si>
  <si>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</si>
  <si>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</si>
  <si>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</si>
  <si>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</si>
  <si>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</si>
  <si>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</si>
  <si>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</si>
  <si>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</si>
  <si>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</si>
  <si>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</si>
  <si>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</si>
  <si>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</si>
  <si>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</si>
  <si>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</si>
  <si>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</si>
  <si>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</si>
  <si>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</si>
  <si>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</si>
  <si>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</si>
  <si>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</si>
  <si>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</si>
  <si>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</si>
  <si>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</si>
  <si>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</si>
  <si>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</si>
  <si>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</si>
  <si>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</si>
  <si>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</si>
  <si>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</si>
  <si>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</si>
  <si>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</si>
  <si>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</si>
  <si>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</si>
  <si>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</si>
  <si>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</si>
  <si>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</si>
  <si>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</si>
  <si>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</si>
  <si>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</si>
  <si>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</si>
  <si>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</si>
  <si>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</si>
  <si>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</si>
  <si>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</si>
  <si>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</si>
  <si>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</si>
  <si>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</si>
  <si>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</si>
  <si>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</si>
  <si>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</si>
  <si>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</si>
  <si>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</si>
  <si>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</si>
  <si>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</si>
  <si>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</si>
  <si>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</si>
  <si>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</si>
  <si>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</si>
  <si>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</si>
  <si>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</si>
  <si>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</si>
  <si>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</si>
  <si>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</si>
  <si>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</si>
  <si>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</si>
  <si>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</si>
  <si>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</si>
  <si>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</si>
  <si>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</si>
  <si>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</si>
  <si>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</si>
  <si>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</si>
  <si>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</si>
  <si>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</si>
  <si>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</si>
  <si>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</si>
  <si>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</si>
  <si>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</si>
  <si>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</si>
  <si>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</si>
  <si>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</si>
  <si>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</si>
  <si>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</si>
  <si>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</si>
  <si>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</si>
  <si>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</si>
  <si>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</si>
  <si>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</si>
  <si>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</si>
  <si>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</si>
  <si>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</si>
  <si>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</si>
  <si>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</si>
  <si>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</si>
  <si>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</si>
  <si>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</si>
  <si>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</si>
  <si>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</si>
  <si>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</si>
  <si>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</si>
  <si>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</si>
  <si>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</si>
  <si>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</si>
  <si>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</si>
  <si>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</si>
  <si>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</si>
  <si>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</si>
  <si>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</si>
  <si>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</si>
  <si>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</si>
  <si>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</si>
  <si>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</si>
  <si>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</si>
  <si>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</si>
  <si>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</si>
  <si>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</si>
  <si>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</si>
  <si>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</si>
  <si>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</si>
  <si>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</si>
  <si>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</si>
  <si>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</si>
  <si>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</si>
  <si>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</si>
  <si>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</si>
  <si>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</si>
  <si>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</si>
  <si>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</si>
  <si>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</si>
  <si>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</si>
  <si>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</si>
  <si>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</si>
  <si>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</si>
  <si>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</si>
  <si>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</si>
  <si>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</si>
  <si>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</si>
  <si>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</si>
  <si>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</si>
  <si>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</si>
  <si>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</si>
  <si>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</si>
  <si>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</si>
  <si>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</si>
  <si>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</si>
  <si>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</si>
  <si>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</si>
  <si>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</si>
  <si>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</si>
  <si>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</si>
  <si>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</si>
  <si>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</si>
  <si>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</si>
  <si>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</si>
  <si>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</si>
  <si>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</si>
  <si>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</si>
  <si>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</si>
  <si>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</si>
  <si>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</si>
  <si>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</si>
  <si>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</si>
  <si>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</si>
  <si>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</si>
  <si>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</si>
  <si>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</si>
  <si>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</si>
  <si>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</si>
  <si>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</si>
  <si>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</si>
  <si>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</si>
  <si>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</si>
  <si>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</si>
  <si>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</si>
  <si>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</si>
  <si>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</si>
  <si>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</si>
  <si>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</si>
  <si>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</si>
  <si>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</si>
  <si>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</si>
  <si>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</si>
  <si>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</si>
  <si>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</si>
  <si>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</si>
  <si>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</si>
  <si>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</si>
  <si>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</si>
  <si>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</si>
  <si>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</si>
  <si>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</si>
  <si>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</si>
  <si>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</si>
  <si>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</si>
  <si>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</si>
  <si>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</si>
  <si>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</si>
  <si>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</si>
  <si>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</si>
  <si>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</si>
  <si>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</si>
  <si>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</si>
  <si>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</si>
  <si>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</si>
  <si>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</si>
  <si>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</si>
  <si>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</si>
  <si>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</si>
  <si>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</si>
  <si>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</si>
  <si>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</si>
  <si>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</si>
  <si>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</si>
  <si>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</si>
  <si>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</si>
  <si>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</si>
  <si>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</si>
  <si>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</si>
  <si>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</si>
  <si>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</si>
  <si>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</si>
  <si>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</si>
  <si>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</si>
  <si>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</si>
  <si>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</si>
  <si>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</si>
  <si>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</si>
  <si>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</si>
  <si>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</si>
  <si>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</si>
  <si>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</si>
  <si>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</si>
  <si>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</si>
  <si>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</si>
  <si>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</si>
  <si>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</si>
  <si>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</si>
  <si>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</si>
  <si>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</si>
  <si>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</si>
  <si>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</si>
  <si>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</si>
  <si>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</si>
  <si>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</si>
  <si>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</si>
  <si>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</si>
  <si>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</si>
  <si>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</si>
  <si>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</si>
  <si>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</si>
  <si>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</si>
  <si>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</si>
  <si>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</si>
  <si>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</si>
  <si>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</si>
  <si>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</si>
  <si>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</si>
  <si>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</si>
  <si>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</si>
  <si>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</si>
  <si>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</si>
  <si>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</si>
  <si>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</si>
  <si>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</si>
  <si>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</si>
  <si>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</si>
  <si>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</si>
  <si>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</si>
  <si>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</si>
  <si>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</si>
  <si>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</si>
  <si>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</si>
  <si>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</si>
  <si>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</si>
  <si>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</si>
  <si>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</si>
  <si>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</si>
  <si>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</si>
  <si>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</si>
  <si>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</si>
  <si>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</si>
  <si>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</si>
  <si>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</si>
  <si>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</si>
  <si>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</si>
  <si>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</si>
  <si>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</si>
  <si>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</si>
  <si>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</si>
  <si>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</si>
  <si>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</si>
  <si>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</si>
  <si>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</si>
  <si>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</si>
  <si>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</si>
  <si>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</si>
  <si>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</si>
  <si>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</si>
  <si>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</si>
  <si>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</si>
  <si>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</si>
  <si>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</si>
  <si>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</si>
  <si>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</si>
  <si>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</si>
  <si>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</si>
  <si>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</si>
  <si>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</si>
  <si>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</si>
  <si>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</si>
  <si>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</si>
  <si>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</si>
  <si>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</si>
  <si>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</si>
  <si>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</si>
  <si>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</si>
  <si>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</si>
  <si>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</si>
  <si>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</si>
  <si>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</si>
  <si>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</si>
  <si>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</si>
  <si>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</si>
  <si>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</si>
  <si>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</si>
  <si>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</si>
  <si>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</si>
  <si>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AnalyticsEnergy Meter via upload</t>
  </si>
  <si>
    <t>AnalyticsWater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</si>
</sst>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8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opLeftCell="A4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4" t="s">
        <v>703</v>
      </c>
      <c r="D3" s="205"/>
      <c r="E3" s="205"/>
      <c r="F3" s="205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6" t="s">
        <v>728</v>
      </c>
      <c r="D15" s="208"/>
      <c r="E15" s="207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6"/>
      <c r="D17" s="207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43634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552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3" t="s">
        <v>573</v>
      </c>
      <c r="D28" s="203"/>
      <c r="E28" s="203"/>
      <c r="F28" s="203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BO0l2jqHrVkg2pwkm8ygbFkxcVENueXBGrGDSzxaWFTdYtx4JDRkDXXrGKJpKYYyNaIuwzh1gZBinu7VvJXE4A==" saltValue="thDdh0MwQrUAUP/ADc/YV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11" t="s">
        <v>604</v>
      </c>
      <c r="C4" s="211"/>
      <c r="D4" s="211"/>
      <c r="E4" s="211"/>
      <c r="F4" s="211"/>
      <c r="G4" s="211"/>
      <c r="H4" s="211"/>
      <c r="I4" s="211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2" t="s">
        <v>615</v>
      </c>
      <c r="C19" s="213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4" t="str">
        <f>CONCATENATE("Gross 
Floor Area 
",IF(Setup!$F$9="SI Units","(sq m)","(sq ft)"))</f>
        <v>Gross 
Floor Area 
(sq ft)</v>
      </c>
      <c r="C22" s="215"/>
      <c r="D22" s="183">
        <f>IFERROR(D19," ")</f>
        <v>1284</v>
      </c>
      <c r="F22" s="135"/>
      <c r="G22" s="216" t="s">
        <v>616</v>
      </c>
      <c r="H22" s="217"/>
      <c r="J22" s="171">
        <f>(G24*H24)/8</f>
        <v>15.125</v>
      </c>
    </row>
    <row r="23" spans="1:11" ht="38.25" x14ac:dyDescent="0.2">
      <c r="A23" s="170"/>
      <c r="B23" s="209" t="s">
        <v>617</v>
      </c>
      <c r="C23" s="218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9" t="s">
        <v>620</v>
      </c>
      <c r="C24" s="210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10" zoomScaleNormal="100" workbookViewId="0">
      <selection activeCell="B24" sqref="B24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1" t="s">
        <v>568</v>
      </c>
      <c r="C2" s="222"/>
      <c r="D2" s="35" t="s">
        <v>603</v>
      </c>
      <c r="E2" s="1"/>
    </row>
    <row r="3" spans="1:6" x14ac:dyDescent="0.25">
      <c r="A3" s="4" t="s">
        <v>601</v>
      </c>
      <c r="B3" s="219" t="s">
        <v>697</v>
      </c>
      <c r="C3" s="220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DMVflNu6hXVCodccV/c8lZcVvXUuIGiK3b+Q6EHPkPOG8zrdbowcWrkWJ6K79NXQo0l2ScST09gz1tmxyML++g==" saltValue="F9aa2y0yMCA7+of5hv8lM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F24" sqref="F24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734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A5" s="41">
        <v>0</v>
      </c>
      <c r="B5" s="78" t="s">
        <v>736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A6" s="41">
        <v>0</v>
      </c>
      <c r="B6" s="78" t="s">
        <v>737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A7" s="41">
        <v>0</v>
      </c>
      <c r="B7" s="78" t="s">
        <v>738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A8" s="41">
        <v>0</v>
      </c>
      <c r="B8" s="78" t="s">
        <v>735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A9" s="41">
        <v>0</v>
      </c>
      <c r="B9" s="78" t="s">
        <v>736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A10" s="41">
        <v>0</v>
      </c>
      <c r="B10" s="78" t="s">
        <v>734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A11" s="41">
        <v>0</v>
      </c>
      <c r="B11" s="78" t="s">
        <v>739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A12" s="41">
        <v>0</v>
      </c>
      <c r="B12" s="78" t="s">
        <v>740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A13" s="41">
        <v>0</v>
      </c>
      <c r="B13" s="78" t="s">
        <v>741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A14" s="41">
        <v>0</v>
      </c>
      <c r="B14" s="78" t="s">
        <v>742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A15" s="41">
        <v>0</v>
      </c>
      <c r="B15" s="78" t="s">
        <v>743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A16" s="41">
        <v>0</v>
      </c>
      <c r="B16" s="78" t="s">
        <v>734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A17" s="41">
        <v>0</v>
      </c>
      <c r="B17" s="78" t="s">
        <v>735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A18" s="41">
        <v>0</v>
      </c>
      <c r="B18" s="78" t="s">
        <v>736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A19" s="41">
        <v>0</v>
      </c>
      <c r="B19" s="78" t="s">
        <v>737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A20" s="41">
        <v>0</v>
      </c>
      <c r="B20" s="78" t="s">
        <v>738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A21" s="41">
        <v>0</v>
      </c>
      <c r="B21" s="78" t="s">
        <v>735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A22" s="41">
        <v>0</v>
      </c>
      <c r="B22" s="78" t="s">
        <v>736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A23" s="41">
        <v>0</v>
      </c>
      <c r="B23" s="78" t="s">
        <v>734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A24" s="41">
        <v>0</v>
      </c>
      <c r="B24" s="78" t="s">
        <v>739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A25" s="41">
        <v>0</v>
      </c>
      <c r="B25" s="78" t="s">
        <v>740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A26" s="41">
        <v>0</v>
      </c>
      <c r="B26" s="78" t="s">
        <v>741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A27" s="41">
        <v>0</v>
      </c>
      <c r="B27" s="78" t="s">
        <v>738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23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4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5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 t="shared" ref="G46:AE46" si="4">IFERROR(AVERAGE(G33:G44),0)</f>
        <v>0.62</v>
      </c>
      <c r="H46" s="103">
        <f t="shared" si="4"/>
        <v>0.19</v>
      </c>
      <c r="I46" s="103">
        <f t="shared" si="4"/>
        <v>0.44</v>
      </c>
      <c r="J46" s="103">
        <f t="shared" si="4"/>
        <v>0.73</v>
      </c>
      <c r="K46" s="103">
        <f t="shared" si="4"/>
        <v>0.99</v>
      </c>
      <c r="L46" s="103">
        <f t="shared" si="4"/>
        <v>0.11</v>
      </c>
      <c r="M46" s="103">
        <f t="shared" si="4"/>
        <v>0.25</v>
      </c>
      <c r="N46" s="103">
        <f t="shared" si="4"/>
        <v>0.25</v>
      </c>
      <c r="O46" s="103">
        <f t="shared" si="4"/>
        <v>0.33</v>
      </c>
      <c r="P46" s="103">
        <f t="shared" si="4"/>
        <v>0.19</v>
      </c>
      <c r="Q46" s="103">
        <f t="shared" si="4"/>
        <v>0.5</v>
      </c>
      <c r="R46" s="103">
        <f t="shared" si="4"/>
        <v>0.5</v>
      </c>
      <c r="S46" s="103">
        <f t="shared" si="4"/>
        <v>0.5</v>
      </c>
      <c r="T46" s="103">
        <f t="shared" si="4"/>
        <v>0.19</v>
      </c>
      <c r="U46" s="103">
        <f t="shared" si="4"/>
        <v>0.44</v>
      </c>
      <c r="V46" s="103">
        <f t="shared" si="4"/>
        <v>0.73</v>
      </c>
      <c r="W46" s="103">
        <f t="shared" si="4"/>
        <v>0.99</v>
      </c>
      <c r="X46" s="103">
        <f t="shared" si="4"/>
        <v>0.11</v>
      </c>
      <c r="Y46" s="103">
        <f t="shared" si="4"/>
        <v>0.25</v>
      </c>
      <c r="Z46" s="103">
        <f t="shared" si="4"/>
        <v>0.25</v>
      </c>
      <c r="AA46" s="103">
        <f t="shared" si="4"/>
        <v>0.33</v>
      </c>
      <c r="AB46" s="103">
        <f t="shared" si="4"/>
        <v>0.19</v>
      </c>
      <c r="AC46" s="103">
        <f t="shared" si="4"/>
        <v>0.5</v>
      </c>
      <c r="AD46" s="103">
        <f t="shared" si="4"/>
        <v>0.5</v>
      </c>
      <c r="AE46" s="103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KddY3xkeoEnMi/SZycTs03AUH+cIRAuv0H9Q60qH4lF1th66ntMA3/pBgubnAgb+4q0XH+E7ZZmuUMcBV7C4Zw==" saltValue="tiOJmf8bQZGVlCOa3KC2s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opLeftCell="A13" zoomScaleNormal="100" workbookViewId="0">
      <selection activeCell="D28" sqref="D28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1" t="s">
        <v>568</v>
      </c>
      <c r="C2" s="222"/>
      <c r="D2" s="34" t="s">
        <v>626</v>
      </c>
      <c r="E2" s="1"/>
    </row>
    <row r="3" spans="1:5" x14ac:dyDescent="0.25">
      <c r="A3" s="4" t="s">
        <v>601</v>
      </c>
      <c r="B3" s="219" t="s">
        <v>697</v>
      </c>
      <c r="C3" s="220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ebkEXsk0VFp6zfGZqBPKZfNtVGr1n+7osaGSRaFd+Poqsm75FtGqaikh2CbNU2Ac8ZzsCrKbafqZzS/7oNdxog==" saltValue="Rjp/YIqgmiAX8YewfCId3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 activeCell="I25" sqref="I25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734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736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737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738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735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736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734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739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740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741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742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743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734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735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736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737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738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735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736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734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739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740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741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738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23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4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5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 t="shared" ref="H45:AF45" si="3">H31</f>
        <v>44012</v>
      </c>
      <c r="I45" s="104">
        <f t="shared" si="3"/>
        <v>43982</v>
      </c>
      <c r="J45" s="104">
        <f t="shared" si="3"/>
        <v>43951</v>
      </c>
      <c r="K45" s="104">
        <f t="shared" si="3"/>
        <v>43921</v>
      </c>
      <c r="L45" s="104">
        <f t="shared" si="3"/>
        <v>43889</v>
      </c>
      <c r="M45" s="104">
        <f t="shared" si="3"/>
        <v>43861</v>
      </c>
      <c r="N45" s="104">
        <f t="shared" si="3"/>
        <v>43830</v>
      </c>
      <c r="O45" s="104">
        <f t="shared" si="3"/>
        <v>43799</v>
      </c>
      <c r="P45" s="104">
        <f t="shared" si="3"/>
        <v>43769</v>
      </c>
      <c r="Q45" s="104">
        <f t="shared" si="3"/>
        <v>43738</v>
      </c>
      <c r="R45" s="104">
        <f t="shared" si="3"/>
        <v>43708</v>
      </c>
      <c r="S45" s="104">
        <f t="shared" si="3"/>
        <v>43677</v>
      </c>
      <c r="T45" s="104">
        <f t="shared" si="3"/>
        <v>43646</v>
      </c>
      <c r="U45" s="104">
        <f t="shared" si="3"/>
        <v>43616</v>
      </c>
      <c r="V45" s="104">
        <f t="shared" si="3"/>
        <v>43585</v>
      </c>
      <c r="W45" s="104">
        <f t="shared" si="3"/>
        <v>43555</v>
      </c>
      <c r="X45" s="104">
        <f t="shared" si="3"/>
        <v>43524</v>
      </c>
      <c r="Y45" s="104">
        <f t="shared" si="3"/>
        <v>43496</v>
      </c>
      <c r="Z45" s="104">
        <f t="shared" si="3"/>
        <v>43465</v>
      </c>
      <c r="AA45" s="104">
        <f t="shared" si="3"/>
        <v>43434</v>
      </c>
      <c r="AB45" s="104">
        <f t="shared" si="3"/>
        <v>43404</v>
      </c>
      <c r="AC45" s="104">
        <f t="shared" si="3"/>
        <v>43373</v>
      </c>
      <c r="AD45" s="104">
        <f t="shared" si="3"/>
        <v>43343</v>
      </c>
      <c r="AE45" s="104">
        <f t="shared" si="3"/>
        <v>43312</v>
      </c>
      <c r="AF45" s="104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 t="shared" ref="H46:AF46" si="4">IFERROR(MAX(H33:H44),0)</f>
        <v>2654</v>
      </c>
      <c r="I46" s="103">
        <f t="shared" si="4"/>
        <v>1173</v>
      </c>
      <c r="J46" s="103">
        <f t="shared" si="4"/>
        <v>1098</v>
      </c>
      <c r="K46" s="103">
        <f t="shared" si="4"/>
        <v>986</v>
      </c>
      <c r="L46" s="103">
        <f t="shared" si="4"/>
        <v>1212</v>
      </c>
      <c r="M46" s="103">
        <f t="shared" si="4"/>
        <v>1993</v>
      </c>
      <c r="N46" s="103">
        <f t="shared" si="4"/>
        <v>2323</v>
      </c>
      <c r="O46" s="103">
        <f t="shared" si="4"/>
        <v>2566</v>
      </c>
      <c r="P46" s="103">
        <f t="shared" si="4"/>
        <v>2577</v>
      </c>
      <c r="Q46" s="103">
        <f t="shared" si="4"/>
        <v>2756</v>
      </c>
      <c r="R46" s="103">
        <f t="shared" si="4"/>
        <v>2677</v>
      </c>
      <c r="S46" s="103">
        <f t="shared" si="4"/>
        <v>1232</v>
      </c>
      <c r="T46" s="103">
        <f t="shared" si="4"/>
        <v>3221</v>
      </c>
      <c r="U46" s="103">
        <f t="shared" si="4"/>
        <v>1173</v>
      </c>
      <c r="V46" s="103">
        <f t="shared" si="4"/>
        <v>1098</v>
      </c>
      <c r="W46" s="103">
        <f t="shared" si="4"/>
        <v>986</v>
      </c>
      <c r="X46" s="103">
        <f t="shared" si="4"/>
        <v>1212</v>
      </c>
      <c r="Y46" s="103">
        <f t="shared" si="4"/>
        <v>1993</v>
      </c>
      <c r="Z46" s="103">
        <f t="shared" si="4"/>
        <v>2323</v>
      </c>
      <c r="AA46" s="103">
        <f t="shared" si="4"/>
        <v>2566</v>
      </c>
      <c r="AB46" s="103">
        <f t="shared" si="4"/>
        <v>2577</v>
      </c>
      <c r="AC46" s="103">
        <f t="shared" si="4"/>
        <v>2756</v>
      </c>
      <c r="AD46" s="103">
        <f t="shared" si="4"/>
        <v>2677</v>
      </c>
      <c r="AE46" s="103">
        <f t="shared" si="4"/>
        <v>1232</v>
      </c>
      <c r="AF46" s="103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FQj8+Q8CrdKCikg8B0zlpxRaorazJ8+wEhWqDqBgN2GySLrvJHAU+lR/CPMnFeXTqUa5q2oC4FMWjMSs+ryZoA==" saltValue="6PxIVqtH2Kwzyje4oIgUb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O19" sqref="O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21" t="s">
        <v>568</v>
      </c>
      <c r="C2" s="226"/>
      <c r="D2" s="222"/>
      <c r="E2" s="36" t="s">
        <v>575</v>
      </c>
      <c r="F2" s="1"/>
    </row>
    <row r="3" spans="1:6" ht="15" customHeight="1" x14ac:dyDescent="0.25">
      <c r="A3" s="4" t="s">
        <v>601</v>
      </c>
      <c r="B3" s="219" t="s">
        <v>697</v>
      </c>
      <c r="C3" s="227"/>
      <c r="D3" s="220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>
        <v>0</v>
      </c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>
        <v>0</v>
      </c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>
        <v>0</v>
      </c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>
        <v>0</v>
      </c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>
        <v>0</v>
      </c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>
        <v>0</v>
      </c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>
        <v>0</v>
      </c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>
        <v>0</v>
      </c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>
        <v>0</v>
      </c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>
        <v>0</v>
      </c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>
        <v>0</v>
      </c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>
        <v>0</v>
      </c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>
        <v>0</v>
      </c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>
        <v>0</v>
      </c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>
        <v>0</v>
      </c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>
        <v>0</v>
      </c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>
        <v>0</v>
      </c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>
        <v>0</v>
      </c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>
        <v>0</v>
      </c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>
        <v>0</v>
      </c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>
        <v>0</v>
      </c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>
        <v>0</v>
      </c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>
        <v>0</v>
      </c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23" sqref="B2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5" sqref="D1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745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43435</v>
      </c>
      <c r="C7" s="38">
        <v>43496</v>
      </c>
      <c r="D7" s="24">
        <v>5.46</v>
      </c>
      <c r="E7" s="1"/>
    </row>
    <row r="8" spans="1:5" x14ac:dyDescent="0.25">
      <c r="A8" s="4"/>
      <c r="B8" s="38"/>
      <c r="C8" s="38"/>
      <c r="D8" s="24"/>
      <c r="E8" s="1"/>
    </row>
    <row r="9" spans="1:5" x14ac:dyDescent="0.25">
      <c r="A9" s="4"/>
      <c r="B9" s="38"/>
      <c r="C9" s="38"/>
      <c r="D9" s="24"/>
      <c r="E9" s="1"/>
    </row>
    <row r="10" spans="1:5" x14ac:dyDescent="0.25">
      <c r="A10" s="4"/>
      <c r="B10" s="38"/>
      <c r="C10" s="38"/>
      <c r="D10" s="24"/>
      <c r="E10" s="1"/>
    </row>
    <row r="11" spans="1:5" x14ac:dyDescent="0.25">
      <c r="A11" s="4"/>
      <c r="B11" s="38"/>
      <c r="C11" s="38"/>
      <c r="D11" s="24"/>
      <c r="E11" s="1"/>
    </row>
    <row r="12" spans="1:5" x14ac:dyDescent="0.25">
      <c r="A12" s="4"/>
      <c r="B12" s="38"/>
      <c r="C12" s="38"/>
      <c r="D12" s="24"/>
      <c r="E12" s="1"/>
    </row>
    <row r="13" spans="1:5" x14ac:dyDescent="0.25">
      <c r="A13" s="4"/>
      <c r="B13" s="38"/>
      <c r="C13" s="38"/>
      <c r="D13" s="24"/>
      <c r="E13" s="1"/>
    </row>
    <row r="14" spans="1:5" x14ac:dyDescent="0.25">
      <c r="A14" s="4"/>
      <c r="B14" s="38"/>
      <c r="C14" s="38"/>
      <c r="D14" s="24"/>
      <c r="E14" s="1"/>
    </row>
    <row r="15" spans="1:5" x14ac:dyDescent="0.25">
      <c r="A15" s="4"/>
      <c r="B15" s="38"/>
      <c r="C15" s="38"/>
      <c r="D15" s="24"/>
      <c r="E15" s="1"/>
    </row>
    <row r="16" spans="1:5" x14ac:dyDescent="0.25">
      <c r="A16" s="4"/>
      <c r="B16" s="38"/>
      <c r="C16" s="38"/>
      <c r="D16" s="24"/>
      <c r="E16" s="1"/>
    </row>
    <row r="17" spans="1:5" x14ac:dyDescent="0.25">
      <c r="A17" s="4"/>
      <c r="B17" s="38"/>
      <c r="C17" s="38"/>
      <c r="D17" s="24"/>
      <c r="E17" s="1"/>
    </row>
    <row r="18" spans="1:5" x14ac:dyDescent="0.25">
      <c r="A18" s="4"/>
      <c r="B18" s="38"/>
      <c r="C18" s="38"/>
      <c r="D18" s="24"/>
      <c r="E18" s="1"/>
    </row>
    <row r="19" spans="1:5" x14ac:dyDescent="0.25">
      <c r="A19" s="4"/>
      <c r="B19" s="38"/>
      <c r="C19" s="38"/>
      <c r="D19" s="24"/>
      <c r="E19" s="1"/>
    </row>
    <row r="20" spans="1:5" x14ac:dyDescent="0.25">
      <c r="A20" s="4"/>
      <c r="B20" s="38"/>
      <c r="C20" s="38"/>
      <c r="D20" s="24"/>
      <c r="E20" s="1"/>
    </row>
    <row r="21" spans="1:5" x14ac:dyDescent="0.25">
      <c r="A21" s="4"/>
      <c r="B21" s="38"/>
      <c r="C21" s="38"/>
      <c r="D21" s="24"/>
      <c r="E21" s="1"/>
    </row>
    <row r="22" spans="1:5" x14ac:dyDescent="0.25">
      <c r="A22" s="4"/>
      <c r="B22" s="38"/>
      <c r="C22" s="38"/>
      <c r="D22" s="24"/>
      <c r="E22" s="1"/>
    </row>
    <row r="23" spans="1:5" x14ac:dyDescent="0.25">
      <c r="A23" s="4"/>
      <c r="B23" s="38"/>
      <c r="C23" s="38"/>
      <c r="D23" s="24"/>
      <c r="E23" s="1"/>
    </row>
    <row r="24" spans="1:5" x14ac:dyDescent="0.25">
      <c r="A24" s="4"/>
      <c r="B24" s="38"/>
      <c r="C24" s="38"/>
      <c r="D24" s="24"/>
      <c r="E24" s="1"/>
    </row>
    <row r="25" spans="1:5" x14ac:dyDescent="0.25">
      <c r="A25" s="4"/>
      <c r="B25" s="38"/>
      <c r="C25" s="38"/>
      <c r="D25" s="24"/>
      <c r="E25" s="1"/>
    </row>
    <row r="26" spans="1:5" x14ac:dyDescent="0.25">
      <c r="A26" s="4"/>
      <c r="B26" s="38"/>
      <c r="C26" s="38"/>
      <c r="D26" s="24"/>
      <c r="E26" s="1"/>
    </row>
    <row r="27" spans="1:5" x14ac:dyDescent="0.25">
      <c r="A27" s="4"/>
      <c r="B27" s="38"/>
      <c r="C27" s="38"/>
      <c r="D27" s="24"/>
      <c r="E27" s="1"/>
    </row>
    <row r="28" spans="1:5" x14ac:dyDescent="0.25">
      <c r="A28" s="4"/>
      <c r="B28" s="38"/>
      <c r="C28" s="38"/>
      <c r="D28" s="24"/>
      <c r="E28" s="1"/>
    </row>
    <row r="29" spans="1:5" x14ac:dyDescent="0.25">
      <c r="A29" s="4"/>
      <c r="B29" s="38"/>
      <c r="C29" s="38"/>
      <c r="D29" s="24"/>
      <c r="E29" s="1"/>
    </row>
    <row r="30" spans="1:5" x14ac:dyDescent="0.25">
      <c r="A30" s="4"/>
      <c r="B30" s="38"/>
      <c r="C30" s="38"/>
      <c r="D30" s="24"/>
      <c r="E30" s="1"/>
    </row>
    <row r="31" spans="1:5" x14ac:dyDescent="0.25">
      <c r="A31" s="4"/>
      <c r="B31" s="38"/>
      <c r="C31" s="38"/>
      <c r="D31" s="24"/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c1g3qRgXnukLHSpKUYebl3JUuuV6siVvZppJ5dx11+orxQy+i/WVnlwo3MIyU7iJdGK+2OEP848RpFcbslpF6g==" saltValue="uBzQCzyIc3PlgQd9CnkL5w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8B8D-2A30-4BD5-BBBB-434200911468}">
  <sheetPr codeName="Sheet12"/>
  <dimension ref="A1:K2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4" sqref="D14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2" t="s">
        <v>568</v>
      </c>
      <c r="C2" s="179"/>
      <c r="D2" s="175" t="s">
        <v>744</v>
      </c>
      <c r="E2" s="1"/>
    </row>
    <row r="3" spans="1:10" x14ac:dyDescent="0.25">
      <c r="A3" s="4" t="s">
        <v>601</v>
      </c>
      <c r="B3" s="201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1" t="s">
        <v>569</v>
      </c>
      <c r="C4" s="9"/>
      <c r="D4" s="175" t="s">
        <v>529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wyHe7q5wksK4mDxlfAK19LDPqVbJLHQaBZoFtvq7WjAJmi82FzpxqeEyLYs/yrGNLegQNg5zHqnEGET0AGjmIA==" saltValue="qMRRCVx96BRBsp7Hb10yYA==" spinCount="100000" sheet="1" objects="1" scenarios="1"/>
  <dataValidations count="6">
    <dataValidation type="textLength" allowBlank="1" showInputMessage="1" showErrorMessage="1" errorTitle="Data Source" error="It can only accept 40 characters." sqref="D5" xr:uid="{23493B47-6A7A-410E-B775-2DD90EB1DB30}">
      <formula1>0</formula1>
      <formula2>40</formula2>
    </dataValidation>
    <dataValidation type="decimal" allowBlank="1" showInputMessage="1" showErrorMessage="1" error="Please enter a valid reading." sqref="D7" xr:uid="{BB652711-1C0F-4505-82A6-9806EB9DA14F}">
      <formula1>0</formula1>
      <formula2>9999999999</formula2>
    </dataValidation>
    <dataValidation type="date" allowBlank="1" showInputMessage="1" showErrorMessage="1" error="Please enter a valid date in mm/dd/yyyy format." sqref="B7:C7" xr:uid="{66E7EDFA-5858-4CF8-B007-14D8E11658C3}">
      <formula1>1</formula1>
      <formula2>73415</formula2>
    </dataValidation>
    <dataValidation allowBlank="1" showInputMessage="1" showErrorMessage="1" error="Please enter a valid date in mm/dd/yyyy format." sqref="B8:D10" xr:uid="{F9C55C37-C385-4B77-9AD2-D16E3A5F951F}"/>
    <dataValidation type="list" allowBlank="1" showInputMessage="1" showErrorMessage="1" sqref="D3" xr:uid="{A74DBA0F-2A4C-4693-B9D1-40AFA18749A4}">
      <formula1>ElectricityDrp</formula1>
    </dataValidation>
    <dataValidation type="list" allowBlank="1" showInputMessage="1" showErrorMessage="1" error="Units cannot edit." sqref="D4" xr:uid="{38330C46-CB62-4943-A027-110D5258EFF1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2019-06-18T14:35:45Z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