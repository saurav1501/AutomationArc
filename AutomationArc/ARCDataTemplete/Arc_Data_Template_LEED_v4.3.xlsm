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3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4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5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6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7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8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9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0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21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bhishekkumar.AzureAD\Downloads\"/>
    </mc:Choice>
  </mc:AlternateContent>
  <workbookProtection workbookAlgorithmName="SHA-512" workbookHashValue="9lUuRUzBkQnyW2nDtaVZz9d8F0qR7IHHkbiHfiICrUXsOxPgO0eK5Q1jwhD6oTJ1a94YjMwjoxApdwGkziYpDw==" workbookSaltValue="a5NvC1JCGke6WObpmJ0r1A==" workbookSpinCount="100000" lockStructure="1"/>
  <bookViews>
    <workbookView xWindow="0" yWindow="0" windowWidth="25605" windowHeight="16065" firstSheet="20" activeTab="21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Occupancy" sheetId="16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Carbon Monoxide" sheetId="17" r:id="rId11"/>
    <sheet name="Ozone" sheetId="18" r:id="rId12"/>
    <sheet name="Atmospheric Particulate Matter" sheetId="19" r:id="rId13"/>
    <sheet name="Acetaldehyde" sheetId="20" r:id="rId14"/>
    <sheet name="Benzene" sheetId="21" r:id="rId15"/>
    <sheet name="Styrene" sheetId="22" r:id="rId16"/>
    <sheet name="Toluene" sheetId="23" r:id="rId17"/>
    <sheet name="Naphthalene " sheetId="24" r:id="rId18"/>
    <sheet name="Dichlorobenzene" sheetId="25" r:id="rId19"/>
    <sheet name="Xylenes-total" sheetId="26" r:id="rId20"/>
    <sheet name="Formaldehyde" sheetId="27" r:id="rId21"/>
    <sheet name="AnalyticsEnergy Meter via up..." sheetId="30" r:id="rId22"/>
    <sheet name="AnalyticsWater meter via upload" sheetId="31" r:id="rId23"/>
    <sheet name="base_summary" sheetId="3" state="hidden" r:id="rId24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Readings'!$6:$6</definedName>
    <definedName name="columnDeleteVOC">'TVOC Readings'!$6:$6</definedName>
    <definedName name="Countries">Setup!$L$28:$M$271</definedName>
    <definedName name="CountriesDetails">Setup!$L$28:$L$271</definedName>
    <definedName name="countryName">Setup!$L$27:$L$271</definedName>
    <definedName name="DataCopy">'CO2 Readings'!$A$18:$E$18</definedName>
    <definedName name="DataCopyVOC">'TVOC Readings'!$A$17:$E$17</definedName>
    <definedName name="Dates" localSheetId="13">'CO2 Readings'!$14:$14</definedName>
    <definedName name="Dates" localSheetId="12">'CO2 Readings'!$14:$14</definedName>
    <definedName name="Dates" localSheetId="14">'CO2 Readings'!$14:$14</definedName>
    <definedName name="Dates" localSheetId="10">'CO2 Readings'!$14:$14</definedName>
    <definedName name="Dates" localSheetId="18">'CO2 Readings'!$14:$14</definedName>
    <definedName name="Dates" localSheetId="20">'CO2 Readings'!$14:$14</definedName>
    <definedName name="Dates" localSheetId="17">'CO2 Readings'!$14:$14</definedName>
    <definedName name="Dates" localSheetId="11">'CO2 Readings'!$14:$14</definedName>
    <definedName name="Dates" localSheetId="15">'CO2 Readings'!$14:$14</definedName>
    <definedName name="Dates" localSheetId="16">'CO2 Readings'!$14:$14</definedName>
    <definedName name="Dates" localSheetId="19">'CO2 Readings'!$14:$14</definedName>
    <definedName name="Dates">'CO2 Readings'!$14:$14</definedName>
    <definedName name="DatesVOC" localSheetId="13">'TVOC Readings'!$13:$13</definedName>
    <definedName name="DatesVOC" localSheetId="12">'TVOC Readings'!$13:$13</definedName>
    <definedName name="DatesVOC" localSheetId="14">'TVOC Readings'!$13:$13</definedName>
    <definedName name="DatesVOC" localSheetId="10">'TVOC Readings'!$13:$13</definedName>
    <definedName name="DatesVOC" localSheetId="18">'TVOC Readings'!$13:$13</definedName>
    <definedName name="DatesVOC" localSheetId="20">'TVOC Readings'!$13:$13</definedName>
    <definedName name="DatesVOC" localSheetId="17">'TVOC Readings'!$13:$13</definedName>
    <definedName name="DatesVOC" localSheetId="11">'TVOC Readings'!$13:$13</definedName>
    <definedName name="DatesVOC" localSheetId="15">'TVOC Readings'!$13:$13</definedName>
    <definedName name="DatesVOC" localSheetId="16">'TVOC Readings'!$13:$13</definedName>
    <definedName name="DatesVOC" localSheetId="19">'TVOC Readings'!$13:$13</definedName>
    <definedName name="DatesVOC">'TVOC Readings'!$13:$13</definedName>
    <definedName name="DelRwNmEnd">'CO2 Reading for Upload'!$A$11:$E$11</definedName>
    <definedName name="DelRwNmEndVOC">'TVOC Reading for Upload'!$A$10:$E$10</definedName>
    <definedName name="DelRwNmStart">'CO2 Reading for Upload'!$A$6:$E$6</definedName>
    <definedName name="DelRwNmStartVOC">'TVOC Reading for Upload'!$A$6:$E$6</definedName>
    <definedName name="elecName" localSheetId="13">base_e!$G$15:$G$19</definedName>
    <definedName name="elecName" localSheetId="21">'AnalyticsEnergy Meter via up...'!$G$15:$G$19</definedName>
    <definedName name="elecName" localSheetId="12">base_e!$G$15:$G$19</definedName>
    <definedName name="elecName" localSheetId="14">base_e!$G$15:$G$19</definedName>
    <definedName name="elecName" localSheetId="10">base_e!$G$15:$G$19</definedName>
    <definedName name="elecName" localSheetId="18">base_e!$G$15:$G$19</definedName>
    <definedName name="elecName" localSheetId="20">base_e!$G$15:$G$19</definedName>
    <definedName name="elecName" localSheetId="17">base_e!$G$15:$G$19</definedName>
    <definedName name="elecName" localSheetId="11">base_e!$G$15:$G$19</definedName>
    <definedName name="elecName" localSheetId="15">base_e!$G$15:$G$19</definedName>
    <definedName name="elecName" localSheetId="16">base_e!$G$15:$G$19</definedName>
    <definedName name="elecName" localSheetId="19">base_e!$G$15:$G$19</definedName>
    <definedName name="elecName">base_e!$G$15:$G$19</definedName>
    <definedName name="ElectricityDrp" localSheetId="13">base_e!$J$9:$J$10</definedName>
    <definedName name="ElectricityDrp" localSheetId="21">'AnalyticsEnergy Meter via up...'!$J$9:$J$10</definedName>
    <definedName name="ElectricityDrp" localSheetId="12">base_e!$J$9:$J$10</definedName>
    <definedName name="ElectricityDrp" localSheetId="14">base_e!$J$9:$J$10</definedName>
    <definedName name="ElectricityDrp" localSheetId="10">base_e!$J$9:$J$10</definedName>
    <definedName name="ElectricityDrp" localSheetId="18">base_e!$J$9:$J$10</definedName>
    <definedName name="ElectricityDrp" localSheetId="20">base_e!$J$9:$J$10</definedName>
    <definedName name="ElectricityDrp" localSheetId="17">base_e!$J$9:$J$10</definedName>
    <definedName name="ElectricityDrp" localSheetId="11">base_e!$J$9:$J$10</definedName>
    <definedName name="ElectricityDrp" localSheetId="15">base_e!$J$9:$J$10</definedName>
    <definedName name="ElectricityDrp" localSheetId="16">base_e!$J$9:$J$10</definedName>
    <definedName name="ElectricityDrp" localSheetId="19">base_e!$J$9:$J$10</definedName>
    <definedName name="ElectricityDrp">base_e!$J$9:$J$10</definedName>
    <definedName name="fdet" localSheetId="13">Acetaldehyde!$H$1:$H$13</definedName>
    <definedName name="fdet" localSheetId="12">'Atmospheric Particulate Matter'!$H$1:$H$13</definedName>
    <definedName name="fdet" localSheetId="14">Benzene!$H$1:$H$13</definedName>
    <definedName name="fdet" localSheetId="10">'Carbon Monoxide'!$H$1:$H$13</definedName>
    <definedName name="fdet" localSheetId="18">Dichlorobenzene!$H$1:$H$13</definedName>
    <definedName name="fdet" localSheetId="20">Formaldehyde!$H$1:$H$13</definedName>
    <definedName name="fdet" localSheetId="17">'Naphthalene '!$H$1:$H$13</definedName>
    <definedName name="fdet" localSheetId="11">Ozone!$H$1:$H$13</definedName>
    <definedName name="fdet" localSheetId="15">Styrene!$H$1:$H$13</definedName>
    <definedName name="fdet" localSheetId="16">Toluene!$H$1:$H$13</definedName>
    <definedName name="fdet" localSheetId="19">'Xylenes-total'!$H$1:$H$13</definedName>
    <definedName name="fdet">base_f!$H$1:$H$13</definedName>
    <definedName name="fude" localSheetId="13">Acetaldehyde!$D$14:$D$31</definedName>
    <definedName name="fude" localSheetId="12">'Atmospheric Particulate Matter'!$D$14:$D$31</definedName>
    <definedName name="fude" localSheetId="14">Benzene!$D$14:$D$31</definedName>
    <definedName name="fude" localSheetId="10">'Carbon Monoxide'!$D$14:$D$31</definedName>
    <definedName name="fude" localSheetId="18">Dichlorobenzene!$D$14:$D$31</definedName>
    <definedName name="fude" localSheetId="20">Formaldehyde!$D$14:$D$31</definedName>
    <definedName name="fude" localSheetId="17">'Naphthalene '!$D$14:$D$31</definedName>
    <definedName name="fude" localSheetId="11">Ozone!$D$14:$D$31</definedName>
    <definedName name="fude" localSheetId="15">Styrene!$D$14:$D$31</definedName>
    <definedName name="fude" localSheetId="16">Toluene!$D$14:$D$31</definedName>
    <definedName name="fude" localSheetId="19">'Xylenes-total'!$D$14:$D$31</definedName>
    <definedName name="fude">base_f!$D$14:$D$31</definedName>
    <definedName name="fuel1" localSheetId="13">Acetaldehyde!$L$16:$L$23</definedName>
    <definedName name="fuel1" localSheetId="12">'Atmospheric Particulate Matter'!$L$16:$L$23</definedName>
    <definedName name="fuel1" localSheetId="14">Benzene!$L$16:$L$23</definedName>
    <definedName name="fuel1" localSheetId="10">'Carbon Monoxide'!$L$16:$L$23</definedName>
    <definedName name="fuel1" localSheetId="18">Dichlorobenzene!$L$16:$L$23</definedName>
    <definedName name="fuel1" localSheetId="20">Formaldehyde!$L$16:$L$23</definedName>
    <definedName name="fuel1" localSheetId="17">'Naphthalene '!$L$16:$L$23</definedName>
    <definedName name="fuel1" localSheetId="11">Ozone!$L$16:$L$23</definedName>
    <definedName name="fuel1" localSheetId="15">Styrene!$L$16:$L$23</definedName>
    <definedName name="fuel1" localSheetId="16">Toluene!$L$16:$L$23</definedName>
    <definedName name="fuel1" localSheetId="19">'Xylenes-total'!$L$16:$L$23</definedName>
    <definedName name="fuel1">base_f!$L$16:$L$23</definedName>
    <definedName name="fuel2" localSheetId="13">Acetaldehyde!$M$16:$M$23</definedName>
    <definedName name="fuel2" localSheetId="12">'Atmospheric Particulate Matter'!$M$16:$M$23</definedName>
    <definedName name="fuel2" localSheetId="14">Benzene!$M$16:$M$23</definedName>
    <definedName name="fuel2" localSheetId="10">'Carbon Monoxide'!$M$16:$M$23</definedName>
    <definedName name="fuel2" localSheetId="18">Dichlorobenzene!$M$16:$M$23</definedName>
    <definedName name="fuel2" localSheetId="20">Formaldehyde!$M$16:$M$23</definedName>
    <definedName name="fuel2" localSheetId="17">'Naphthalene '!$M$16:$M$23</definedName>
    <definedName name="fuel2" localSheetId="11">Ozone!$M$16:$M$23</definedName>
    <definedName name="fuel2" localSheetId="15">Styrene!$M$16:$M$23</definedName>
    <definedName name="fuel2" localSheetId="16">Toluene!$M$16:$M$23</definedName>
    <definedName name="fuel2" localSheetId="19">'Xylenes-total'!$M$16:$M$23</definedName>
    <definedName name="fuel2">base_f!$M$16:$M$23</definedName>
    <definedName name="fuelname" localSheetId="13">Acetaldehyde!#REF!</definedName>
    <definedName name="fuelname" localSheetId="21">base_f!#REF!</definedName>
    <definedName name="fuelname" localSheetId="22">base_f!#REF!</definedName>
    <definedName name="fuelname" localSheetId="12">'Atmospheric Particulate Matter'!#REF!</definedName>
    <definedName name="fuelname" localSheetId="14">Benzene!#REF!</definedName>
    <definedName name="fuelname" localSheetId="10">'Carbon Monoxide'!#REF!</definedName>
    <definedName name="fuelname" localSheetId="18">Dichlorobenzene!#REF!</definedName>
    <definedName name="fuelname" localSheetId="20">Formaldehyde!#REF!</definedName>
    <definedName name="fuelname" localSheetId="17">'Naphthalene '!#REF!</definedName>
    <definedName name="fuelname" localSheetId="11">Ozone!#REF!</definedName>
    <definedName name="fuelname" localSheetId="15">Styrene!#REF!</definedName>
    <definedName name="fuelname" localSheetId="16">Toluene!#REF!</definedName>
    <definedName name="fuelname" localSheetId="19">'Xylenes-total'!#REF!</definedName>
    <definedName name="fuelname">base_f!#REF!</definedName>
    <definedName name="kerosene" localSheetId="13">Acetaldehyde!$K$16:$K$23</definedName>
    <definedName name="kerosene" localSheetId="12">'Atmospheric Particulate Matter'!$K$16:$K$23</definedName>
    <definedName name="kerosene" localSheetId="14">Benzene!$K$16:$K$23</definedName>
    <definedName name="kerosene" localSheetId="10">'Carbon Monoxide'!$K$16:$K$23</definedName>
    <definedName name="kerosene" localSheetId="18">Dichlorobenzene!$K$16:$K$23</definedName>
    <definedName name="kerosene" localSheetId="20">Formaldehyde!$K$16:$K$23</definedName>
    <definedName name="kerosene" localSheetId="17">'Naphthalene '!$K$16:$K$23</definedName>
    <definedName name="kerosene" localSheetId="11">Ozone!$K$16:$K$23</definedName>
    <definedName name="kerosene" localSheetId="15">Styrene!$K$16:$K$23</definedName>
    <definedName name="kerosene" localSheetId="16">Toluene!$K$16:$K$23</definedName>
    <definedName name="kerosene" localSheetId="19">'Xylenes-total'!$K$16:$K$23</definedName>
    <definedName name="kerosene">base_f!$K$16:$K$23</definedName>
    <definedName name="liquid" localSheetId="13">Acetaldehyde!$J$16:$J$25</definedName>
    <definedName name="liquid" localSheetId="12">'Atmospheric Particulate Matter'!$J$16:$J$25</definedName>
    <definedName name="liquid" localSheetId="14">Benzene!$J$16:$J$25</definedName>
    <definedName name="liquid" localSheetId="10">'Carbon Monoxide'!$J$16:$J$25</definedName>
    <definedName name="liquid" localSheetId="18">Dichlorobenzene!$J$16:$J$25</definedName>
    <definedName name="liquid" localSheetId="20">Formaldehyde!$J$16:$J$25</definedName>
    <definedName name="liquid" localSheetId="17">'Naphthalene '!$J$16:$J$25</definedName>
    <definedName name="liquid" localSheetId="11">Ozone!$J$16:$J$25</definedName>
    <definedName name="liquid" localSheetId="15">Styrene!$J$16:$J$25</definedName>
    <definedName name="liquid" localSheetId="16">Toluene!$J$16:$J$25</definedName>
    <definedName name="liquid" localSheetId="19">'Xylenes-total'!$J$16:$J$25</definedName>
    <definedName name="liquid">base_f!$J$16:$J$25</definedName>
    <definedName name="Meter">Setup!$M$24:$M$25</definedName>
    <definedName name="meterName">Setup!$O$28:$O$33</definedName>
    <definedName name="MeterTypes">Setup!$L$274:$L$300</definedName>
    <definedName name="myCategoryH" localSheetId="13">Acetaldehyde!$G$19:$G$36</definedName>
    <definedName name="myCategoryH" localSheetId="12">'Atmospheric Particulate Matter'!$G$19:$G$36</definedName>
    <definedName name="myCategoryH" localSheetId="14">Benzene!$G$19:$G$36</definedName>
    <definedName name="myCategoryH" localSheetId="10">'Carbon Monoxide'!$G$19:$G$36</definedName>
    <definedName name="myCategoryH" localSheetId="18">Dichlorobenzene!$G$19:$G$36</definedName>
    <definedName name="myCategoryH" localSheetId="20">Formaldehyde!$G$19:$G$36</definedName>
    <definedName name="myCategoryH" localSheetId="17">'Naphthalene '!$G$19:$G$36</definedName>
    <definedName name="myCategoryH" localSheetId="11">Ozone!$G$19:$G$36</definedName>
    <definedName name="myCategoryH" localSheetId="15">Styrene!$G$19:$G$36</definedName>
    <definedName name="myCategoryH" localSheetId="16">Toluene!$G$19:$G$36</definedName>
    <definedName name="myCategoryH" localSheetId="19">'Xylenes-total'!$G$19:$G$36</definedName>
    <definedName name="myCategoryH">base_f!$G$19:$G$36</definedName>
    <definedName name="myitem" localSheetId="13">OFFSET(myItemList,0,0,1,COUNTA(myItemList))</definedName>
    <definedName name="myitem" localSheetId="21">OFFSET(myItemList,0,0,1,COUNTA(myItemList))</definedName>
    <definedName name="myitem" localSheetId="22">OFFSET(myItemList,0,0,1,COUNTA(myItemList))</definedName>
    <definedName name="myitem" localSheetId="12">OFFSET(myItemList,0,0,1,COUNTA(myItemList))</definedName>
    <definedName name="myitem" localSheetId="14">OFFSET(myItemList,0,0,1,COUNTA(myItemList))</definedName>
    <definedName name="myitem" localSheetId="10">OFFSET(myItemList,0,0,1,COUNTA(myItemList))</definedName>
    <definedName name="myitem" localSheetId="18">OFFSET(myItemList,0,0,1,COUNTA(myItemList))</definedName>
    <definedName name="myitem" localSheetId="20">OFFSET(myItemList,0,0,1,COUNTA(myItemList))</definedName>
    <definedName name="myitem" localSheetId="17">OFFSET(myItemList,0,0,1,COUNTA(myItemList))</definedName>
    <definedName name="myitem" localSheetId="11">OFFSET(myItemList,0,0,1,COUNTA(myItemList))</definedName>
    <definedName name="myitem" localSheetId="15">OFFSET(myItemList,0,0,1,COUNTA(myItemList))</definedName>
    <definedName name="myitem" localSheetId="16">OFFSET(myItemList,0,0,1,COUNTA(myItemList))</definedName>
    <definedName name="myitem" localSheetId="19">OFFSET(myItemList,0,0,1,COUNTA(myItemList))</definedName>
    <definedName name="myitem">OFFSET(myItemList,0,0,1,COUNTA(myItemList))</definedName>
    <definedName name="myItemListH" localSheetId="13">INDEX(Acetaldehyde!myTableH,MATCH(Acetaldehyde!A1048576,Acetaldehyde!myCategoryH,0),0)</definedName>
    <definedName name="myItemListH" localSheetId="12">INDEX('Atmospheric Particulate Matter'!myTableH,MATCH('Atmospheric Particulate Matter'!A1048576,'Atmospheric Particulate Matter'!myCategoryH,0),0)</definedName>
    <definedName name="myItemListH" localSheetId="14">INDEX(Benzene!myTableH,MATCH(Benzene!A1048576,Benzene!myCategoryH,0),0)</definedName>
    <definedName name="myItemListH" localSheetId="10">INDEX('Carbon Monoxide'!myTableH,MATCH('Carbon Monoxide'!A1048576,'Carbon Monoxide'!myCategoryH,0),0)</definedName>
    <definedName name="myItemListH" localSheetId="18">INDEX(Dichlorobenzene!myTableH,MATCH(Dichlorobenzene!A1048576,Dichlorobenzene!myCategoryH,0),0)</definedName>
    <definedName name="myItemListH" localSheetId="20">INDEX(Formaldehyde!myTableH,MATCH(Formaldehyde!A1048576,Formaldehyde!myCategoryH,0),0)</definedName>
    <definedName name="myItemListH" localSheetId="17">INDEX('Naphthalene '!myTableH,MATCH('Naphthalene '!A1048576,'Naphthalene '!myCategoryH,0),0)</definedName>
    <definedName name="myItemListH" localSheetId="11">INDEX(Ozone!myTableH,MATCH(Ozone!A1048576,Ozone!myCategoryH,0),0)</definedName>
    <definedName name="myItemListH" localSheetId="15">INDEX(Styrene!myTableH,MATCH(Styrene!A1048576,Styrene!myCategoryH,0),0)</definedName>
    <definedName name="myItemListH" localSheetId="16">INDEX(Toluene!myTableH,MATCH(Toluene!A1048576,Toluene!myCategoryH,0),0)</definedName>
    <definedName name="myItemListH" localSheetId="19">INDEX('Xylenes-total'!myTableH,MATCH('Xylenes-total'!A1048576,'Xylenes-total'!myCategoryH,0),0)</definedName>
    <definedName name="myItemListH">INDEX(myTableH,MATCH(base_f!A1048576,myCategoryH,0),0)</definedName>
    <definedName name="myTableH" localSheetId="13">Acetaldehyde!$H$19:$V$36</definedName>
    <definedName name="myTableH" localSheetId="12">'Atmospheric Particulate Matter'!$H$19:$V$36</definedName>
    <definedName name="myTableH" localSheetId="14">Benzene!$H$19:$V$36</definedName>
    <definedName name="myTableH" localSheetId="10">'Carbon Monoxide'!$H$19:$V$36</definedName>
    <definedName name="myTableH" localSheetId="18">Dichlorobenzene!$H$19:$V$36</definedName>
    <definedName name="myTableH" localSheetId="20">Formaldehyde!$H$19:$V$36</definedName>
    <definedName name="myTableH" localSheetId="17">'Naphthalene '!$H$19:$V$36</definedName>
    <definedName name="myTableH" localSheetId="11">Ozone!$H$19:$V$36</definedName>
    <definedName name="myTableH" localSheetId="15">Styrene!$H$19:$V$36</definedName>
    <definedName name="myTableH" localSheetId="16">Toluene!$H$19:$V$36</definedName>
    <definedName name="myTableH" localSheetId="19">'Xylenes-total'!$H$19:$V$36</definedName>
    <definedName name="myTableH">base_f!$H$19:$V$36</definedName>
    <definedName name="newMet" localSheetId="13">Setup!$Q$28:$Q$30</definedName>
    <definedName name="newMet" localSheetId="12">Setup!$Q$28:$Q$30</definedName>
    <definedName name="newMet" localSheetId="14">Setup!$Q$28:$Q$30</definedName>
    <definedName name="newMet" localSheetId="10">Setup!$Q$28:$Q$30</definedName>
    <definedName name="newMet" localSheetId="18">Setup!$Q$28:$Q$30</definedName>
    <definedName name="newMet" localSheetId="20">Setup!$Q$28:$Q$30</definedName>
    <definedName name="newMet" localSheetId="17">Setup!$Q$28:$Q$30</definedName>
    <definedName name="newMet" localSheetId="11">Setup!$Q$28:$Q$30</definedName>
    <definedName name="newMet" localSheetId="15">Setup!$Q$28:$Q$30</definedName>
    <definedName name="newMet" localSheetId="16">Setup!$Q$28:$Q$30</definedName>
    <definedName name="newMet" localSheetId="19">Setup!$Q$28:$Q$30</definedName>
    <definedName name="newMet">Setup!$Q$28:$Q$30</definedName>
    <definedName name="newWaUnit" localSheetId="13">'Waste Stream'!$I$12:$I$14</definedName>
    <definedName name="newWaUnit" localSheetId="12">'Waste Stream'!$I$12:$I$14</definedName>
    <definedName name="newWaUnit" localSheetId="14">'Waste Stream'!$I$12:$I$14</definedName>
    <definedName name="newWaUnit" localSheetId="10">'Waste Stream'!$I$12:$I$14</definedName>
    <definedName name="newWaUnit" localSheetId="18">'Waste Stream'!$I$12:$I$14</definedName>
    <definedName name="newWaUnit" localSheetId="20">'Waste Stream'!$I$12:$I$14</definedName>
    <definedName name="newWaUnit" localSheetId="17">'Waste Stream'!$I$12:$I$14</definedName>
    <definedName name="newWaUnit" localSheetId="11">'Waste Stream'!$I$12:$I$14</definedName>
    <definedName name="newWaUnit" localSheetId="15">'Waste Stream'!$I$12:$I$14</definedName>
    <definedName name="newWaUnit" localSheetId="16">'Waste Stream'!$I$12:$I$14</definedName>
    <definedName name="newWaUnit" localSheetId="19">'Waste Stream'!$I$12:$I$14</definedName>
    <definedName name="newWaUnit">'Waste Stream'!$I$12:$I$14</definedName>
    <definedName name="Other_Fuels_Drp" localSheetId="13">Acetaldehyde!$V$10</definedName>
    <definedName name="Other_Fuels_Drp" localSheetId="12">'Atmospheric Particulate Matter'!$V$10</definedName>
    <definedName name="Other_Fuels_Drp" localSheetId="14">Benzene!$V$10</definedName>
    <definedName name="Other_Fuels_Drp" localSheetId="10">'Carbon Monoxide'!$V$10</definedName>
    <definedName name="Other_Fuels_Drp" localSheetId="18">Dichlorobenzene!$V$10</definedName>
    <definedName name="Other_Fuels_Drp" localSheetId="20">Formaldehyde!$V$10</definedName>
    <definedName name="Other_Fuels_Drp" localSheetId="17">'Naphthalene '!$V$10</definedName>
    <definedName name="Other_Fuels_Drp" localSheetId="11">Ozone!$V$10</definedName>
    <definedName name="Other_Fuels_Drp" localSheetId="15">Styrene!$V$10</definedName>
    <definedName name="Other_Fuels_Drp" localSheetId="16">Toluene!$V$10</definedName>
    <definedName name="Other_Fuels_Drp" localSheetId="19">'Xylenes-total'!$V$10</definedName>
    <definedName name="Other_Fuels_Drp">base_f!$V$10</definedName>
    <definedName name="Period__Start_Date" localSheetId="13">COUNTIF(base_w!$B:$B,base_w!A1)=1</definedName>
    <definedName name="Period__Start_Date" localSheetId="22">COUNTIF('AnalyticsWater meter via upload'!$B:$B,'AnalyticsWater meter via upload'!A1)=1</definedName>
    <definedName name="Period__Start_Date" localSheetId="12">COUNTIF(base_w!$B:$B,base_w!A1)=1</definedName>
    <definedName name="Period__Start_Date" localSheetId="14">COUNTIF(base_w!$B:$B,base_w!A1)=1</definedName>
    <definedName name="Period__Start_Date" localSheetId="10">COUNTIF(base_w!$B:$B,base_w!A1)=1</definedName>
    <definedName name="Period__Start_Date" localSheetId="18">COUNTIF(base_w!$B:$B,base_w!A1)=1</definedName>
    <definedName name="Period__Start_Date" localSheetId="20">COUNTIF(base_w!$B:$B,base_w!A1)=1</definedName>
    <definedName name="Period__Start_Date" localSheetId="17">COUNTIF(base_w!$B:$B,base_w!A1)=1</definedName>
    <definedName name="Period__Start_Date" localSheetId="11">COUNTIF(base_w!$B:$B,base_w!A1)=1</definedName>
    <definedName name="Period__Start_Date" localSheetId="15">COUNTIF(base_w!$B:$B,base_w!A1)=1</definedName>
    <definedName name="Period__Start_Date" localSheetId="16">COUNTIF(base_w!$B:$B,base_w!A1)=1</definedName>
    <definedName name="Period__Start_Date" localSheetId="19">COUNTIF(base_w!$B:$B,base_w!A1)=1</definedName>
    <definedName name="Period__Start_Date">COUNTIF(base_w!$B:$B,base_w!A1)=1</definedName>
    <definedName name="Propane" localSheetId="13">Acetaldehyde!$I$16:$I$27</definedName>
    <definedName name="Propane" localSheetId="12">'Atmospheric Particulate Matter'!$I$16:$I$27</definedName>
    <definedName name="Propane" localSheetId="14">Benzene!$I$16:$I$27</definedName>
    <definedName name="Propane" localSheetId="10">'Carbon Monoxide'!$I$16:$I$27</definedName>
    <definedName name="Propane" localSheetId="18">Dichlorobenzene!$I$16:$I$27</definedName>
    <definedName name="Propane" localSheetId="20">Formaldehyde!$I$16:$I$27</definedName>
    <definedName name="Propane" localSheetId="17">'Naphthalene '!$I$16:$I$27</definedName>
    <definedName name="Propane" localSheetId="11">Ozone!$I$16:$I$27</definedName>
    <definedName name="Propane" localSheetId="15">Styrene!$I$16:$I$27</definedName>
    <definedName name="Propane" localSheetId="16">Toluene!$I$16:$I$27</definedName>
    <definedName name="Propane" localSheetId="19">'Xylenes-total'!$I$16:$I$27</definedName>
    <definedName name="Propane">base_f!$I$16:$I$27</definedName>
    <definedName name="propanes" localSheetId="13">Acetaldehyde!$I$16:$I$25</definedName>
    <definedName name="propanes" localSheetId="12">'Atmospheric Particulate Matter'!$I$16:$I$25</definedName>
    <definedName name="propanes" localSheetId="14">Benzene!$I$16:$I$25</definedName>
    <definedName name="propanes" localSheetId="10">'Carbon Monoxide'!$I$16:$I$25</definedName>
    <definedName name="propanes" localSheetId="18">Dichlorobenzene!$I$16:$I$25</definedName>
    <definedName name="propanes" localSheetId="20">Formaldehyde!$I$16:$I$25</definedName>
    <definedName name="propanes" localSheetId="17">'Naphthalene '!$I$16:$I$25</definedName>
    <definedName name="propanes" localSheetId="11">Ozone!$I$16:$I$25</definedName>
    <definedName name="propanes" localSheetId="15">Styrene!$I$16:$I$25</definedName>
    <definedName name="propanes" localSheetId="16">Toluene!$I$16:$I$25</definedName>
    <definedName name="propanes" localSheetId="19">'Xylenes-total'!$I$16:$I$25</definedName>
    <definedName name="propanes">base_f!$I$16:$I$25</definedName>
    <definedName name="prounit" localSheetId="13">Acetaldehyde!$I$16:$I$25</definedName>
    <definedName name="prounit" localSheetId="12">'Atmospheric Particulate Matter'!$I$16:$I$25</definedName>
    <definedName name="prounit" localSheetId="14">Benzene!$I$16:$I$25</definedName>
    <definedName name="prounit" localSheetId="10">'Carbon Monoxide'!$I$16:$I$25</definedName>
    <definedName name="prounit" localSheetId="18">Dichlorobenzene!$I$16:$I$25</definedName>
    <definedName name="prounit" localSheetId="20">Formaldehyde!$I$16:$I$25</definedName>
    <definedName name="prounit" localSheetId="17">'Naphthalene '!$I$16:$I$25</definedName>
    <definedName name="prounit" localSheetId="11">Ozone!$I$16:$I$25</definedName>
    <definedName name="prounit" localSheetId="15">Styrene!$I$16:$I$25</definedName>
    <definedName name="prounit" localSheetId="16">Toluene!$I$16:$I$25</definedName>
    <definedName name="prounit" localSheetId="19">'Xylenes-total'!$I$16:$I$25</definedName>
    <definedName name="prounit">base_f!$I$16:$I$25</definedName>
    <definedName name="RangeCount">'CO2 Reading for Upload'!$B$6:$B$11</definedName>
    <definedName name="RangeCountVOC">'TVOC Reading for Upload'!$B$6:$B$10</definedName>
    <definedName name="ReadingTable" localSheetId="13">'CO2 Readings'!$14:$15</definedName>
    <definedName name="ReadingTable" localSheetId="12">'CO2 Readings'!$14:$15</definedName>
    <definedName name="ReadingTable" localSheetId="14">'CO2 Readings'!$14:$15</definedName>
    <definedName name="ReadingTable" localSheetId="10">'CO2 Readings'!$14:$15</definedName>
    <definedName name="ReadingTable" localSheetId="18">'CO2 Readings'!$14:$15</definedName>
    <definedName name="ReadingTable" localSheetId="20">'CO2 Readings'!$14:$15</definedName>
    <definedName name="ReadingTable" localSheetId="17">'CO2 Readings'!$14:$15</definedName>
    <definedName name="ReadingTable" localSheetId="11">'CO2 Readings'!$14:$15</definedName>
    <definedName name="ReadingTable" localSheetId="15">'CO2 Readings'!$14:$15</definedName>
    <definedName name="ReadingTable" localSheetId="16">'CO2 Readings'!$14:$15</definedName>
    <definedName name="ReadingTable" localSheetId="19">'CO2 Readings'!$14:$15</definedName>
    <definedName name="ReadingTable">'CO2 Readings'!$14:$15</definedName>
    <definedName name="ReadingTableVOC" localSheetId="13">'TVOC Readings'!$13:$14</definedName>
    <definedName name="ReadingTableVOC" localSheetId="12">'TVOC Readings'!$13:$14</definedName>
    <definedName name="ReadingTableVOC" localSheetId="14">'TVOC Readings'!$13:$14</definedName>
    <definedName name="ReadingTableVOC" localSheetId="10">'TVOC Readings'!$13:$14</definedName>
    <definedName name="ReadingTableVOC" localSheetId="18">'TVOC Readings'!$13:$14</definedName>
    <definedName name="ReadingTableVOC" localSheetId="20">'TVOC Readings'!$13:$14</definedName>
    <definedName name="ReadingTableVOC" localSheetId="17">'TVOC Readings'!$13:$14</definedName>
    <definedName name="ReadingTableVOC" localSheetId="11">'TVOC Readings'!$13:$14</definedName>
    <definedName name="ReadingTableVOC" localSheetId="15">'TVOC Readings'!$13:$14</definedName>
    <definedName name="ReadingTableVOC" localSheetId="16">'TVOC Readings'!$13:$14</definedName>
    <definedName name="ReadingTableVOC" localSheetId="19">'TVOC Readings'!$13:$14</definedName>
    <definedName name="ReadingTableVOC">'TVOC Readings'!$13:$14</definedName>
    <definedName name="Sheets">TRANSPOSE(GET.WORKBOOK(1))&amp;T(NOW())</definedName>
    <definedName name="spacetype" localSheetId="13">Setup!$S$38:$S$100</definedName>
    <definedName name="spacetype" localSheetId="12">Setup!$S$38:$S$100</definedName>
    <definedName name="spacetype" localSheetId="14">Setup!$S$38:$S$100</definedName>
    <definedName name="spacetype" localSheetId="10">Setup!$S$38:$S$100</definedName>
    <definedName name="spacetype" localSheetId="18">Setup!$S$38:$S$100</definedName>
    <definedName name="spacetype" localSheetId="20">Setup!$S$38:$S$100</definedName>
    <definedName name="spacetype" localSheetId="17">Setup!$S$38:$S$100</definedName>
    <definedName name="spacetype" localSheetId="11">Setup!$S$38:$S$100</definedName>
    <definedName name="spacetype" localSheetId="15">Setup!$S$38:$S$100</definedName>
    <definedName name="spacetype" localSheetId="16">Setup!$S$38:$S$100</definedName>
    <definedName name="spacetype" localSheetId="19">Setup!$S$38:$S$100</definedName>
    <definedName name="spacetype">Setup!$S$29:$S$84</definedName>
    <definedName name="sumAnchor">'CO2 Readings'!$F$6:$F$15</definedName>
    <definedName name="sumAnchorVOC">'TVOC Readings'!$G$6:$G$14</definedName>
    <definedName name="sumDate">'CO2 Readings'!$G$6:$G$15</definedName>
    <definedName name="sumDateVOC">'TVOC Readings'!$H$6:$H$14</definedName>
    <definedName name="UniqueDate">'CO2 Readings'!$B$21</definedName>
    <definedName name="UniqueDateVOC">'TVOC Readings'!$B$20</definedName>
    <definedName name="UniqueLoc">'CO2 Readings'!$C$21</definedName>
    <definedName name="UniqueLocVOC">'TVOC Readings'!$C$20</definedName>
    <definedName name="Units">Setup!$M$5:$M$6</definedName>
    <definedName name="UserFormat">'CO2 Readings'!$A$24:$E$24</definedName>
    <definedName name="validUnits">Setup!$L$303:$L$321</definedName>
    <definedName name="water_meter_type" localSheetId="22">'AnalyticsWater meter via upload'!$H$27:$I$39</definedName>
    <definedName name="water_meter_type">base_w!$H$27:$I$39</definedName>
    <definedName name="water_type" localSheetId="22">'AnalyticsWater meter via upload'!$H$27:$I$39</definedName>
    <definedName name="water_type">base_w!$H$27:$I$39</definedName>
    <definedName name="water_units" localSheetId="22">'AnalyticsWater meter via upload'!$H$15:$H$23</definedName>
    <definedName name="water_units">base_w!$H$15:$H$23</definedName>
    <definedName name="WaterDrp" localSheetId="13">base_w!$I$9:$I$11</definedName>
    <definedName name="WaterDrp" localSheetId="22">'AnalyticsWater meter via upload'!$I$9:$I$11</definedName>
    <definedName name="WaterDrp" localSheetId="12">base_w!$I$9:$I$11</definedName>
    <definedName name="WaterDrp" localSheetId="14">base_w!$I$9:$I$11</definedName>
    <definedName name="WaterDrp" localSheetId="10">base_w!$I$9:$I$11</definedName>
    <definedName name="WaterDrp" localSheetId="18">base_w!$I$9:$I$11</definedName>
    <definedName name="WaterDrp" localSheetId="20">base_w!$I$9:$I$11</definedName>
    <definedName name="WaterDrp" localSheetId="17">base_w!$I$9:$I$11</definedName>
    <definedName name="WaterDrp" localSheetId="11">base_w!$I$9:$I$11</definedName>
    <definedName name="WaterDrp" localSheetId="15">base_w!$I$9:$I$11</definedName>
    <definedName name="WaterDrp" localSheetId="16">base_w!$I$9:$I$11</definedName>
    <definedName name="WaterDrp" localSheetId="19">base_w!$I$9:$I$11</definedName>
    <definedName name="WaterDrp">base_w!$I$9:$I$11</definedName>
    <definedName name="waterType" localSheetId="22">'AnalyticsWater meter via upload'!$H$27:$H$39</definedName>
    <definedName name="waterType">base_w!$H$27:$H$39</definedName>
    <definedName name="waterUnits" localSheetId="22">'AnalyticsWater meter via upload'!$J$10:$J$14</definedName>
    <definedName name="waterUnits">base_w!$J$10:$J$14</definedName>
    <definedName name="watUn" localSheetId="22">'AnalyticsWater meter via upload'!$H$15:$H$23</definedName>
    <definedName name="watUn">base_w!$H$15:$H$23</definedName>
    <definedName name="watUni" localSheetId="13">base_w!$H$15:$H$29</definedName>
    <definedName name="watUni" localSheetId="22">'AnalyticsWater meter via upload'!$H$15:$H$29</definedName>
    <definedName name="watUni" localSheetId="12">base_w!$H$15:$H$29</definedName>
    <definedName name="watUni" localSheetId="14">base_w!$H$15:$H$29</definedName>
    <definedName name="watUni" localSheetId="10">base_w!$H$15:$H$29</definedName>
    <definedName name="watUni" localSheetId="18">base_w!$H$15:$H$29</definedName>
    <definedName name="watUni" localSheetId="20">base_w!$H$15:$H$29</definedName>
    <definedName name="watUni" localSheetId="17">base_w!$H$15:$H$29</definedName>
    <definedName name="watUni" localSheetId="11">base_w!$H$15:$H$29</definedName>
    <definedName name="watUni" localSheetId="15">base_w!$H$15:$H$29</definedName>
    <definedName name="watUni" localSheetId="16">base_w!$H$15:$H$29</definedName>
    <definedName name="watUni" localSheetId="19">base_w!$H$15:$H$29</definedName>
    <definedName name="watUni">base_w!$H$15:$H$29</definedName>
    <definedName name="waUn">'Waste Stream'!$I$12:$I$18</definedName>
    <definedName name="waunit">'Waste Stream'!$J$9:$J$11</definedName>
    <definedName name="Wood" localSheetId="13">Acetaldehyde!$H$16:$H$27</definedName>
    <definedName name="Wood" localSheetId="12">'Atmospheric Particulate Matter'!$H$16:$H$27</definedName>
    <definedName name="Wood" localSheetId="14">Benzene!$H$16:$H$27</definedName>
    <definedName name="Wood" localSheetId="10">'Carbon Monoxide'!$H$16:$H$27</definedName>
    <definedName name="Wood" localSheetId="18">Dichlorobenzene!$H$16:$H$27</definedName>
    <definedName name="Wood" localSheetId="20">Formaldehyde!$H$16:$H$27</definedName>
    <definedName name="Wood" localSheetId="17">'Naphthalene '!$H$16:$H$27</definedName>
    <definedName name="Wood" localSheetId="11">Ozone!$H$16:$H$27</definedName>
    <definedName name="Wood" localSheetId="15">Styrene!$H$16:$H$27</definedName>
    <definedName name="Wood" localSheetId="16">Toluene!$H$16:$H$27</definedName>
    <definedName name="Wood" localSheetId="19">'Xylenes-total'!$H$16:$H$27</definedName>
    <definedName name="Wood">base_f!$H$16:$H$27</definedName>
    <definedName name="woods" localSheetId="13">Acetaldehyde!$H$16:$H$22</definedName>
    <definedName name="woods" localSheetId="12">'Atmospheric Particulate Matter'!$H$16:$H$22</definedName>
    <definedName name="woods" localSheetId="14">Benzene!$H$16:$H$22</definedName>
    <definedName name="woods" localSheetId="10">'Carbon Monoxide'!$H$16:$H$22</definedName>
    <definedName name="woods" localSheetId="18">Dichlorobenzene!$H$16:$H$22</definedName>
    <definedName name="woods" localSheetId="20">Formaldehyde!$H$16:$H$22</definedName>
    <definedName name="woods" localSheetId="17">'Naphthalene '!$H$16:$H$22</definedName>
    <definedName name="woods" localSheetId="11">Ozone!$H$16:$H$22</definedName>
    <definedName name="woods" localSheetId="15">Styrene!$H$16:$H$22</definedName>
    <definedName name="woods" localSheetId="16">Toluene!$H$16:$H$22</definedName>
    <definedName name="woods" localSheetId="19">'Xylenes-total'!$H$16:$H$22</definedName>
    <definedName name="woods">base_f!$H$16:$H$22</definedName>
    <definedName name="woodunit" localSheetId="13">Acetaldehyde!$H$16:$H$22</definedName>
    <definedName name="woodunit" localSheetId="12">'Atmospheric Particulate Matter'!$H$16:$H$22</definedName>
    <definedName name="woodunit" localSheetId="14">Benzene!$H$16:$H$22</definedName>
    <definedName name="woodunit" localSheetId="10">'Carbon Monoxide'!$H$16:$H$22</definedName>
    <definedName name="woodunit" localSheetId="18">Dichlorobenzene!$H$16:$H$22</definedName>
    <definedName name="woodunit" localSheetId="20">Formaldehyde!$H$16:$H$22</definedName>
    <definedName name="woodunit" localSheetId="17">'Naphthalene '!$H$16:$H$22</definedName>
    <definedName name="woodunit" localSheetId="11">Ozone!$H$16:$H$22</definedName>
    <definedName name="woodunit" localSheetId="15">Styrene!$H$16:$H$22</definedName>
    <definedName name="woodunit" localSheetId="16">Toluene!$H$16:$H$22</definedName>
    <definedName name="woodunit" localSheetId="19">'Xylenes-total'!$H$16:$H$22</definedName>
    <definedName name="woodunit">base_f!$H$16:$H$22</definedName>
    <definedName name="zep" localSheetId="22">'AnalyticsWater meter via upload'!$J$8</definedName>
    <definedName name="zep">base_w!$J$8</definedName>
  </definedNames>
  <calcPr calcId="152511" concurrentCalc="0"/>
  <extLst>
    <ext xmlns:mx="http://schemas.microsoft.com/office/mac/excel/2008/main" uri="{7523E5D3-25F3-A5E0-1632-64F254C22452}">
      <mx:ArchID Flags="2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31" l="1"/>
  <c r="B1" i="31"/>
  <c r="D1" i="31"/>
  <c r="D6" i="30"/>
  <c r="B1" i="30"/>
  <c r="D1" i="30"/>
  <c r="E7" i="12"/>
  <c r="E8" i="12"/>
  <c r="B8" i="12"/>
  <c r="D8" i="12"/>
  <c r="A8" i="12"/>
  <c r="C8" i="12"/>
  <c r="B7" i="12"/>
  <c r="D7" i="12"/>
  <c r="C7" i="12"/>
  <c r="A7" i="12"/>
  <c r="H8" i="14" a="1"/>
  <c r="H8" i="14"/>
  <c r="H10" i="14" a="1"/>
  <c r="H10" i="14"/>
  <c r="H11" i="14" a="1"/>
  <c r="H11" i="14"/>
  <c r="H15" i="14"/>
  <c r="H14" i="14"/>
  <c r="H6" i="14"/>
  <c r="B10" i="14" a="1"/>
  <c r="B10" i="14"/>
  <c r="B11" i="14" a="1"/>
  <c r="B11" i="14"/>
  <c r="T18" i="1"/>
  <c r="D6" i="27" a="1"/>
  <c r="D6" i="27"/>
  <c r="B1" i="27"/>
  <c r="D1" i="27"/>
  <c r="D6" i="26" a="1"/>
  <c r="D6" i="26"/>
  <c r="B1" i="26"/>
  <c r="D1" i="26"/>
  <c r="D6" i="25" a="1"/>
  <c r="D6" i="25"/>
  <c r="B1" i="25"/>
  <c r="D1" i="25"/>
  <c r="D6" i="24" a="1"/>
  <c r="D6" i="24"/>
  <c r="B1" i="24"/>
  <c r="D1" i="24"/>
  <c r="D6" i="23" a="1"/>
  <c r="D6" i="23"/>
  <c r="B1" i="23"/>
  <c r="D1" i="23"/>
  <c r="D6" i="22" a="1"/>
  <c r="D6" i="22"/>
  <c r="B1" i="22"/>
  <c r="D1" i="22"/>
  <c r="D6" i="21" a="1"/>
  <c r="D6" i="21"/>
  <c r="B1" i="21"/>
  <c r="D1" i="21"/>
  <c r="D6" i="20" a="1"/>
  <c r="D6" i="20"/>
  <c r="B1" i="20"/>
  <c r="D1" i="20"/>
  <c r="D6" i="19" a="1"/>
  <c r="D6" i="19"/>
  <c r="B1" i="19"/>
  <c r="D1" i="19"/>
  <c r="D6" i="18" a="1"/>
  <c r="D6" i="18"/>
  <c r="B1" i="18"/>
  <c r="D1" i="18"/>
  <c r="D6" i="17" a="1"/>
  <c r="D6" i="17"/>
  <c r="B1" i="17"/>
  <c r="D1" i="17"/>
  <c r="D19" i="16"/>
  <c r="G8" i="14" a="1"/>
  <c r="G8" i="14"/>
  <c r="G14" i="14"/>
  <c r="G10" i="14" a="1"/>
  <c r="G10" i="14"/>
  <c r="G11" i="14" a="1"/>
  <c r="G11" i="14"/>
  <c r="E7" i="13"/>
  <c r="J8" i="16"/>
  <c r="K8" i="16"/>
  <c r="J9" i="16"/>
  <c r="K9" i="16"/>
  <c r="J10" i="16"/>
  <c r="K10" i="16"/>
  <c r="K11" i="16"/>
  <c r="J11" i="16"/>
  <c r="K12" i="16"/>
  <c r="J12" i="16"/>
  <c r="J13" i="16"/>
  <c r="K13" i="16"/>
  <c r="I13" i="16"/>
  <c r="J14" i="16"/>
  <c r="K14" i="16"/>
  <c r="I14" i="16"/>
  <c r="J15" i="16"/>
  <c r="K15" i="16"/>
  <c r="I15" i="16"/>
  <c r="J16" i="16"/>
  <c r="K16" i="16"/>
  <c r="I16" i="16"/>
  <c r="J7" i="16"/>
  <c r="K7" i="16"/>
  <c r="H19" i="16"/>
  <c r="G19" i="16"/>
  <c r="H8" i="15" a="1"/>
  <c r="H8" i="15"/>
  <c r="E19" i="16"/>
  <c r="J17" i="16"/>
  <c r="K17" i="16"/>
  <c r="I17" i="16"/>
  <c r="J18" i="16"/>
  <c r="K18" i="16"/>
  <c r="I18" i="16"/>
  <c r="J22" i="16"/>
  <c r="F19" i="16"/>
  <c r="B10" i="15" a="1"/>
  <c r="B10" i="15"/>
  <c r="D22" i="16"/>
  <c r="B22" i="16"/>
  <c r="D6" i="16"/>
  <c r="C18" i="1"/>
  <c r="D6" i="13"/>
  <c r="D6" i="12"/>
  <c r="E17" i="15"/>
  <c r="C20" i="15" a="1"/>
  <c r="C20" i="15"/>
  <c r="B20" i="15" a="1"/>
  <c r="B20" i="15"/>
  <c r="C21" i="14" a="1"/>
  <c r="C21" i="14"/>
  <c r="B21" i="14" a="1"/>
  <c r="B21" i="14"/>
  <c r="E18" i="14"/>
  <c r="B1" i="6"/>
  <c r="B1" i="8"/>
  <c r="B1" i="4"/>
  <c r="D6" i="8"/>
  <c r="D6" i="6"/>
  <c r="D6" i="4"/>
  <c r="E6" i="11"/>
  <c r="D6" i="11"/>
  <c r="A10" i="15"/>
  <c r="H10" i="15" a="1"/>
  <c r="H10" i="15"/>
  <c r="H6" i="15"/>
  <c r="H13" i="15"/>
  <c r="B7" i="13"/>
  <c r="D23" i="16"/>
  <c r="D1" i="8"/>
  <c r="D1" i="6"/>
  <c r="D1" i="4"/>
  <c r="I19" i="16"/>
  <c r="D24" i="16"/>
  <c r="G6" i="14"/>
  <c r="A10" i="14"/>
  <c r="B17" i="15"/>
  <c r="C17" i="15"/>
  <c r="C7" i="13"/>
  <c r="A11" i="14"/>
  <c r="H14" i="15"/>
  <c r="B18" i="14"/>
  <c r="C18" i="14"/>
  <c r="D17" i="15" a="1"/>
  <c r="D17" i="15"/>
  <c r="A17" i="15"/>
  <c r="D7" i="13" a="1"/>
  <c r="D7" i="13"/>
  <c r="A7" i="13"/>
  <c r="G15" i="14"/>
  <c r="D18" i="14"/>
  <c r="A18" i="14"/>
</calcChain>
</file>

<file path=xl/comments1.xml><?xml version="1.0" encoding="utf-8"?>
<comments xmlns="http://schemas.openxmlformats.org/spreadsheetml/2006/main">
  <authors>
    <author>Batya Metalitz</author>
  </authors>
  <commentList>
    <comment ref="E5" authorId="0" shapeId="0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<sst xmlns="http://schemas.openxmlformats.org/spreadsheetml/2006/main" count="3807" uniqueCount="738">
  <si>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</si>
  <si>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</si>
  <si>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</si>
  <si>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</si>
  <si>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</si>
  <si>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</si>
  <si>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</si>
  <si>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</si>
  <si>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</si>
  <si>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</si>
  <si>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</si>
  <si>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</si>
  <si>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</si>
  <si>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</si>
  <si>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</si>
  <si>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</si>
  <si>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</si>
  <si>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</si>
  <si>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</si>
  <si>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</si>
  <si>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</si>
  <si>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</si>
  <si>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</si>
  <si>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</si>
  <si>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</si>
  <si>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</si>
  <si>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</si>
  <si>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</si>
  <si>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</si>
  <si>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</si>
  <si>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</si>
  <si>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</si>
  <si>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</si>
  <si>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</si>
  <si>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</si>
  <si>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</si>
  <si>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</si>
  <si>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</si>
  <si>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</si>
  <si>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</si>
  <si>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</si>
  <si>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</si>
  <si>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</si>
  <si>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</si>
  <si>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</si>
  <si>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</si>
  <si>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</si>
  <si>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</si>
  <si>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</si>
  <si>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</si>
  <si>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</si>
  <si>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</si>
  <si>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</si>
  <si>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</si>
  <si>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</si>
  <si>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</si>
  <si>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</si>
  <si>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</si>
  <si>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</si>
  <si>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</si>
  <si>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</si>
  <si>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</si>
  <si>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</si>
  <si>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</si>
  <si>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</si>
  <si>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</si>
  <si>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</si>
  <si>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</si>
  <si>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</si>
  <si>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</si>
  <si>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</si>
  <si>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</si>
  <si>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</si>
  <si>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</si>
  <si>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</si>
  <si>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</si>
  <si>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</si>
  <si>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</si>
  <si>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</si>
  <si>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</si>
  <si>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</si>
  <si>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</si>
  <si>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</si>
  <si>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</si>
  <si>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</si>
  <si>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</si>
  <si>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</si>
  <si>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</si>
  <si>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</si>
  <si>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</si>
  <si>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</si>
  <si>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</si>
  <si>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</si>
  <si>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</si>
  <si>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</si>
  <si>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</si>
  <si>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</si>
  <si>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</si>
  <si>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</si>
  <si>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</si>
  <si>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</si>
  <si>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</si>
  <si>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</si>
  <si>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</si>
  <si>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</si>
  <si>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</si>
  <si>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</si>
  <si>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</si>
  <si>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</si>
  <si>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</si>
  <si>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</si>
  <si>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</si>
  <si>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</si>
  <si>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</si>
  <si>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</si>
  <si>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</si>
  <si>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</si>
  <si>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</si>
  <si>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</si>
  <si>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</si>
  <si>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</si>
  <si>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</si>
  <si>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</si>
  <si>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</si>
  <si>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</si>
  <si>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</si>
  <si>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</si>
  <si>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</si>
  <si>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</si>
  <si>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</si>
  <si>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</si>
  <si>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</si>
  <si>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</si>
  <si>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</si>
  <si>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</si>
  <si>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</si>
  <si>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</si>
  <si>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</si>
  <si>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</si>
  <si>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</si>
  <si>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</si>
  <si>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</si>
  <si>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</si>
  <si>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</si>
  <si>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</si>
  <si>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</si>
  <si>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</si>
  <si>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</si>
  <si>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</si>
  <si>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</si>
  <si>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</si>
  <si>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</si>
  <si>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</si>
  <si>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</si>
  <si>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</si>
  <si>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</si>
  <si>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</si>
  <si>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</si>
  <si>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</si>
  <si>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</si>
  <si>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</si>
  <si>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</si>
  <si>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</si>
  <si>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</si>
  <si>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</si>
  <si>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</si>
  <si>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</si>
  <si>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</si>
  <si>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</si>
  <si>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</si>
  <si>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</si>
  <si>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</si>
  <si>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</si>
  <si>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</si>
  <si>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</si>
  <si>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</si>
  <si>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</si>
  <si>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</si>
  <si>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</si>
  <si>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</si>
  <si>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</si>
  <si>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</si>
  <si>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</si>
  <si>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</si>
  <si>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</si>
  <si>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</si>
  <si>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</si>
  <si>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</si>
  <si>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</si>
  <si>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</si>
  <si>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</si>
  <si>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</si>
  <si>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</si>
  <si>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</si>
  <si>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</si>
  <si>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</si>
  <si>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</si>
  <si>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</si>
  <si>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</si>
  <si>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</si>
  <si>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</si>
  <si>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</si>
  <si>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</si>
  <si>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</si>
  <si>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</si>
  <si>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</si>
  <si>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</si>
  <si>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</si>
  <si>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</si>
  <si>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</si>
  <si>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</si>
  <si>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</si>
  <si>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</si>
  <si>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</si>
  <si>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</si>
  <si>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</si>
  <si>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</si>
  <si>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</si>
  <si>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</si>
  <si>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</si>
  <si>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</si>
  <si>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</si>
  <si>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</si>
  <si>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</si>
  <si>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</si>
  <si>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</si>
  <si>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</si>
  <si>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</si>
  <si>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</si>
  <si>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</si>
  <si>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</si>
  <si>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</si>
  <si>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</si>
  <si>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</si>
  <si>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</si>
  <si>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</si>
  <si>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</si>
  <si>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</si>
  <si>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</si>
  <si>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</si>
  <si>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</si>
  <si>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</si>
  <si>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</si>
  <si>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</si>
  <si>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</si>
  <si>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</si>
  <si>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</si>
  <si>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</si>
  <si>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</si>
  <si>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</si>
  <si>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</si>
  <si>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</si>
  <si>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</si>
  <si>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</si>
  <si>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</si>
  <si>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</si>
  <si>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</si>
  <si>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</si>
  <si>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</si>
  <si>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</si>
  <si>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</si>
  <si>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</si>
  <si>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</si>
  <si>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</si>
  <si>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</si>
  <si>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</si>
  <si>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</si>
  <si>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</si>
  <si>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</si>
  <si>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</si>
  <si>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</si>
  <si>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</si>
  <si>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</si>
  <si>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</si>
  <si>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</si>
  <si>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</si>
  <si>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</si>
  <si>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</si>
  <si>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</si>
  <si>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</si>
  <si>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</si>
  <si>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</si>
  <si>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</si>
  <si>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</si>
  <si>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</si>
  <si>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</si>
  <si>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</si>
  <si>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</si>
  <si>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</si>
  <si>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</si>
  <si>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</si>
  <si>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</si>
  <si>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</si>
  <si>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</si>
  <si>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</si>
  <si>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</si>
  <si>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</si>
  <si>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</si>
  <si>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</si>
  <si>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</si>
  <si>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</si>
  <si>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</si>
  <si>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</si>
  <si>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</si>
  <si>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</si>
  <si>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</si>
  <si>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</si>
  <si>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</si>
  <si>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</si>
  <si>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</si>
  <si>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</si>
  <si>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</si>
  <si>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</si>
  <si>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</si>
  <si>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</si>
  <si>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</si>
  <si>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</si>
  <si>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</si>
  <si>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</si>
  <si>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</si>
  <si>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</si>
  <si>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</si>
  <si>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</si>
  <si>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</si>
  <si>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</si>
  <si>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</si>
  <si>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</si>
  <si>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</si>
  <si>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</si>
  <si>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</si>
  <si>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</si>
  <si>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</si>
  <si>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</si>
  <si>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</si>
  <si>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</si>
  <si>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</si>
  <si>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</si>
  <si>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</si>
  <si>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</si>
  <si>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</si>
  <si>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</si>
  <si>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</si>
  <si>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</si>
  <si>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</si>
  <si>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</si>
  <si>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</si>
  <si>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</si>
  <si>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</si>
  <si>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</si>
  <si>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</si>
  <si>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</si>
  <si>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</si>
  <si>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</si>
  <si>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</si>
  <si>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</si>
  <si>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</si>
  <si>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</si>
  <si>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</si>
  <si>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</si>
  <si>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</si>
  <si>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</si>
  <si>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</si>
  <si>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</si>
  <si>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</si>
  <si>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</si>
  <si>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</si>
  <si>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</si>
  <si>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</si>
  <si>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</si>
  <si>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</si>
  <si>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</si>
  <si>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</si>
  <si>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</si>
  <si>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</si>
  <si>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</si>
  <si>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</si>
  <si>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</si>
  <si>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</si>
  <si>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</si>
  <si>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</si>
  <si>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</si>
  <si>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</si>
  <si>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</si>
  <si>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</si>
  <si>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</si>
  <si>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</si>
  <si>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</si>
  <si>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</si>
  <si>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</si>
  <si>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</si>
  <si>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</si>
  <si>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</si>
  <si>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</si>
  <si>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</si>
  <si>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</si>
  <si>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</si>
  <si>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</si>
  <si>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</si>
  <si>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</si>
  <si>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</si>
  <si>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</si>
  <si>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</si>
  <si>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</si>
  <si>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</si>
  <si>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</si>
  <si>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</si>
  <si>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</si>
  <si>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</si>
  <si>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</si>
  <si>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</si>
  <si>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</si>
  <si>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</si>
  <si>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</si>
  <si>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</si>
  <si>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</si>
  <si>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</si>
  <si>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</si>
  <si>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</si>
  <si>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</si>
  <si>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</si>
  <si>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</si>
  <si>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</si>
  <si>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</si>
  <si>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</si>
  <si>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</si>
  <si>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</si>
  <si>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</si>
  <si>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</si>
  <si>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</si>
  <si>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</si>
  <si>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</si>
  <si>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</si>
  <si>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</si>
  <si>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</si>
  <si>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</si>
  <si>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</si>
  <si>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</si>
  <si>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</si>
  <si>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</si>
  <si>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</si>
  <si>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</si>
  <si>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</si>
  <si>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</si>
  <si>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</si>
  <si>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</si>
  <si>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</si>
  <si>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</si>
  <si>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</si>
  <si>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</si>
  <si>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</si>
  <si>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</si>
  <si>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</si>
  <si>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</si>
  <si>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</si>
  <si>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</si>
  <si>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</si>
  <si>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</si>
  <si>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</si>
  <si>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</si>
  <si>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</si>
  <si>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</si>
  <si>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</si>
  <si>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</si>
  <si>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</si>
  <si>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</si>
  <si>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</si>
  <si>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</si>
  <si>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</si>
  <si>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</si>
  <si>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</si>
  <si>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</si>
  <si>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</si>
  <si>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</si>
  <si>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</si>
  <si>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</si>
  <si>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</si>
  <si>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</si>
  <si>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</si>
  <si>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</si>
  <si>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</si>
  <si>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</si>
  <si>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</si>
  <si>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</si>
  <si>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</si>
  <si>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</si>
  <si>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</si>
  <si>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</si>
  <si>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</si>
  <si>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</si>
  <si>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</si>
  <si>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</si>
  <si>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</si>
  <si>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</si>
  <si>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</si>
  <si>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</si>
  <si>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</si>
  <si>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</si>
  <si>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</si>
  <si>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</si>
  <si>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</si>
  <si>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</si>
  <si>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</si>
  <si>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</si>
  <si>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</si>
  <si>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</si>
  <si>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</si>
  <si>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</si>
  <si>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</si>
  <si>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</si>
  <si>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</si>
  <si>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</si>
  <si>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</si>
  <si>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</si>
  <si>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</si>
  <si>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</si>
  <si>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</si>
  <si>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</si>
  <si>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</si>
  <si>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</si>
  <si>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</si>
  <si>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</si>
  <si>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</si>
  <si>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</si>
  <si>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</si>
  <si>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</si>
  <si>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</si>
  <si>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</si>
  <si>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</si>
  <si>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</si>
  <si>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</si>
  <si>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</si>
  <si>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</si>
  <si>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</si>
  <si>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</si>
  <si>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</si>
  <si>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</si>
  <si>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</si>
  <si>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</si>
  <si>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</si>
  <si>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</si>
  <si>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</si>
  <si>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</si>
  <si>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</si>
  <si>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</si>
  <si>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</si>
  <si>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</si>
  <si>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</si>
  <si>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</si>
  <si>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</si>
  <si>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</si>
  <si>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</si>
  <si>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</si>
  <si>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</si>
  <si>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</si>
  <si>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</si>
  <si>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</si>
  <si>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</si>
  <si>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</si>
  <si>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</si>
  <si>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</si>
  <si>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</si>
  <si>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</si>
  <si>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</si>
  <si>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</si>
  <si>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</si>
  <si>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</si>
  <si>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</si>
  <si>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</si>
  <si>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</si>
  <si>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</si>
  <si>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</si>
  <si>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</si>
  <si>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</si>
  <si>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</si>
  <si>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</si>
  <si>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</si>
  <si>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</si>
  <si>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</si>
  <si>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</si>
  <si>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</si>
  <si>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</si>
  <si>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</si>
  <si>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</si>
  <si>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</si>
  <si>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</si>
  <si>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</si>
  <si>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</si>
  <si>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</si>
  <si>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</si>
  <si>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</si>
  <si>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</si>
  <si>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</si>
  <si>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</si>
  <si>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</si>
  <si>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</si>
  <si>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</si>
  <si>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</si>
  <si>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</si>
  <si>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</si>
  <si>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</si>
  <si>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</si>
  <si>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</si>
  <si>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</si>
  <si>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</si>
  <si>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</si>
  <si>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</si>
  <si>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</si>
  <si>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</si>
  <si>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</si>
  <si>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</si>
  <si>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</si>
  <si>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</si>
  <si>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</si>
  <si>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</si>
  <si>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</si>
  <si>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</si>
  <si>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</si>
  <si>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</si>
  <si>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</si>
  <si>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</si>
  <si>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</si>
  <si>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</si>
  <si>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</si>
  <si>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</si>
  <si>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</si>
  <si>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</si>
  <si>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</si>
  <si>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</si>
  <si>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</si>
  <si>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</si>
  <si>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</si>
  <si>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</si>
  <si>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</si>
  <si>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</si>
  <si>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</si>
  <si>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</si>
  <si>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</si>
  <si>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</si>
  <si>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</si>
  <si>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</si>
  <si>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</si>
  <si>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</si>
  <si>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</si>
  <si>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</si>
  <si>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</si>
  <si>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</si>
  <si>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</si>
  <si>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</si>
  <si>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</si>
  <si>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</si>
  <si>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</si>
  <si>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</si>
  <si>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</si>
  <si>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</si>
  <si>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</si>
  <si>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</si>
  <si>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</si>
  <si>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</si>
  <si>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</si>
  <si>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</si>
  <si>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</si>
  <si>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</si>
  <si>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</si>
  <si>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</si>
  <si>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</si>
  <si>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</si>
  <si>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</si>
  <si>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</si>
  <si>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</si>
  <si>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</si>
  <si>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</si>
  <si>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</si>
  <si>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</si>
  <si>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</si>
  <si>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</si>
  <si>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</si>
  <si>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</si>
  <si>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</si>
  <si>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</si>
  <si>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</si>
  <si>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</si>
  <si>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</si>
  <si>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</si>
  <si>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</si>
  <si>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</si>
  <si>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</si>
  <si>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</si>
  <si>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</si>
  <si>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</si>
  <si>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</si>
  <si>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</si>
  <si>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</si>
  <si>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</si>
  <si>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</si>
  <si>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</si>
  <si>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</si>
  <si>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</si>
  <si>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</si>
  <si>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</si>
  <si>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</si>
  <si>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</si>
  <si>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</si>
  <si>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</si>
  <si>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</si>
  <si>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IP units</t>
  </si>
  <si>
    <t>Audit Number</t>
  </si>
  <si>
    <t>Carbon Monoxide</t>
  </si>
  <si>
    <t>mg/m3</t>
  </si>
  <si>
    <t>Ozone</t>
  </si>
  <si>
    <t>µg/m3</t>
  </si>
  <si>
    <t>Atmospheric Particulate Matter (PM2.5)</t>
  </si>
  <si>
    <t>Acetaldehyde</t>
  </si>
  <si>
    <t>Benzene</t>
  </si>
  <si>
    <t>Styrene</t>
  </si>
  <si>
    <t xml:space="preserve"> µg/m3</t>
  </si>
  <si>
    <t>Toluene</t>
  </si>
  <si>
    <t xml:space="preserve">Naphthalene </t>
  </si>
  <si>
    <t>Dichlorobenzene</t>
  </si>
  <si>
    <t>Xylenes-total</t>
  </si>
  <si>
    <t>Formaldehyde</t>
  </si>
  <si>
    <t xml:space="preserve">µg/m3 </t>
  </si>
  <si>
    <t>ppb</t>
  </si>
  <si>
    <t>Effective at (mm/dd/yyyy)</t>
  </si>
  <si>
    <t>Weekly Operating hours</t>
  </si>
  <si>
    <t>Values</t>
  </si>
  <si>
    <t>v4.3</t>
  </si>
  <si>
    <t>Complete the information below and the Occupancy tab</t>
  </si>
  <si>
    <t>Building</t>
  </si>
  <si>
    <t>Year Built</t>
  </si>
  <si>
    <t>oom1</t>
  </si>
  <si>
    <t>Room2</t>
  </si>
  <si>
    <t>Room3</t>
  </si>
  <si>
    <t>Room4</t>
  </si>
  <si>
    <t>Room5</t>
  </si>
  <si>
    <t>Goa</t>
  </si>
  <si>
    <t>Hyd</t>
  </si>
  <si>
    <t>AnalyticsWater meter via upload</t>
  </si>
  <si>
    <t>AnalyticsEnergy Meter via upload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</si>
</sst>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  <numFmt numFmtId="170" formatCode="0;[Red]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27">
    <xf numFmtId="0" fontId="0" fillId="0" borderId="0" xfId="0"/>
    <xf numFmtId="0" fontId="0" fillId="2" borderId="0" xfId="0" applyFill="1"/>
    <xf numFmtId="0" fontId="0" fillId="5" borderId="0" xfId="0" applyFill="1"/>
    <xf numFmtId="0" fontId="2" fillId="4" borderId="1" xfId="0" applyFont="1" applyFill="1" applyBorder="1" applyAlignment="1">
      <alignment horizontal="center" vertical="center" wrapText="1"/>
    </xf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Protection="1">
      <protection locked="0"/>
    </xf>
    <xf numFmtId="0" fontId="0" fillId="2" borderId="6" xfId="0" applyFill="1" applyBorder="1" applyProtection="1">
      <protection locked="0"/>
    </xf>
    <xf numFmtId="0" fontId="0" fillId="2" borderId="6" xfId="0" applyFill="1" applyBorder="1"/>
    <xf numFmtId="0" fontId="7" fillId="2" borderId="0" xfId="3" applyFont="1" applyFill="1" applyAlignment="1">
      <alignment vertical="center"/>
    </xf>
    <xf numFmtId="0" fontId="6" fillId="2" borderId="0" xfId="3" applyFont="1" applyFill="1" applyAlignment="1">
      <alignment vertical="center"/>
    </xf>
    <xf numFmtId="0" fontId="3" fillId="2" borderId="0" xfId="3" applyFill="1" applyAlignment="1">
      <alignment vertical="center"/>
    </xf>
    <xf numFmtId="0" fontId="4" fillId="2" borderId="0" xfId="5" applyFont="1" applyFill="1" applyAlignment="1">
      <alignment vertical="center"/>
    </xf>
    <xf numFmtId="0" fontId="2" fillId="2" borderId="0" xfId="4" applyFont="1" applyFill="1" applyAlignment="1">
      <alignment vertical="center"/>
    </xf>
    <xf numFmtId="0" fontId="3" fillId="2" borderId="0" xfId="2" applyFill="1" applyAlignment="1">
      <alignment vertical="top"/>
    </xf>
    <xf numFmtId="0" fontId="3" fillId="2" borderId="0" xfId="5" applyFont="1" applyFill="1" applyAlignment="1">
      <alignment horizontal="left" vertical="top" wrapText="1"/>
    </xf>
    <xf numFmtId="0" fontId="3" fillId="2" borderId="0" xfId="4" applyFill="1"/>
    <xf numFmtId="0" fontId="0" fillId="5" borderId="0" xfId="0" applyFill="1" applyAlignment="1">
      <alignment wrapText="1"/>
    </xf>
    <xf numFmtId="0" fontId="0" fillId="2" borderId="0" xfId="0" applyFill="1" applyAlignment="1">
      <alignment horizontal="left"/>
    </xf>
    <xf numFmtId="0" fontId="2" fillId="2" borderId="7" xfId="0" applyFont="1" applyFill="1" applyBorder="1" applyAlignment="1">
      <alignment horizontal="left" vertical="center" indent="1"/>
    </xf>
    <xf numFmtId="0" fontId="2" fillId="2" borderId="8" xfId="0" applyFont="1" applyFill="1" applyBorder="1" applyAlignment="1">
      <alignment horizontal="left" vertical="center" indent="1"/>
    </xf>
    <xf numFmtId="0" fontId="2" fillId="2" borderId="9" xfId="0" applyFont="1" applyFill="1" applyBorder="1" applyAlignment="1">
      <alignment horizontal="left" vertical="center" indent="1"/>
    </xf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2" fontId="3" fillId="2" borderId="0" xfId="0" applyNumberFormat="1" applyFont="1" applyFill="1" applyAlignment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Alignment="1" applyProtection="1">
      <alignment horizontal="left" vertical="center"/>
      <protection locked="0"/>
    </xf>
    <xf numFmtId="2" fontId="3" fillId="2" borderId="0" xfId="0" applyNumberFormat="1" applyFont="1" applyFill="1" applyAlignment="1">
      <alignment horizontal="right" vertical="center"/>
    </xf>
    <xf numFmtId="4" fontId="3" fillId="2" borderId="0" xfId="0" applyNumberFormat="1" applyFont="1" applyFill="1" applyAlignment="1">
      <alignment horizontal="right" vertical="center"/>
    </xf>
    <xf numFmtId="2" fontId="3" fillId="2" borderId="0" xfId="0" applyNumberFormat="1" applyFont="1" applyFill="1" applyAlignment="1" applyProtection="1">
      <alignment horizontal="right" vertical="center"/>
      <protection locked="0"/>
    </xf>
    <xf numFmtId="4" fontId="3" fillId="2" borderId="0" xfId="0" applyNumberFormat="1" applyFont="1" applyFill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>
      <alignment horizontal="left"/>
    </xf>
    <xf numFmtId="2" fontId="0" fillId="2" borderId="0" xfId="0" applyNumberForma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3" fillId="6" borderId="30" xfId="0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10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Font="1" applyFill="1" applyBorder="1" applyAlignment="1">
      <alignment horizontal="left" vertical="top" wrapText="1"/>
    </xf>
    <xf numFmtId="0" fontId="3" fillId="2" borderId="39" xfId="4" applyFill="1" applyBorder="1"/>
    <xf numFmtId="0" fontId="3" fillId="2" borderId="0" xfId="5" applyFont="1" applyFill="1" applyAlignment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>
      <alignment horizontal="left" vertical="center"/>
    </xf>
    <xf numFmtId="0" fontId="2" fillId="3" borderId="10" xfId="1" applyFont="1" applyFill="1" applyBorder="1" applyAlignment="1">
      <alignment horizontal="left" vertical="center"/>
    </xf>
    <xf numFmtId="0" fontId="15" fillId="3" borderId="0" xfId="0" applyFont="1" applyFill="1"/>
    <xf numFmtId="0" fontId="3" fillId="2" borderId="40" xfId="5" applyFont="1" applyFill="1" applyBorder="1" applyAlignment="1">
      <alignment vertical="center"/>
    </xf>
    <xf numFmtId="0" fontId="0" fillId="2" borderId="20" xfId="0" applyFill="1" applyBorder="1"/>
    <xf numFmtId="0" fontId="10" fillId="2" borderId="34" xfId="0" applyFont="1" applyFill="1" applyBorder="1"/>
    <xf numFmtId="0" fontId="0" fillId="2" borderId="34" xfId="0" applyFill="1" applyBorder="1"/>
    <xf numFmtId="0" fontId="0" fillId="2" borderId="41" xfId="0" applyFill="1" applyBorder="1"/>
    <xf numFmtId="0" fontId="0" fillId="2" borderId="22" xfId="0" applyFill="1" applyBorder="1"/>
    <xf numFmtId="0" fontId="0" fillId="2" borderId="21" xfId="0" applyFill="1" applyBorder="1"/>
    <xf numFmtId="0" fontId="0" fillId="2" borderId="18" xfId="0" applyFill="1" applyBorder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12" xfId="0" applyNumberFormat="1" applyFont="1" applyBorder="1" applyAlignment="1">
      <alignment horizontal="right" vertical="center"/>
    </xf>
    <xf numFmtId="169" fontId="4" fillId="0" borderId="0" xfId="0" applyNumberFormat="1" applyFont="1" applyAlignment="1">
      <alignment horizontal="center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Alignment="1">
      <alignment horizontal="left" vertical="center" indent="1"/>
    </xf>
    <xf numFmtId="0" fontId="2" fillId="8" borderId="0" xfId="1" applyFont="1" applyFill="1"/>
    <xf numFmtId="0" fontId="2" fillId="0" borderId="0" xfId="1" applyFont="1"/>
    <xf numFmtId="0" fontId="26" fillId="8" borderId="0" xfId="1" applyFont="1" applyFill="1" applyAlignment="1">
      <alignment vertical="center"/>
    </xf>
    <xf numFmtId="0" fontId="17" fillId="8" borderId="0" xfId="1" applyFont="1" applyFill="1" applyAlignment="1">
      <alignment vertical="center" wrapText="1"/>
    </xf>
    <xf numFmtId="0" fontId="2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6" borderId="45" xfId="0" applyFont="1" applyFill="1" applyBorder="1" applyAlignment="1">
      <alignment horizontal="left" vertical="center" wrapText="1"/>
    </xf>
    <xf numFmtId="0" fontId="2" fillId="6" borderId="45" xfId="0" applyFont="1" applyFill="1" applyBorder="1" applyAlignment="1">
      <alignment horizontal="center" vertical="center" wrapText="1"/>
    </xf>
    <xf numFmtId="0" fontId="2" fillId="4" borderId="45" xfId="0" applyFont="1" applyFill="1" applyBorder="1" applyAlignment="1">
      <alignment horizontal="centerContinuous" vertical="center" wrapText="1"/>
    </xf>
    <xf numFmtId="0" fontId="2" fillId="4" borderId="0" xfId="0" applyFont="1" applyFill="1" applyAlignment="1">
      <alignment horizontal="centerContinuous" vertical="center" wrapText="1"/>
    </xf>
    <xf numFmtId="0" fontId="2" fillId="6" borderId="46" xfId="0" applyFont="1" applyFill="1" applyBorder="1" applyAlignment="1">
      <alignment horizontal="left" vertical="center" wrapText="1"/>
    </xf>
    <xf numFmtId="0" fontId="2" fillId="6" borderId="0" xfId="0" applyFont="1" applyFill="1"/>
    <xf numFmtId="0" fontId="2" fillId="6" borderId="47" xfId="1" applyFont="1" applyFill="1" applyBorder="1" applyAlignment="1">
      <alignment horizontal="center" vertical="top"/>
    </xf>
    <xf numFmtId="0" fontId="3" fillId="6" borderId="47" xfId="2" applyFill="1" applyBorder="1" applyAlignment="1">
      <alignment horizontal="center" vertical="top" wrapText="1"/>
    </xf>
    <xf numFmtId="0" fontId="3" fillId="6" borderId="48" xfId="2" applyFill="1" applyBorder="1" applyAlignment="1">
      <alignment horizontal="center" vertical="top" wrapText="1"/>
    </xf>
    <xf numFmtId="0" fontId="3" fillId="6" borderId="49" xfId="2" applyFill="1" applyBorder="1" applyAlignment="1">
      <alignment horizontal="center" vertical="top" wrapText="1"/>
    </xf>
    <xf numFmtId="0" fontId="3" fillId="6" borderId="50" xfId="2" applyFill="1" applyBorder="1" applyAlignment="1">
      <alignment horizontal="center" vertical="top" wrapText="1"/>
    </xf>
    <xf numFmtId="0" fontId="3" fillId="6" borderId="32" xfId="2" applyFill="1" applyBorder="1" applyAlignment="1">
      <alignment horizontal="center" vertical="center" wrapText="1"/>
    </xf>
    <xf numFmtId="0" fontId="17" fillId="0" borderId="0" xfId="0" applyFont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3" xfId="8" applyNumberFormat="1" applyFont="1" applyFill="1" applyBorder="1" applyAlignment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4" xfId="8" applyNumberFormat="1" applyFont="1" applyBorder="1" applyAlignment="1">
      <alignment horizontal="right" vertical="center" indent="1"/>
    </xf>
    <xf numFmtId="3" fontId="4" fillId="0" borderId="38" xfId="8" applyNumberFormat="1" applyFont="1" applyBorder="1" applyAlignment="1">
      <alignment horizontal="right" vertical="center" indent="1"/>
    </xf>
    <xf numFmtId="0" fontId="2" fillId="0" borderId="0" xfId="1" applyFont="1" applyAlignment="1">
      <alignment vertical="center"/>
    </xf>
    <xf numFmtId="0" fontId="2" fillId="6" borderId="64" xfId="1" applyFont="1" applyFill="1" applyBorder="1" applyAlignment="1">
      <alignment horizontal="center" vertical="center" wrapText="1"/>
    </xf>
    <xf numFmtId="3" fontId="4" fillId="0" borderId="66" xfId="8" applyNumberFormat="1" applyFont="1" applyBorder="1" applyAlignment="1">
      <alignment horizontal="right" vertical="center" indent="1"/>
    </xf>
    <xf numFmtId="3" fontId="4" fillId="3" borderId="67" xfId="8" applyNumberFormat="1" applyFont="1" applyFill="1" applyBorder="1" applyAlignment="1" applyProtection="1">
      <alignment horizontal="center" vertical="center"/>
      <protection locked="0"/>
    </xf>
    <xf numFmtId="3" fontId="4" fillId="3" borderId="68" xfId="8" applyNumberFormat="1" applyFont="1" applyFill="1" applyBorder="1" applyAlignment="1" applyProtection="1">
      <alignment horizontal="center" vertical="center"/>
      <protection locked="0"/>
    </xf>
    <xf numFmtId="0" fontId="2" fillId="0" borderId="69" xfId="0" applyFont="1" applyBorder="1"/>
    <xf numFmtId="0" fontId="7" fillId="0" borderId="0" xfId="5" applyFont="1" applyAlignment="1">
      <alignment horizontal="left" vertical="top"/>
    </xf>
    <xf numFmtId="0" fontId="3" fillId="0" borderId="0" xfId="5" applyFont="1" applyAlignment="1">
      <alignment horizontal="left" vertical="top" wrapText="1"/>
    </xf>
    <xf numFmtId="0" fontId="3" fillId="0" borderId="0" xfId="4"/>
    <xf numFmtId="0" fontId="3" fillId="0" borderId="0" xfId="3"/>
    <xf numFmtId="0" fontId="3" fillId="0" borderId="0" xfId="5" applyFont="1" applyAlignment="1">
      <alignment vertical="top"/>
    </xf>
    <xf numFmtId="0" fontId="4" fillId="3" borderId="12" xfId="5" applyFont="1" applyFill="1" applyBorder="1" applyAlignment="1" applyProtection="1">
      <alignment horizontal="left" vertical="center" indent="1"/>
      <protection locked="0"/>
    </xf>
    <xf numFmtId="0" fontId="4" fillId="0" borderId="0" xfId="5" applyFont="1" applyAlignment="1">
      <alignment vertical="center"/>
    </xf>
    <xf numFmtId="0" fontId="2" fillId="0" borderId="0" xfId="3" applyFont="1" applyAlignment="1">
      <alignment vertical="center"/>
    </xf>
    <xf numFmtId="0" fontId="0" fillId="0" borderId="35" xfId="0" applyBorder="1" applyProtection="1">
      <protection locked="0"/>
    </xf>
    <xf numFmtId="0" fontId="0" fillId="0" borderId="42" xfId="0" applyBorder="1" applyProtection="1">
      <protection locked="0"/>
    </xf>
    <xf numFmtId="0" fontId="7" fillId="0" borderId="0" xfId="2" applyFont="1" applyAlignment="1">
      <alignment vertical="top"/>
    </xf>
    <xf numFmtId="0" fontId="3" fillId="0" borderId="0" xfId="2" applyAlignment="1">
      <alignment vertical="top"/>
    </xf>
    <xf numFmtId="0" fontId="14" fillId="0" borderId="0" xfId="0" applyFont="1"/>
    <xf numFmtId="0" fontId="0" fillId="0" borderId="35" xfId="0" applyBorder="1"/>
    <xf numFmtId="0" fontId="0" fillId="0" borderId="70" xfId="0" applyBorder="1"/>
    <xf numFmtId="0" fontId="8" fillId="3" borderId="72" xfId="1" applyFont="1" applyFill="1" applyBorder="1" applyAlignment="1">
      <alignment horizontal="left" vertical="center"/>
    </xf>
    <xf numFmtId="0" fontId="0" fillId="0" borderId="71" xfId="0" applyBorder="1"/>
    <xf numFmtId="0" fontId="0" fillId="2" borderId="73" xfId="0" applyFill="1" applyBorder="1"/>
    <xf numFmtId="0" fontId="0" fillId="2" borderId="74" xfId="0" applyFill="1" applyBorder="1"/>
    <xf numFmtId="0" fontId="0" fillId="2" borderId="69" xfId="0" applyFill="1" applyBorder="1"/>
    <xf numFmtId="0" fontId="8" fillId="2" borderId="0" xfId="0" applyFont="1" applyFill="1"/>
    <xf numFmtId="0" fontId="29" fillId="2" borderId="0" xfId="0" applyFont="1" applyFill="1" applyAlignment="1">
      <alignment horizontal="left" vertical="center" indent="1"/>
    </xf>
    <xf numFmtId="0" fontId="2" fillId="0" borderId="10" xfId="1" applyFont="1" applyBorder="1" applyAlignment="1">
      <alignment horizontal="left"/>
    </xf>
    <xf numFmtId="0" fontId="3" fillId="6" borderId="75" xfId="2" applyFill="1" applyBorder="1" applyAlignment="1">
      <alignment horizontal="center" vertical="center" wrapText="1"/>
    </xf>
    <xf numFmtId="0" fontId="3" fillId="0" borderId="0" xfId="2" applyAlignment="1">
      <alignment horizontal="center" vertical="center" wrapText="1"/>
    </xf>
    <xf numFmtId="0" fontId="17" fillId="8" borderId="0" xfId="1" applyFont="1" applyFill="1"/>
    <xf numFmtId="0" fontId="17" fillId="0" borderId="0" xfId="0" applyFont="1"/>
    <xf numFmtId="0" fontId="17" fillId="0" borderId="44" xfId="0" applyFont="1" applyBorder="1"/>
    <xf numFmtId="0" fontId="17" fillId="0" borderId="44" xfId="1" applyFont="1" applyBorder="1"/>
    <xf numFmtId="0" fontId="17" fillId="0" borderId="55" xfId="0" applyFont="1" applyBorder="1"/>
    <xf numFmtId="2" fontId="2" fillId="0" borderId="0" xfId="0" applyNumberFormat="1" applyFont="1"/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76" xfId="0" applyFont="1" applyFill="1" applyBorder="1" applyAlignment="1">
      <alignment horizontal="center" vertical="center" wrapText="1"/>
    </xf>
    <xf numFmtId="0" fontId="0" fillId="2" borderId="4" xfId="0" applyFill="1" applyBorder="1"/>
    <xf numFmtId="4" fontId="2" fillId="2" borderId="6" xfId="0" applyNumberFormat="1" applyFont="1" applyFill="1" applyBorder="1" applyAlignment="1">
      <alignment horizontal="right" vertical="center"/>
    </xf>
    <xf numFmtId="0" fontId="0" fillId="2" borderId="9" xfId="0" applyFill="1" applyBorder="1"/>
    <xf numFmtId="0" fontId="24" fillId="0" borderId="1" xfId="0" applyFont="1" applyBorder="1" applyAlignment="1">
      <alignment horizontal="left"/>
    </xf>
    <xf numFmtId="4" fontId="4" fillId="0" borderId="58" xfId="8" applyNumberFormat="1" applyFont="1" applyBorder="1" applyAlignment="1">
      <alignment horizontal="right" vertical="center" indent="1"/>
    </xf>
    <xf numFmtId="4" fontId="4" fillId="0" borderId="54" xfId="8" applyNumberFormat="1" applyFont="1" applyBorder="1" applyAlignment="1">
      <alignment horizontal="right" vertical="center" indent="1"/>
    </xf>
    <xf numFmtId="0" fontId="8" fillId="3" borderId="11" xfId="0" applyFont="1" applyFill="1" applyBorder="1" applyAlignment="1">
      <alignment horizontal="left"/>
    </xf>
    <xf numFmtId="4" fontId="8" fillId="3" borderId="11" xfId="0" applyNumberFormat="1" applyFont="1" applyFill="1" applyBorder="1" applyAlignment="1">
      <alignment horizontal="left" vertical="center"/>
    </xf>
    <xf numFmtId="165" fontId="8" fillId="2" borderId="0" xfId="0" applyNumberFormat="1" applyFont="1" applyFill="1" applyAlignment="1" applyProtection="1">
      <alignment horizontal="left" vertical="center"/>
      <protection locked="0"/>
    </xf>
    <xf numFmtId="0" fontId="2" fillId="2" borderId="64" xfId="0" applyFont="1" applyFill="1" applyBorder="1" applyAlignment="1">
      <alignment vertical="center"/>
    </xf>
    <xf numFmtId="14" fontId="0" fillId="3" borderId="0" xfId="0" applyNumberFormat="1" applyFill="1"/>
    <xf numFmtId="0" fontId="8" fillId="0" borderId="64" xfId="0" applyNumberFormat="1" applyFont="1" applyFill="1" applyBorder="1" applyAlignment="1" applyProtection="1">
      <alignment horizontal="left" vertical="center"/>
      <protection locked="0"/>
    </xf>
    <xf numFmtId="165" fontId="2" fillId="3" borderId="64" xfId="0" applyNumberFormat="1" applyFont="1" applyFill="1" applyBorder="1" applyAlignment="1" applyProtection="1">
      <alignment vertical="center"/>
      <protection locked="0"/>
    </xf>
    <xf numFmtId="4" fontId="4" fillId="2" borderId="64" xfId="8" applyNumberFormat="1" applyFont="1" applyFill="1" applyBorder="1" applyAlignment="1" applyProtection="1">
      <alignment horizontal="right" vertical="center" indent="1"/>
      <protection locked="0" hidden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vertical="center"/>
    </xf>
    <xf numFmtId="0" fontId="8" fillId="0" borderId="0" xfId="0" applyNumberFormat="1" applyFont="1" applyFill="1" applyBorder="1" applyAlignment="1" applyProtection="1">
      <alignment horizontal="left" vertical="center"/>
      <protection locked="0"/>
    </xf>
    <xf numFmtId="170" fontId="8" fillId="3" borderId="64" xfId="0" applyNumberFormat="1" applyFont="1" applyFill="1" applyBorder="1" applyAlignment="1" applyProtection="1">
      <alignment horizontal="left" vertical="center"/>
      <protection locked="0"/>
    </xf>
    <xf numFmtId="2" fontId="4" fillId="0" borderId="1" xfId="0" applyNumberFormat="1" applyFont="1" applyBorder="1" applyAlignment="1">
      <alignment horizontal="right" vertical="center"/>
    </xf>
    <xf numFmtId="3" fontId="4" fillId="2" borderId="64" xfId="8" applyNumberFormat="1" applyFont="1" applyFill="1" applyBorder="1" applyAlignment="1" applyProtection="1">
      <alignment horizontal="right" vertical="center" indent="1"/>
      <protection locked="0" hidden="1"/>
    </xf>
    <xf numFmtId="3" fontId="4" fillId="0" borderId="63" xfId="8" applyNumberFormat="1" applyFont="1" applyBorder="1" applyAlignment="1">
      <alignment horizontal="right" vertical="center" indent="1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0" borderId="0" xfId="0" applyFont="1" applyAlignment="1">
      <alignment horizontal="left" vertical="top" wrapText="1"/>
    </xf>
    <xf numFmtId="0" fontId="11" fillId="2" borderId="0" xfId="1" applyFont="1" applyFill="1" applyAlignment="1">
      <alignment horizontal="left" vertical="top" wrapText="1"/>
    </xf>
    <xf numFmtId="0" fontId="5" fillId="2" borderId="0" xfId="1" applyFont="1" applyFill="1" applyAlignment="1">
      <alignment horizontal="left" vertical="top" wrapText="1"/>
    </xf>
    <xf numFmtId="0" fontId="2" fillId="2" borderId="59" xfId="0" applyFont="1" applyFill="1" applyBorder="1" applyAlignment="1">
      <alignment horizontal="left" vertical="center"/>
    </xf>
    <xf numFmtId="0" fontId="2" fillId="2" borderId="60" xfId="0" applyFont="1" applyFill="1" applyBorder="1" applyAlignment="1">
      <alignment horizontal="left" vertical="center"/>
    </xf>
    <xf numFmtId="0" fontId="2" fillId="2" borderId="77" xfId="0" applyFont="1" applyFill="1" applyBorder="1" applyAlignment="1">
      <alignment horizontal="left" vertical="center"/>
    </xf>
    <xf numFmtId="0" fontId="2" fillId="6" borderId="61" xfId="0" applyFont="1" applyFill="1" applyBorder="1" applyAlignment="1">
      <alignment horizontal="left" vertical="center" indent="1"/>
    </xf>
    <xf numFmtId="0" fontId="2" fillId="6" borderId="65" xfId="0" applyFont="1" applyFill="1" applyBorder="1" applyAlignment="1">
      <alignment horizontal="left" vertical="center" indent="1"/>
    </xf>
    <xf numFmtId="0" fontId="2" fillId="0" borderId="43" xfId="0" applyFont="1" applyBorder="1" applyAlignment="1">
      <alignment horizontal="left" vertical="center" wrapText="1"/>
    </xf>
    <xf numFmtId="0" fontId="2" fillId="6" borderId="40" xfId="0" applyFont="1" applyFill="1" applyBorder="1" applyAlignment="1">
      <alignment horizontal="left" vertical="center" indent="1"/>
    </xf>
    <xf numFmtId="0" fontId="2" fillId="6" borderId="39" xfId="0" applyFont="1" applyFill="1" applyBorder="1" applyAlignment="1">
      <alignment horizontal="left" vertical="center" indent="1"/>
    </xf>
    <xf numFmtId="0" fontId="2" fillId="6" borderId="56" xfId="0" applyFont="1" applyFill="1" applyBorder="1" applyAlignment="1">
      <alignment horizontal="left" vertical="center" indent="1"/>
    </xf>
    <xf numFmtId="0" fontId="2" fillId="6" borderId="57" xfId="0" applyFont="1" applyFill="1" applyBorder="1" applyAlignment="1">
      <alignment horizontal="left" vertical="center" indent="1"/>
    </xf>
    <xf numFmtId="0" fontId="2" fillId="6" borderId="59" xfId="1" applyFont="1" applyFill="1" applyBorder="1" applyAlignment="1">
      <alignment horizontal="center" vertical="center"/>
    </xf>
    <xf numFmtId="0" fontId="2" fillId="6" borderId="60" xfId="1" applyFont="1" applyFill="1" applyBorder="1" applyAlignment="1">
      <alignment horizontal="center" vertical="center"/>
    </xf>
    <xf numFmtId="0" fontId="2" fillId="6" borderId="62" xfId="0" applyFont="1" applyFill="1" applyBorder="1" applyAlignment="1">
      <alignment horizontal="left" vertical="center" indent="1"/>
    </xf>
    <xf numFmtId="0" fontId="2" fillId="2" borderId="5" xfId="0" applyFont="1" applyFill="1" applyBorder="1" applyAlignment="1">
      <alignment horizontal="left" vertical="center" indent="1"/>
    </xf>
    <xf numFmtId="0" fontId="2" fillId="2" borderId="6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2" borderId="4" xfId="0" applyFont="1" applyFill="1" applyBorder="1" applyAlignment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</cellXfs>
  <cellStyles count="9">
    <cellStyle name="Comma" xfId="8" builtinId="3"/>
    <cellStyle name="Normal" xfId="0" builtinId="0"/>
    <cellStyle name="Normal 2" xfId="1"/>
    <cellStyle name="Normal 2 2" xfId="2"/>
    <cellStyle name="Normal 2 2 2" xfId="5"/>
    <cellStyle name="Normal 2 3" xfId="4"/>
    <cellStyle name="Normal 4" xfId="6"/>
    <cellStyle name="Normal 5" xfId="3"/>
    <cellStyle name="Percent 2" xfId="7"/>
  </cellStyles>
  <dxfs count="0"/>
  <tableStyles count="1" defaultTableStyle="TableStyleMedium2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24</xdr:row>
          <xdr:rowOff>76200</xdr:rowOff>
        </xdr:from>
        <xdr:to>
          <xdr:col>3</xdr:col>
          <xdr:colOff>561975</xdr:colOff>
          <xdr:row>24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24</xdr:row>
          <xdr:rowOff>76200</xdr:rowOff>
        </xdr:from>
        <xdr:to>
          <xdr:col>3</xdr:col>
          <xdr:colOff>1895475</xdr:colOff>
          <xdr:row>24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752475</xdr:colOff>
          <xdr:row>7</xdr:row>
          <xdr:rowOff>0</xdr:rowOff>
        </xdr:from>
        <xdr:to>
          <xdr:col>2</xdr:col>
          <xdr:colOff>752475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28575</xdr:rowOff>
        </xdr:from>
        <xdr:to>
          <xdr:col>2</xdr:col>
          <xdr:colOff>9525</xdr:colOff>
          <xdr:row>9</xdr:row>
          <xdr:rowOff>295275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28575</xdr:rowOff>
        </xdr:from>
        <xdr:to>
          <xdr:col>2</xdr:col>
          <xdr:colOff>1323975</xdr:colOff>
          <xdr:row>9</xdr:row>
          <xdr:rowOff>295275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142875</xdr:rowOff>
        </xdr:from>
        <xdr:to>
          <xdr:col>1</xdr:col>
          <xdr:colOff>1400175</xdr:colOff>
          <xdr:row>19</xdr:row>
          <xdr:rowOff>409575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19</xdr:row>
          <xdr:rowOff>142875</xdr:rowOff>
        </xdr:from>
        <xdr:to>
          <xdr:col>2</xdr:col>
          <xdr:colOff>295275</xdr:colOff>
          <xdr:row>19</xdr:row>
          <xdr:rowOff>409575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9525</xdr:rowOff>
        </xdr:from>
        <xdr:to>
          <xdr:col>2</xdr:col>
          <xdr:colOff>447675</xdr:colOff>
          <xdr:row>10</xdr:row>
          <xdr:rowOff>295275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10</xdr:row>
          <xdr:rowOff>409575</xdr:rowOff>
        </xdr:from>
        <xdr:to>
          <xdr:col>3</xdr:col>
          <xdr:colOff>981075</xdr:colOff>
          <xdr:row>12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5</xdr:row>
          <xdr:rowOff>190500</xdr:rowOff>
        </xdr:from>
        <xdr:to>
          <xdr:col>2</xdr:col>
          <xdr:colOff>885825</xdr:colOff>
          <xdr:row>5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4</xdr:row>
          <xdr:rowOff>142875</xdr:rowOff>
        </xdr:from>
        <xdr:to>
          <xdr:col>3</xdr:col>
          <xdr:colOff>600075</xdr:colOff>
          <xdr:row>4</xdr:row>
          <xdr:rowOff>409575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9</xdr:row>
          <xdr:rowOff>28575</xdr:rowOff>
        </xdr:from>
        <xdr:to>
          <xdr:col>2</xdr:col>
          <xdr:colOff>466725</xdr:colOff>
          <xdr:row>9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9</xdr:row>
          <xdr:rowOff>352425</xdr:rowOff>
        </xdr:from>
        <xdr:to>
          <xdr:col>3</xdr:col>
          <xdr:colOff>990600</xdr:colOff>
          <xdr:row>11</xdr:row>
          <xdr:rowOff>28575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5</xdr:row>
          <xdr:rowOff>190500</xdr:rowOff>
        </xdr:from>
        <xdr:to>
          <xdr:col>2</xdr:col>
          <xdr:colOff>885825</xdr:colOff>
          <xdr:row>5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4</xdr:row>
          <xdr:rowOff>142875</xdr:rowOff>
        </xdr:from>
        <xdr:to>
          <xdr:col>3</xdr:col>
          <xdr:colOff>600075</xdr:colOff>
          <xdr:row>4</xdr:row>
          <xdr:rowOff>409575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</xdr:row>
          <xdr:rowOff>0</xdr:rowOff>
        </xdr:from>
        <xdr:to>
          <xdr:col>2</xdr:col>
          <xdr:colOff>9525</xdr:colOff>
          <xdr:row>9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8</xdr:row>
          <xdr:rowOff>0</xdr:rowOff>
        </xdr:from>
        <xdr:to>
          <xdr:col>3</xdr:col>
          <xdr:colOff>9525</xdr:colOff>
          <xdr:row>9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28575</xdr:rowOff>
        </xdr:from>
        <xdr:to>
          <xdr:col>2</xdr:col>
          <xdr:colOff>9525</xdr:colOff>
          <xdr:row>9</xdr:row>
          <xdr:rowOff>295275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28575</xdr:rowOff>
        </xdr:from>
        <xdr:to>
          <xdr:col>2</xdr:col>
          <xdr:colOff>1323975</xdr:colOff>
          <xdr:row>9</xdr:row>
          <xdr:rowOff>295275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28575</xdr:rowOff>
        </xdr:from>
        <xdr:to>
          <xdr:col>2</xdr:col>
          <xdr:colOff>9525</xdr:colOff>
          <xdr:row>9</xdr:row>
          <xdr:rowOff>295275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28575</xdr:rowOff>
        </xdr:from>
        <xdr:to>
          <xdr:col>2</xdr:col>
          <xdr:colOff>1323975</xdr:colOff>
          <xdr:row>9</xdr:row>
          <xdr:rowOff>295275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28575</xdr:rowOff>
        </xdr:from>
        <xdr:to>
          <xdr:col>2</xdr:col>
          <xdr:colOff>9525</xdr:colOff>
          <xdr:row>9</xdr:row>
          <xdr:rowOff>295275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28575</xdr:rowOff>
        </xdr:from>
        <xdr:to>
          <xdr:col>2</xdr:col>
          <xdr:colOff>1323975</xdr:colOff>
          <xdr:row>9</xdr:row>
          <xdr:rowOff>295275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28575</xdr:rowOff>
        </xdr:from>
        <xdr:to>
          <xdr:col>2</xdr:col>
          <xdr:colOff>9525</xdr:colOff>
          <xdr:row>9</xdr:row>
          <xdr:rowOff>295275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28575</xdr:rowOff>
        </xdr:from>
        <xdr:to>
          <xdr:col>2</xdr:col>
          <xdr:colOff>1323975</xdr:colOff>
          <xdr:row>9</xdr:row>
          <xdr:rowOff>295275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28575</xdr:rowOff>
        </xdr:from>
        <xdr:to>
          <xdr:col>2</xdr:col>
          <xdr:colOff>9525</xdr:colOff>
          <xdr:row>9</xdr:row>
          <xdr:rowOff>295275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28575</xdr:rowOff>
        </xdr:from>
        <xdr:to>
          <xdr:col>2</xdr:col>
          <xdr:colOff>1323975</xdr:colOff>
          <xdr:row>9</xdr:row>
          <xdr:rowOff>295275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28575</xdr:rowOff>
        </xdr:from>
        <xdr:to>
          <xdr:col>2</xdr:col>
          <xdr:colOff>9525</xdr:colOff>
          <xdr:row>9</xdr:row>
          <xdr:rowOff>295275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28575</xdr:rowOff>
        </xdr:from>
        <xdr:to>
          <xdr:col>2</xdr:col>
          <xdr:colOff>1323975</xdr:colOff>
          <xdr:row>9</xdr:row>
          <xdr:rowOff>295275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28575</xdr:rowOff>
        </xdr:from>
        <xdr:to>
          <xdr:col>2</xdr:col>
          <xdr:colOff>9525</xdr:colOff>
          <xdr:row>9</xdr:row>
          <xdr:rowOff>295275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28575</xdr:rowOff>
        </xdr:from>
        <xdr:to>
          <xdr:col>2</xdr:col>
          <xdr:colOff>1323975</xdr:colOff>
          <xdr:row>9</xdr:row>
          <xdr:rowOff>295275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28575</xdr:rowOff>
        </xdr:from>
        <xdr:to>
          <xdr:col>2</xdr:col>
          <xdr:colOff>9525</xdr:colOff>
          <xdr:row>9</xdr:row>
          <xdr:rowOff>295275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28575</xdr:rowOff>
        </xdr:from>
        <xdr:to>
          <xdr:col>2</xdr:col>
          <xdr:colOff>1323975</xdr:colOff>
          <xdr:row>9</xdr:row>
          <xdr:rowOff>295275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28575</xdr:rowOff>
        </xdr:from>
        <xdr:to>
          <xdr:col>2</xdr:col>
          <xdr:colOff>9525</xdr:colOff>
          <xdr:row>9</xdr:row>
          <xdr:rowOff>295275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28575</xdr:rowOff>
        </xdr:from>
        <xdr:to>
          <xdr:col>2</xdr:col>
          <xdr:colOff>1323975</xdr:colOff>
          <xdr:row>9</xdr:row>
          <xdr:rowOff>295275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28575</xdr:rowOff>
        </xdr:from>
        <xdr:to>
          <xdr:col>2</xdr:col>
          <xdr:colOff>9525</xdr:colOff>
          <xdr:row>9</xdr:row>
          <xdr:rowOff>295275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28575</xdr:rowOff>
        </xdr:from>
        <xdr:to>
          <xdr:col>2</xdr:col>
          <xdr:colOff>1323975</xdr:colOff>
          <xdr:row>9</xdr:row>
          <xdr:rowOff>295275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28575</xdr:rowOff>
        </xdr:from>
        <xdr:to>
          <xdr:col>2</xdr:col>
          <xdr:colOff>9525</xdr:colOff>
          <xdr:row>9</xdr:row>
          <xdr:rowOff>295275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28575</xdr:rowOff>
        </xdr:from>
        <xdr:to>
          <xdr:col>2</xdr:col>
          <xdr:colOff>1323975</xdr:colOff>
          <xdr:row>9</xdr:row>
          <xdr:rowOff>295275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752475</xdr:colOff>
          <xdr:row>7</xdr:row>
          <xdr:rowOff>0</xdr:rowOff>
        </xdr:from>
        <xdr:to>
          <xdr:col>2</xdr:col>
          <xdr:colOff>752475</xdr:colOff>
          <xdr:row>7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3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3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3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3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4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4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4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ctrlProp" Target="../ctrlProps/ctrlProp5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2:T321"/>
  <sheetViews>
    <sheetView showGridLines="0" topLeftCell="A11" zoomScale="90" zoomScaleNormal="90" zoomScalePageLayoutView="90" workbookViewId="0">
      <selection activeCell="F23" sqref="F23"/>
    </sheetView>
  </sheetViews>
  <sheetFormatPr defaultColWidth="9.140625" defaultRowHeight="15" x14ac:dyDescent="0.25"/>
  <cols>
    <col min="1" max="1" width="2.7109375" style="85" customWidth="1"/>
    <col min="2" max="2" width="5.7109375" style="85" customWidth="1"/>
    <col min="3" max="3" width="11.140625" style="85" customWidth="1"/>
    <col min="4" max="4" width="30.85546875" style="85" customWidth="1"/>
    <col min="5" max="5" width="29.140625" style="85" customWidth="1"/>
    <col min="6" max="6" width="21" style="85" customWidth="1"/>
    <col min="7" max="7" width="15.7109375" style="85" hidden="1" customWidth="1"/>
    <col min="8" max="8" width="110.28515625" style="85" hidden="1" customWidth="1"/>
    <col min="9" max="9" width="0.85546875" style="85" hidden="1" customWidth="1"/>
    <col min="10" max="10" width="9.140625" style="85" hidden="1" customWidth="1"/>
    <col min="11" max="11" width="4.42578125" style="85" customWidth="1"/>
    <col min="12" max="12" width="15.42578125" style="85" hidden="1" customWidth="1"/>
    <col min="13" max="18" width="9.140625" style="85" hidden="1" customWidth="1"/>
    <col min="19" max="19" width="5.140625" style="85" hidden="1" customWidth="1"/>
    <col min="20" max="20" width="9.140625" style="85" hidden="1" customWidth="1"/>
    <col min="21" max="16384" width="9.140625" style="85"/>
  </cols>
  <sheetData>
    <row r="2" spans="2:14" x14ac:dyDescent="0.25">
      <c r="B2" s="91"/>
      <c r="C2" s="92" t="s">
        <v>574</v>
      </c>
      <c r="D2" s="93"/>
      <c r="E2" s="93"/>
      <c r="F2" s="93"/>
      <c r="G2" s="93"/>
      <c r="H2" s="93"/>
      <c r="I2" s="94"/>
      <c r="J2" s="93"/>
      <c r="K2" s="95"/>
      <c r="L2" s="84"/>
      <c r="M2" s="84"/>
      <c r="N2" s="84"/>
    </row>
    <row r="3" spans="2:14" ht="49.5" customHeight="1" x14ac:dyDescent="0.25">
      <c r="B3" s="96"/>
      <c r="C3" s="203" t="s">
        <v>703</v>
      </c>
      <c r="D3" s="204"/>
      <c r="E3" s="204"/>
      <c r="F3" s="204"/>
      <c r="G3" s="1"/>
      <c r="H3" s="1"/>
      <c r="I3" s="9"/>
      <c r="J3" s="1"/>
      <c r="K3" s="97"/>
      <c r="L3" s="84"/>
      <c r="M3" s="84"/>
      <c r="N3" s="84"/>
    </row>
    <row r="4" spans="2:14" x14ac:dyDescent="0.25">
      <c r="B4" s="96"/>
      <c r="C4" s="10" t="s">
        <v>0</v>
      </c>
      <c r="D4" s="11"/>
      <c r="E4" s="11"/>
      <c r="F4" s="1"/>
      <c r="G4" s="1"/>
      <c r="H4" s="1"/>
      <c r="I4" s="9"/>
      <c r="J4" s="1"/>
      <c r="K4" s="97"/>
      <c r="L4" s="84"/>
      <c r="M4" s="84"/>
      <c r="N4" s="84"/>
    </row>
    <row r="5" spans="2:14" x14ac:dyDescent="0.25">
      <c r="B5" s="96"/>
      <c r="C5" s="12" t="s">
        <v>1</v>
      </c>
      <c r="D5" s="11"/>
      <c r="E5" s="11"/>
      <c r="F5" s="1"/>
      <c r="G5" s="1"/>
      <c r="H5" s="1"/>
      <c r="I5" s="9"/>
      <c r="J5" s="1"/>
      <c r="K5" s="97"/>
      <c r="L5" s="84"/>
      <c r="M5" s="84" t="s">
        <v>3</v>
      </c>
      <c r="N5" s="84"/>
    </row>
    <row r="6" spans="2:14" x14ac:dyDescent="0.25">
      <c r="B6" s="96"/>
      <c r="C6" s="13" t="s">
        <v>2</v>
      </c>
      <c r="D6" s="13"/>
      <c r="E6" s="14"/>
      <c r="F6" s="1"/>
      <c r="G6" s="1"/>
      <c r="H6" s="1"/>
      <c r="I6" s="9"/>
      <c r="J6" s="1"/>
      <c r="K6" s="97"/>
      <c r="L6" s="84"/>
      <c r="M6" s="84" t="s">
        <v>4</v>
      </c>
      <c r="N6" s="84"/>
    </row>
    <row r="7" spans="2:14" x14ac:dyDescent="0.25">
      <c r="B7" s="96"/>
      <c r="C7" s="13"/>
      <c r="D7" s="13"/>
      <c r="E7" s="14"/>
      <c r="F7" s="1"/>
      <c r="G7" s="1"/>
      <c r="H7" s="1"/>
      <c r="I7" s="9"/>
      <c r="J7" s="1"/>
      <c r="K7" s="97"/>
      <c r="L7" s="84"/>
      <c r="M7" s="84"/>
      <c r="N7" s="84"/>
    </row>
    <row r="8" spans="2:14" x14ac:dyDescent="0.25">
      <c r="B8" s="96"/>
      <c r="C8" s="141" t="s">
        <v>622</v>
      </c>
      <c r="D8" s="142"/>
      <c r="E8" s="143"/>
      <c r="F8" s="144"/>
      <c r="G8" s="1"/>
      <c r="H8" s="1"/>
      <c r="I8" s="9"/>
      <c r="J8" s="1"/>
      <c r="K8" s="97"/>
      <c r="L8" s="84"/>
      <c r="M8" s="84"/>
      <c r="N8" s="84"/>
    </row>
    <row r="9" spans="2:14" ht="15" customHeight="1" x14ac:dyDescent="0.25">
      <c r="B9" s="96"/>
      <c r="C9" s="145" t="s">
        <v>569</v>
      </c>
      <c r="D9" s="142"/>
      <c r="E9" s="143"/>
      <c r="F9" s="146" t="s">
        <v>704</v>
      </c>
      <c r="G9" s="1"/>
      <c r="H9" s="1"/>
      <c r="I9" s="9"/>
      <c r="J9" s="1"/>
      <c r="K9" s="97"/>
      <c r="L9" s="84"/>
      <c r="M9" s="84"/>
      <c r="N9" s="84"/>
    </row>
    <row r="10" spans="2:14" ht="15" customHeight="1" x14ac:dyDescent="0.25">
      <c r="B10" s="96"/>
      <c r="C10" s="147" t="s">
        <v>623</v>
      </c>
      <c r="D10" s="147"/>
      <c r="E10" s="142"/>
      <c r="F10" s="148"/>
      <c r="G10" s="7"/>
      <c r="H10" s="7"/>
      <c r="I10" s="8"/>
      <c r="J10" s="7"/>
      <c r="K10" s="97"/>
      <c r="L10" s="84"/>
      <c r="M10" s="84"/>
      <c r="N10" s="84"/>
    </row>
    <row r="11" spans="2:14" ht="15" customHeight="1" x14ac:dyDescent="0.25">
      <c r="B11" s="96"/>
      <c r="C11" s="1"/>
      <c r="D11" s="1"/>
      <c r="E11" s="19"/>
      <c r="F11" s="1"/>
      <c r="G11" s="7"/>
      <c r="H11" s="7"/>
      <c r="I11" s="8"/>
      <c r="J11" s="7"/>
      <c r="K11" s="97"/>
      <c r="L11" s="84"/>
      <c r="M11" s="84"/>
      <c r="N11" s="84"/>
    </row>
    <row r="12" spans="2:14" ht="15" customHeight="1" x14ac:dyDescent="0.25">
      <c r="B12" s="96"/>
      <c r="C12" s="15" t="s">
        <v>5</v>
      </c>
      <c r="D12" s="1"/>
      <c r="E12" s="1"/>
      <c r="F12" s="1"/>
      <c r="G12" s="7"/>
      <c r="H12" s="7"/>
      <c r="I12" s="8"/>
      <c r="J12" s="7"/>
      <c r="K12" s="97"/>
      <c r="L12" s="84"/>
      <c r="M12" s="84"/>
      <c r="N12" s="84"/>
    </row>
    <row r="13" spans="2:14" ht="15" customHeight="1" x14ac:dyDescent="0.25">
      <c r="B13" s="96"/>
      <c r="C13" s="15" t="s">
        <v>726</v>
      </c>
      <c r="D13" s="1"/>
      <c r="E13" s="1"/>
      <c r="F13" s="1"/>
      <c r="G13" s="7"/>
      <c r="H13" s="7"/>
      <c r="I13" s="8"/>
      <c r="J13" s="7"/>
      <c r="K13" s="97"/>
      <c r="L13" s="84"/>
      <c r="M13" s="84"/>
      <c r="N13" s="84"/>
    </row>
    <row r="14" spans="2:14" ht="21" customHeight="1" x14ac:dyDescent="0.25">
      <c r="B14" s="96"/>
      <c r="C14" s="15" t="s">
        <v>689</v>
      </c>
      <c r="D14" s="1"/>
      <c r="E14" s="1"/>
      <c r="F14" s="1"/>
      <c r="G14" s="7"/>
      <c r="H14" s="7"/>
      <c r="I14" s="8"/>
      <c r="J14" s="7"/>
      <c r="K14" s="97"/>
      <c r="L14" s="84"/>
      <c r="M14" s="84"/>
      <c r="N14" s="84"/>
    </row>
    <row r="15" spans="2:14" x14ac:dyDescent="0.25">
      <c r="B15" s="96"/>
      <c r="C15" s="205" t="s">
        <v>728</v>
      </c>
      <c r="D15" s="207"/>
      <c r="E15" s="206"/>
      <c r="F15" s="196">
        <v>2019</v>
      </c>
      <c r="G15" s="7"/>
      <c r="H15" s="7"/>
      <c r="I15" s="8"/>
      <c r="J15" s="7"/>
      <c r="K15" s="97"/>
      <c r="L15" s="84"/>
      <c r="M15" s="84"/>
      <c r="N15" s="84"/>
    </row>
    <row r="16" spans="2:14" x14ac:dyDescent="0.25">
      <c r="B16" s="96"/>
      <c r="C16" s="193"/>
      <c r="D16" s="193"/>
      <c r="E16" s="194"/>
      <c r="F16" s="195"/>
      <c r="G16" s="7"/>
      <c r="H16" s="7"/>
      <c r="I16" s="8"/>
      <c r="J16" s="7"/>
      <c r="K16" s="97"/>
      <c r="L16" s="84"/>
      <c r="M16" s="84"/>
      <c r="N16" s="84"/>
    </row>
    <row r="17" spans="2:20" x14ac:dyDescent="0.25">
      <c r="B17" s="158"/>
      <c r="C17" s="205"/>
      <c r="D17" s="206"/>
      <c r="E17" s="188" t="s">
        <v>722</v>
      </c>
      <c r="F17" s="190" t="s">
        <v>724</v>
      </c>
      <c r="G17" s="7"/>
      <c r="H17" s="7"/>
      <c r="I17" s="8"/>
      <c r="J17" s="7"/>
      <c r="K17" s="159"/>
      <c r="L17" s="84"/>
      <c r="M17" s="84"/>
      <c r="N17" s="84"/>
    </row>
    <row r="18" spans="2:20" x14ac:dyDescent="0.25">
      <c r="B18" s="158"/>
      <c r="C18" s="188" t="str">
        <f>CONCATENATE("Gross 
Floor Area 
",IF(Setup!$F$9="SI units","(sq m)","(sq ft)"))</f>
        <v>Gross 
Floor Area 
(sq ft)</v>
      </c>
      <c r="D18" s="188"/>
      <c r="E18" s="191">
        <v>43466</v>
      </c>
      <c r="F18" s="192">
        <v>5000</v>
      </c>
      <c r="G18" s="1"/>
      <c r="H18" s="1"/>
      <c r="I18" s="9"/>
      <c r="J18" s="1"/>
      <c r="K18" s="97"/>
      <c r="L18" s="84"/>
      <c r="M18" s="84"/>
      <c r="N18" s="84"/>
      <c r="T18" s="189">
        <f ca="1">TODAY()</f>
        <v>43644</v>
      </c>
    </row>
    <row r="19" spans="2:20" x14ac:dyDescent="0.25">
      <c r="B19" s="158"/>
      <c r="C19" s="188" t="s">
        <v>723</v>
      </c>
      <c r="D19" s="188"/>
      <c r="E19" s="191">
        <v>43466</v>
      </c>
      <c r="F19" s="198">
        <v>30</v>
      </c>
      <c r="G19" s="1"/>
      <c r="H19" s="1"/>
      <c r="I19" s="9"/>
      <c r="J19" s="1"/>
      <c r="K19" s="159"/>
      <c r="L19" s="84"/>
      <c r="M19" s="84"/>
      <c r="N19" s="84"/>
    </row>
    <row r="20" spans="2:20" x14ac:dyDescent="0.25">
      <c r="B20" s="158"/>
      <c r="C20" s="188" t="s">
        <v>494</v>
      </c>
      <c r="D20" s="188"/>
      <c r="E20" s="191">
        <v>43466</v>
      </c>
      <c r="F20" s="198">
        <v>9</v>
      </c>
      <c r="G20" s="1"/>
      <c r="H20" s="1"/>
      <c r="I20" s="9"/>
      <c r="J20" s="1"/>
      <c r="K20" s="159"/>
      <c r="L20" s="84"/>
      <c r="M20" s="84"/>
      <c r="N20" s="84"/>
    </row>
    <row r="21" spans="2:20" ht="24" customHeight="1" x14ac:dyDescent="0.25">
      <c r="B21" s="96"/>
      <c r="C21" s="1"/>
      <c r="D21" s="1"/>
      <c r="E21" s="1"/>
      <c r="F21" s="160"/>
      <c r="G21" s="1"/>
      <c r="H21" s="1"/>
      <c r="I21" s="9"/>
      <c r="J21" s="1"/>
      <c r="K21" s="97"/>
      <c r="L21" s="84"/>
      <c r="M21" s="84"/>
      <c r="N21" s="84"/>
    </row>
    <row r="22" spans="2:20" ht="30" customHeight="1" x14ac:dyDescent="0.25">
      <c r="B22" s="96"/>
      <c r="C22" s="15" t="s">
        <v>624</v>
      </c>
      <c r="D22" s="1"/>
      <c r="E22" s="1"/>
      <c r="F22" s="1"/>
      <c r="G22" s="1"/>
      <c r="H22" s="1"/>
      <c r="I22" s="9"/>
      <c r="J22" s="1"/>
      <c r="K22" s="97"/>
    </row>
    <row r="23" spans="2:20" x14ac:dyDescent="0.25">
      <c r="B23" s="96"/>
      <c r="C23" s="90" t="s">
        <v>567</v>
      </c>
      <c r="D23" s="81"/>
      <c r="E23" s="82"/>
      <c r="F23" s="80" t="s">
        <v>544</v>
      </c>
      <c r="G23" s="7"/>
      <c r="H23" s="7"/>
      <c r="I23" s="8"/>
      <c r="J23" s="7"/>
      <c r="K23" s="97"/>
    </row>
    <row r="24" spans="2:20" x14ac:dyDescent="0.25">
      <c r="B24" s="96"/>
      <c r="C24" s="83" t="s">
        <v>495</v>
      </c>
      <c r="D24" s="16"/>
      <c r="E24" s="17"/>
      <c r="F24" s="1"/>
      <c r="G24" s="7"/>
      <c r="H24" s="7"/>
      <c r="I24" s="8"/>
      <c r="J24" s="7"/>
      <c r="K24" s="97"/>
    </row>
    <row r="25" spans="2:20" ht="42" customHeight="1" x14ac:dyDescent="0.25">
      <c r="B25" s="96"/>
      <c r="C25" s="1"/>
      <c r="D25" s="7"/>
      <c r="E25" s="1"/>
      <c r="F25" s="1"/>
      <c r="G25" s="7"/>
      <c r="H25" s="7"/>
      <c r="I25" s="8"/>
      <c r="J25" s="7"/>
      <c r="K25" s="97"/>
    </row>
    <row r="26" spans="2:20" x14ac:dyDescent="0.25">
      <c r="B26" s="96"/>
      <c r="C26"/>
      <c r="D26"/>
      <c r="E26"/>
      <c r="F26"/>
      <c r="G26" s="149"/>
      <c r="H26" s="149"/>
      <c r="I26" s="150"/>
      <c r="J26" s="149"/>
      <c r="K26" s="97"/>
    </row>
    <row r="27" spans="2:20" ht="21" customHeight="1" x14ac:dyDescent="0.25">
      <c r="B27" s="96"/>
      <c r="C27" s="151" t="s">
        <v>625</v>
      </c>
      <c r="D27" s="152"/>
      <c r="E27"/>
      <c r="F27"/>
      <c r="G27" s="153"/>
      <c r="H27" s="153"/>
      <c r="I27" s="153"/>
      <c r="J27" s="153"/>
      <c r="K27" s="97"/>
    </row>
    <row r="28" spans="2:20" ht="30.6" customHeight="1" x14ac:dyDescent="0.25">
      <c r="B28" s="96"/>
      <c r="C28" s="202" t="s">
        <v>573</v>
      </c>
      <c r="D28" s="202"/>
      <c r="E28" s="202"/>
      <c r="F28" s="202"/>
      <c r="G28" s="153"/>
      <c r="H28" s="153"/>
      <c r="I28" s="153"/>
      <c r="J28" s="153"/>
      <c r="K28" s="97"/>
      <c r="L28" s="87" t="s">
        <v>6</v>
      </c>
      <c r="M28" s="87" t="s">
        <v>7</v>
      </c>
      <c r="O28" s="85" t="s">
        <v>552</v>
      </c>
      <c r="Q28" s="85" t="s">
        <v>552</v>
      </c>
      <c r="S28" s="163" t="s">
        <v>607</v>
      </c>
    </row>
    <row r="29" spans="2:20" ht="11.25" customHeight="1" x14ac:dyDescent="0.25">
      <c r="B29" s="155"/>
      <c r="C29" s="154"/>
      <c r="D29" s="154"/>
      <c r="E29" s="154"/>
      <c r="F29" s="154"/>
      <c r="G29" s="153"/>
      <c r="H29" s="153"/>
      <c r="I29" s="153"/>
      <c r="J29" s="153"/>
      <c r="K29" s="157"/>
      <c r="L29" s="156" t="s">
        <v>8</v>
      </c>
      <c r="M29" s="87" t="s">
        <v>9</v>
      </c>
      <c r="O29" s="85" t="s">
        <v>544</v>
      </c>
      <c r="Q29" s="85" t="s">
        <v>544</v>
      </c>
      <c r="S29" s="87" t="s">
        <v>633</v>
      </c>
    </row>
    <row r="30" spans="2:20" ht="11.25" customHeight="1" x14ac:dyDescent="0.25">
      <c r="F30" s="86"/>
      <c r="G30" s="86"/>
      <c r="H30" s="86"/>
      <c r="I30" s="86"/>
      <c r="J30" s="86"/>
      <c r="L30" s="87" t="s">
        <v>10</v>
      </c>
      <c r="M30" s="87" t="s">
        <v>11</v>
      </c>
      <c r="O30" s="85" t="s">
        <v>562</v>
      </c>
      <c r="Q30" s="85" t="s">
        <v>562</v>
      </c>
      <c r="S30" s="87" t="s">
        <v>634</v>
      </c>
    </row>
    <row r="31" spans="2:20" ht="11.25" customHeight="1" x14ac:dyDescent="0.25">
      <c r="F31" s="86"/>
      <c r="K31" s="89"/>
      <c r="L31" s="87" t="s">
        <v>12</v>
      </c>
      <c r="M31" s="87" t="s">
        <v>13</v>
      </c>
      <c r="O31" s="85" t="s">
        <v>559</v>
      </c>
      <c r="S31" s="87" t="s">
        <v>635</v>
      </c>
    </row>
    <row r="32" spans="2:20" x14ac:dyDescent="0.25">
      <c r="F32" s="86"/>
      <c r="K32" s="89"/>
      <c r="L32" s="87" t="s">
        <v>14</v>
      </c>
      <c r="M32" s="87" t="s">
        <v>15</v>
      </c>
      <c r="O32" s="85" t="s">
        <v>561</v>
      </c>
      <c r="S32" s="87" t="s">
        <v>636</v>
      </c>
    </row>
    <row r="33" spans="6:19" x14ac:dyDescent="0.25">
      <c r="F33" s="98" t="s">
        <v>727</v>
      </c>
      <c r="K33" s="98" t="s">
        <v>725</v>
      </c>
      <c r="L33" s="87" t="s">
        <v>16</v>
      </c>
      <c r="M33" s="87" t="s">
        <v>17</v>
      </c>
      <c r="O33" s="85" t="s">
        <v>560</v>
      </c>
      <c r="S33" s="87" t="s">
        <v>637</v>
      </c>
    </row>
    <row r="34" spans="6:19" x14ac:dyDescent="0.25">
      <c r="K34" s="98" t="s">
        <v>628</v>
      </c>
      <c r="L34" s="87" t="s">
        <v>18</v>
      </c>
      <c r="M34" s="87" t="s">
        <v>19</v>
      </c>
      <c r="S34" s="87" t="s">
        <v>638</v>
      </c>
    </row>
    <row r="35" spans="6:19" x14ac:dyDescent="0.25">
      <c r="K35" s="98" t="s">
        <v>571</v>
      </c>
      <c r="L35" s="87" t="s">
        <v>20</v>
      </c>
      <c r="M35" s="87" t="s">
        <v>21</v>
      </c>
      <c r="S35" s="87" t="s">
        <v>639</v>
      </c>
    </row>
    <row r="36" spans="6:19" x14ac:dyDescent="0.25">
      <c r="K36" s="98" t="s">
        <v>572</v>
      </c>
      <c r="L36" s="87" t="s">
        <v>22</v>
      </c>
      <c r="M36" s="87" t="s">
        <v>23</v>
      </c>
      <c r="S36" s="87" t="s">
        <v>640</v>
      </c>
    </row>
    <row r="37" spans="6:19" x14ac:dyDescent="0.25">
      <c r="L37" s="87" t="s">
        <v>24</v>
      </c>
      <c r="M37" s="87" t="s">
        <v>25</v>
      </c>
      <c r="S37" s="87" t="s">
        <v>641</v>
      </c>
    </row>
    <row r="38" spans="6:19" x14ac:dyDescent="0.25">
      <c r="L38" s="87" t="s">
        <v>26</v>
      </c>
      <c r="M38" s="87" t="s">
        <v>27</v>
      </c>
      <c r="S38" s="87" t="s">
        <v>642</v>
      </c>
    </row>
    <row r="39" spans="6:19" x14ac:dyDescent="0.25">
      <c r="L39" s="87" t="s">
        <v>28</v>
      </c>
      <c r="M39" s="87" t="s">
        <v>29</v>
      </c>
      <c r="S39" s="87" t="s">
        <v>643</v>
      </c>
    </row>
    <row r="40" spans="6:19" x14ac:dyDescent="0.25">
      <c r="L40" s="87" t="s">
        <v>30</v>
      </c>
      <c r="M40" s="87" t="s">
        <v>31</v>
      </c>
      <c r="S40" s="87" t="s">
        <v>644</v>
      </c>
    </row>
    <row r="41" spans="6:19" x14ac:dyDescent="0.25">
      <c r="L41" s="87" t="s">
        <v>32</v>
      </c>
      <c r="M41" s="87" t="s">
        <v>33</v>
      </c>
      <c r="S41" s="87" t="s">
        <v>645</v>
      </c>
    </row>
    <row r="42" spans="6:19" x14ac:dyDescent="0.25">
      <c r="L42" s="87" t="s">
        <v>34</v>
      </c>
      <c r="M42" s="87" t="s">
        <v>35</v>
      </c>
      <c r="S42" s="87" t="s">
        <v>646</v>
      </c>
    </row>
    <row r="43" spans="6:19" x14ac:dyDescent="0.25">
      <c r="L43" s="87" t="s">
        <v>36</v>
      </c>
      <c r="M43" s="87" t="s">
        <v>37</v>
      </c>
      <c r="S43" s="87" t="s">
        <v>647</v>
      </c>
    </row>
    <row r="44" spans="6:19" x14ac:dyDescent="0.25">
      <c r="L44" s="87" t="s">
        <v>38</v>
      </c>
      <c r="M44" s="87" t="s">
        <v>39</v>
      </c>
      <c r="S44" s="87" t="s">
        <v>648</v>
      </c>
    </row>
    <row r="45" spans="6:19" x14ac:dyDescent="0.25">
      <c r="L45" s="87" t="s">
        <v>40</v>
      </c>
      <c r="M45" s="87" t="s">
        <v>41</v>
      </c>
      <c r="S45" s="87" t="s">
        <v>649</v>
      </c>
    </row>
    <row r="46" spans="6:19" x14ac:dyDescent="0.25">
      <c r="L46" s="87" t="s">
        <v>42</v>
      </c>
      <c r="M46" s="87" t="s">
        <v>43</v>
      </c>
      <c r="S46" s="87" t="s">
        <v>650</v>
      </c>
    </row>
    <row r="47" spans="6:19" x14ac:dyDescent="0.25">
      <c r="L47" s="87" t="s">
        <v>44</v>
      </c>
      <c r="M47" s="87" t="s">
        <v>45</v>
      </c>
      <c r="S47" s="87" t="s">
        <v>651</v>
      </c>
    </row>
    <row r="48" spans="6:19" x14ac:dyDescent="0.25">
      <c r="L48" s="87" t="s">
        <v>46</v>
      </c>
      <c r="M48" s="87" t="s">
        <v>47</v>
      </c>
      <c r="S48" s="87" t="s">
        <v>652</v>
      </c>
    </row>
    <row r="49" spans="12:19" x14ac:dyDescent="0.25">
      <c r="L49" s="87" t="s">
        <v>48</v>
      </c>
      <c r="M49" s="87" t="s">
        <v>49</v>
      </c>
      <c r="S49" s="87" t="s">
        <v>653</v>
      </c>
    </row>
    <row r="50" spans="12:19" x14ac:dyDescent="0.25">
      <c r="L50" s="87" t="s">
        <v>50</v>
      </c>
      <c r="M50" s="87" t="s">
        <v>51</v>
      </c>
      <c r="S50" s="87" t="s">
        <v>654</v>
      </c>
    </row>
    <row r="51" spans="12:19" x14ac:dyDescent="0.25">
      <c r="L51" s="87" t="s">
        <v>52</v>
      </c>
      <c r="M51" s="87" t="s">
        <v>53</v>
      </c>
      <c r="S51" s="87" t="s">
        <v>655</v>
      </c>
    </row>
    <row r="52" spans="12:19" x14ac:dyDescent="0.25">
      <c r="L52" s="87" t="s">
        <v>54</v>
      </c>
      <c r="M52" s="87" t="s">
        <v>55</v>
      </c>
      <c r="S52" s="87" t="s">
        <v>656</v>
      </c>
    </row>
    <row r="53" spans="12:19" x14ac:dyDescent="0.25">
      <c r="L53" s="87" t="s">
        <v>56</v>
      </c>
      <c r="M53" s="87" t="s">
        <v>57</v>
      </c>
      <c r="S53" s="87" t="s">
        <v>657</v>
      </c>
    </row>
    <row r="54" spans="12:19" x14ac:dyDescent="0.25">
      <c r="L54" s="87" t="s">
        <v>58</v>
      </c>
      <c r="M54" s="87" t="s">
        <v>59</v>
      </c>
      <c r="S54" s="87" t="s">
        <v>658</v>
      </c>
    </row>
    <row r="55" spans="12:19" x14ac:dyDescent="0.25">
      <c r="L55" s="87" t="s">
        <v>60</v>
      </c>
      <c r="M55" s="87" t="s">
        <v>61</v>
      </c>
      <c r="S55" s="87" t="s">
        <v>659</v>
      </c>
    </row>
    <row r="56" spans="12:19" x14ac:dyDescent="0.25">
      <c r="L56" s="87" t="s">
        <v>62</v>
      </c>
      <c r="M56" s="87" t="s">
        <v>63</v>
      </c>
      <c r="S56" s="87" t="s">
        <v>660</v>
      </c>
    </row>
    <row r="57" spans="12:19" x14ac:dyDescent="0.25">
      <c r="L57" s="87" t="s">
        <v>64</v>
      </c>
      <c r="M57" s="87" t="s">
        <v>65</v>
      </c>
      <c r="S57" s="87" t="s">
        <v>661</v>
      </c>
    </row>
    <row r="58" spans="12:19" x14ac:dyDescent="0.25">
      <c r="L58" s="87" t="s">
        <v>66</v>
      </c>
      <c r="M58" s="87" t="s">
        <v>67</v>
      </c>
      <c r="S58" s="87" t="s">
        <v>662</v>
      </c>
    </row>
    <row r="59" spans="12:19" x14ac:dyDescent="0.25">
      <c r="L59" s="87" t="s">
        <v>68</v>
      </c>
      <c r="M59" s="87" t="s">
        <v>69</v>
      </c>
      <c r="S59" s="87" t="s">
        <v>663</v>
      </c>
    </row>
    <row r="60" spans="12:19" x14ac:dyDescent="0.25">
      <c r="L60" s="87" t="s">
        <v>70</v>
      </c>
      <c r="M60" s="87" t="s">
        <v>71</v>
      </c>
      <c r="S60" s="87" t="s">
        <v>664</v>
      </c>
    </row>
    <row r="61" spans="12:19" x14ac:dyDescent="0.25">
      <c r="L61" s="87" t="s">
        <v>72</v>
      </c>
      <c r="M61" s="87" t="s">
        <v>73</v>
      </c>
      <c r="S61" s="87" t="s">
        <v>665</v>
      </c>
    </row>
    <row r="62" spans="12:19" x14ac:dyDescent="0.25">
      <c r="L62" s="87" t="s">
        <v>74</v>
      </c>
      <c r="M62" s="87" t="s">
        <v>75</v>
      </c>
      <c r="S62" s="87" t="s">
        <v>666</v>
      </c>
    </row>
    <row r="63" spans="12:19" x14ac:dyDescent="0.25">
      <c r="L63" s="87" t="s">
        <v>76</v>
      </c>
      <c r="M63" s="87" t="s">
        <v>77</v>
      </c>
      <c r="S63" s="87" t="s">
        <v>667</v>
      </c>
    </row>
    <row r="64" spans="12:19" x14ac:dyDescent="0.25">
      <c r="L64" s="87" t="s">
        <v>78</v>
      </c>
      <c r="M64" s="87" t="s">
        <v>79</v>
      </c>
      <c r="S64" s="87" t="s">
        <v>668</v>
      </c>
    </row>
    <row r="65" spans="12:19" x14ac:dyDescent="0.25">
      <c r="L65" s="87" t="s">
        <v>80</v>
      </c>
      <c r="M65" s="87" t="s">
        <v>81</v>
      </c>
      <c r="S65" s="87" t="s">
        <v>669</v>
      </c>
    </row>
    <row r="66" spans="12:19" x14ac:dyDescent="0.25">
      <c r="L66" s="87" t="s">
        <v>82</v>
      </c>
      <c r="M66" s="87" t="s">
        <v>83</v>
      </c>
      <c r="S66" s="87" t="s">
        <v>670</v>
      </c>
    </row>
    <row r="67" spans="12:19" x14ac:dyDescent="0.25">
      <c r="L67" s="87" t="s">
        <v>84</v>
      </c>
      <c r="M67" s="87" t="s">
        <v>85</v>
      </c>
      <c r="S67" s="87" t="s">
        <v>671</v>
      </c>
    </row>
    <row r="68" spans="12:19" x14ac:dyDescent="0.25">
      <c r="L68" s="87" t="s">
        <v>86</v>
      </c>
      <c r="M68" s="87" t="s">
        <v>87</v>
      </c>
      <c r="S68" s="87" t="s">
        <v>672</v>
      </c>
    </row>
    <row r="69" spans="12:19" x14ac:dyDescent="0.25">
      <c r="L69" s="87" t="s">
        <v>88</v>
      </c>
      <c r="M69" s="87" t="s">
        <v>89</v>
      </c>
      <c r="S69" s="87" t="s">
        <v>673</v>
      </c>
    </row>
    <row r="70" spans="12:19" x14ac:dyDescent="0.25">
      <c r="L70" s="87" t="s">
        <v>90</v>
      </c>
      <c r="M70" s="87" t="s">
        <v>91</v>
      </c>
      <c r="S70" s="87" t="s">
        <v>674</v>
      </c>
    </row>
    <row r="71" spans="12:19" x14ac:dyDescent="0.25">
      <c r="L71" s="87" t="s">
        <v>92</v>
      </c>
      <c r="M71" s="87" t="s">
        <v>93</v>
      </c>
      <c r="S71" s="87" t="s">
        <v>675</v>
      </c>
    </row>
    <row r="72" spans="12:19" x14ac:dyDescent="0.25">
      <c r="L72" s="87" t="s">
        <v>94</v>
      </c>
      <c r="M72" s="87" t="s">
        <v>95</v>
      </c>
      <c r="S72" s="87" t="s">
        <v>676</v>
      </c>
    </row>
    <row r="73" spans="12:19" x14ac:dyDescent="0.25">
      <c r="L73" s="87" t="s">
        <v>96</v>
      </c>
      <c r="M73" s="87" t="s">
        <v>97</v>
      </c>
      <c r="S73" s="87" t="s">
        <v>677</v>
      </c>
    </row>
    <row r="74" spans="12:19" x14ac:dyDescent="0.25">
      <c r="L74" s="87" t="s">
        <v>98</v>
      </c>
      <c r="M74" s="87" t="s">
        <v>99</v>
      </c>
      <c r="S74" s="87" t="s">
        <v>678</v>
      </c>
    </row>
    <row r="75" spans="12:19" x14ac:dyDescent="0.25">
      <c r="L75" s="87" t="s">
        <v>100</v>
      </c>
      <c r="M75" s="87" t="s">
        <v>101</v>
      </c>
      <c r="S75" s="87" t="s">
        <v>679</v>
      </c>
    </row>
    <row r="76" spans="12:19" x14ac:dyDescent="0.25">
      <c r="L76" s="87" t="s">
        <v>102</v>
      </c>
      <c r="M76" s="87" t="s">
        <v>103</v>
      </c>
      <c r="S76" s="87" t="s">
        <v>680</v>
      </c>
    </row>
    <row r="77" spans="12:19" x14ac:dyDescent="0.25">
      <c r="L77" s="87" t="s">
        <v>104</v>
      </c>
      <c r="M77" s="87" t="s">
        <v>105</v>
      </c>
      <c r="S77" s="87" t="s">
        <v>681</v>
      </c>
    </row>
    <row r="78" spans="12:19" x14ac:dyDescent="0.25">
      <c r="L78" s="87" t="s">
        <v>106</v>
      </c>
      <c r="M78" s="87" t="s">
        <v>107</v>
      </c>
      <c r="S78" s="87" t="s">
        <v>682</v>
      </c>
    </row>
    <row r="79" spans="12:19" x14ac:dyDescent="0.25">
      <c r="L79" s="87" t="s">
        <v>108</v>
      </c>
      <c r="M79" s="87" t="s">
        <v>109</v>
      </c>
      <c r="S79" s="87" t="s">
        <v>683</v>
      </c>
    </row>
    <row r="80" spans="12:19" x14ac:dyDescent="0.25">
      <c r="L80" s="87" t="s">
        <v>110</v>
      </c>
      <c r="M80" s="87" t="s">
        <v>111</v>
      </c>
      <c r="S80" s="87" t="s">
        <v>684</v>
      </c>
    </row>
    <row r="81" spans="12:19" x14ac:dyDescent="0.25">
      <c r="L81" s="87" t="s">
        <v>112</v>
      </c>
      <c r="M81" s="87" t="s">
        <v>113</v>
      </c>
      <c r="S81" s="87" t="s">
        <v>685</v>
      </c>
    </row>
    <row r="82" spans="12:19" x14ac:dyDescent="0.25">
      <c r="L82" s="87" t="s">
        <v>114</v>
      </c>
      <c r="M82" s="87" t="s">
        <v>115</v>
      </c>
      <c r="S82" s="87" t="s">
        <v>686</v>
      </c>
    </row>
    <row r="83" spans="12:19" x14ac:dyDescent="0.25">
      <c r="L83" s="87" t="s">
        <v>116</v>
      </c>
      <c r="M83" s="87" t="s">
        <v>117</v>
      </c>
      <c r="S83" s="87" t="s">
        <v>687</v>
      </c>
    </row>
    <row r="84" spans="12:19" x14ac:dyDescent="0.25">
      <c r="L84" s="87" t="s">
        <v>118</v>
      </c>
      <c r="M84" s="87" t="s">
        <v>119</v>
      </c>
      <c r="S84" s="87" t="s">
        <v>688</v>
      </c>
    </row>
    <row r="85" spans="12:19" x14ac:dyDescent="0.25">
      <c r="L85" s="87" t="s">
        <v>120</v>
      </c>
      <c r="M85" s="87" t="s">
        <v>121</v>
      </c>
    </row>
    <row r="86" spans="12:19" x14ac:dyDescent="0.25">
      <c r="L86" s="87" t="s">
        <v>122</v>
      </c>
      <c r="M86" s="87" t="s">
        <v>123</v>
      </c>
    </row>
    <row r="87" spans="12:19" x14ac:dyDescent="0.25">
      <c r="L87" s="87" t="s">
        <v>124</v>
      </c>
      <c r="M87" s="87" t="s">
        <v>125</v>
      </c>
    </row>
    <row r="88" spans="12:19" x14ac:dyDescent="0.25">
      <c r="L88" s="87" t="s">
        <v>126</v>
      </c>
      <c r="M88" s="87" t="s">
        <v>127</v>
      </c>
    </row>
    <row r="89" spans="12:19" x14ac:dyDescent="0.25">
      <c r="L89" s="87" t="s">
        <v>128</v>
      </c>
      <c r="M89" s="87" t="s">
        <v>129</v>
      </c>
    </row>
    <row r="90" spans="12:19" x14ac:dyDescent="0.25">
      <c r="L90" s="87" t="s">
        <v>130</v>
      </c>
      <c r="M90" s="87" t="s">
        <v>131</v>
      </c>
    </row>
    <row r="91" spans="12:19" x14ac:dyDescent="0.25">
      <c r="L91" s="87" t="s">
        <v>132</v>
      </c>
      <c r="M91" s="87" t="s">
        <v>133</v>
      </c>
    </row>
    <row r="92" spans="12:19" x14ac:dyDescent="0.25">
      <c r="L92" s="87" t="s">
        <v>134</v>
      </c>
      <c r="M92" s="87" t="s">
        <v>135</v>
      </c>
    </row>
    <row r="93" spans="12:19" x14ac:dyDescent="0.25">
      <c r="L93" s="87" t="s">
        <v>136</v>
      </c>
      <c r="M93" s="87" t="s">
        <v>137</v>
      </c>
    </row>
    <row r="94" spans="12:19" x14ac:dyDescent="0.25">
      <c r="L94" s="87" t="s">
        <v>138</v>
      </c>
      <c r="M94" s="87" t="s">
        <v>139</v>
      </c>
    </row>
    <row r="95" spans="12:19" x14ac:dyDescent="0.25">
      <c r="L95" s="87" t="s">
        <v>140</v>
      </c>
      <c r="M95" s="87" t="s">
        <v>141</v>
      </c>
    </row>
    <row r="96" spans="12:19" x14ac:dyDescent="0.25">
      <c r="L96" s="87" t="s">
        <v>142</v>
      </c>
      <c r="M96" s="87" t="s">
        <v>143</v>
      </c>
    </row>
    <row r="97" spans="12:13" x14ac:dyDescent="0.25">
      <c r="L97" s="87" t="s">
        <v>144</v>
      </c>
      <c r="M97" s="87" t="s">
        <v>145</v>
      </c>
    </row>
    <row r="98" spans="12:13" x14ac:dyDescent="0.25">
      <c r="L98" s="87" t="s">
        <v>146</v>
      </c>
      <c r="M98" s="87" t="s">
        <v>147</v>
      </c>
    </row>
    <row r="99" spans="12:13" x14ac:dyDescent="0.25">
      <c r="L99" s="87" t="s">
        <v>148</v>
      </c>
      <c r="M99" s="87" t="s">
        <v>149</v>
      </c>
    </row>
    <row r="100" spans="12:13" x14ac:dyDescent="0.25">
      <c r="L100" s="87" t="s">
        <v>150</v>
      </c>
      <c r="M100" s="87" t="s">
        <v>151</v>
      </c>
    </row>
    <row r="101" spans="12:13" x14ac:dyDescent="0.25">
      <c r="L101" s="87" t="s">
        <v>152</v>
      </c>
      <c r="M101" s="87" t="s">
        <v>153</v>
      </c>
    </row>
    <row r="102" spans="12:13" x14ac:dyDescent="0.25">
      <c r="L102" s="87" t="s">
        <v>154</v>
      </c>
      <c r="M102" s="87" t="s">
        <v>155</v>
      </c>
    </row>
    <row r="103" spans="12:13" x14ac:dyDescent="0.25">
      <c r="L103" s="87" t="s">
        <v>156</v>
      </c>
      <c r="M103" s="87" t="s">
        <v>157</v>
      </c>
    </row>
    <row r="104" spans="12:13" x14ac:dyDescent="0.25">
      <c r="L104" s="87" t="s">
        <v>158</v>
      </c>
      <c r="M104" s="87" t="s">
        <v>159</v>
      </c>
    </row>
    <row r="105" spans="12:13" x14ac:dyDescent="0.25">
      <c r="L105" s="87" t="s">
        <v>160</v>
      </c>
      <c r="M105" s="87" t="s">
        <v>161</v>
      </c>
    </row>
    <row r="106" spans="12:13" x14ac:dyDescent="0.25">
      <c r="L106" s="87" t="s">
        <v>162</v>
      </c>
      <c r="M106" s="87" t="s">
        <v>163</v>
      </c>
    </row>
    <row r="107" spans="12:13" x14ac:dyDescent="0.25">
      <c r="L107" s="87" t="s">
        <v>164</v>
      </c>
      <c r="M107" s="87" t="s">
        <v>165</v>
      </c>
    </row>
    <row r="108" spans="12:13" x14ac:dyDescent="0.25">
      <c r="L108" s="87" t="s">
        <v>166</v>
      </c>
      <c r="M108" s="87" t="s">
        <v>167</v>
      </c>
    </row>
    <row r="109" spans="12:13" x14ac:dyDescent="0.25">
      <c r="L109" s="87" t="s">
        <v>168</v>
      </c>
      <c r="M109" s="87" t="s">
        <v>169</v>
      </c>
    </row>
    <row r="110" spans="12:13" x14ac:dyDescent="0.25">
      <c r="L110" s="87" t="s">
        <v>170</v>
      </c>
      <c r="M110" s="87" t="s">
        <v>171</v>
      </c>
    </row>
    <row r="111" spans="12:13" x14ac:dyDescent="0.25">
      <c r="L111" s="87" t="s">
        <v>172</v>
      </c>
      <c r="M111" s="87" t="s">
        <v>173</v>
      </c>
    </row>
    <row r="112" spans="12:13" x14ac:dyDescent="0.25">
      <c r="L112" s="87" t="s">
        <v>174</v>
      </c>
      <c r="M112" s="87" t="s">
        <v>175</v>
      </c>
    </row>
    <row r="113" spans="12:13" x14ac:dyDescent="0.25">
      <c r="L113" s="87" t="s">
        <v>176</v>
      </c>
      <c r="M113" s="87" t="s">
        <v>177</v>
      </c>
    </row>
    <row r="114" spans="12:13" x14ac:dyDescent="0.25">
      <c r="L114" s="87" t="s">
        <v>178</v>
      </c>
      <c r="M114" s="87" t="s">
        <v>179</v>
      </c>
    </row>
    <row r="115" spans="12:13" x14ac:dyDescent="0.25">
      <c r="L115" s="87" t="s">
        <v>180</v>
      </c>
      <c r="M115" s="87" t="s">
        <v>181</v>
      </c>
    </row>
    <row r="116" spans="12:13" x14ac:dyDescent="0.25">
      <c r="L116" s="87" t="s">
        <v>182</v>
      </c>
      <c r="M116" s="87" t="s">
        <v>183</v>
      </c>
    </row>
    <row r="117" spans="12:13" x14ac:dyDescent="0.25">
      <c r="L117" s="87" t="s">
        <v>184</v>
      </c>
      <c r="M117" s="87" t="s">
        <v>185</v>
      </c>
    </row>
    <row r="118" spans="12:13" x14ac:dyDescent="0.25">
      <c r="L118" s="87" t="s">
        <v>186</v>
      </c>
      <c r="M118" s="87" t="s">
        <v>187</v>
      </c>
    </row>
    <row r="119" spans="12:13" x14ac:dyDescent="0.25">
      <c r="L119" s="87" t="s">
        <v>188</v>
      </c>
      <c r="M119" s="87" t="s">
        <v>189</v>
      </c>
    </row>
    <row r="120" spans="12:13" x14ac:dyDescent="0.25">
      <c r="L120" s="87" t="s">
        <v>190</v>
      </c>
      <c r="M120" s="87" t="s">
        <v>191</v>
      </c>
    </row>
    <row r="121" spans="12:13" x14ac:dyDescent="0.25">
      <c r="L121" s="87" t="s">
        <v>192</v>
      </c>
      <c r="M121" s="87" t="s">
        <v>193</v>
      </c>
    </row>
    <row r="122" spans="12:13" x14ac:dyDescent="0.25">
      <c r="L122" s="87" t="s">
        <v>194</v>
      </c>
      <c r="M122" s="87" t="s">
        <v>195</v>
      </c>
    </row>
    <row r="123" spans="12:13" x14ac:dyDescent="0.25">
      <c r="L123" s="87" t="s">
        <v>196</v>
      </c>
      <c r="M123" s="87" t="s">
        <v>197</v>
      </c>
    </row>
    <row r="124" spans="12:13" x14ac:dyDescent="0.25">
      <c r="L124" s="87" t="s">
        <v>198</v>
      </c>
      <c r="M124" s="87" t="s">
        <v>199</v>
      </c>
    </row>
    <row r="125" spans="12:13" x14ac:dyDescent="0.25">
      <c r="L125" s="87" t="s">
        <v>200</v>
      </c>
      <c r="M125" s="87" t="s">
        <v>201</v>
      </c>
    </row>
    <row r="126" spans="12:13" x14ac:dyDescent="0.25">
      <c r="L126" s="87" t="s">
        <v>202</v>
      </c>
      <c r="M126" s="87" t="s">
        <v>203</v>
      </c>
    </row>
    <row r="127" spans="12:13" x14ac:dyDescent="0.25">
      <c r="L127" s="87" t="s">
        <v>204</v>
      </c>
      <c r="M127" s="87" t="s">
        <v>205</v>
      </c>
    </row>
    <row r="128" spans="12:13" x14ac:dyDescent="0.25">
      <c r="L128" s="87" t="s">
        <v>206</v>
      </c>
      <c r="M128" s="87" t="s">
        <v>207</v>
      </c>
    </row>
    <row r="129" spans="12:13" x14ac:dyDescent="0.25">
      <c r="L129" s="87" t="s">
        <v>208</v>
      </c>
      <c r="M129" s="87" t="s">
        <v>209</v>
      </c>
    </row>
    <row r="130" spans="12:13" x14ac:dyDescent="0.25">
      <c r="L130" s="87" t="s">
        <v>210</v>
      </c>
      <c r="M130" s="87" t="s">
        <v>211</v>
      </c>
    </row>
    <row r="131" spans="12:13" x14ac:dyDescent="0.25">
      <c r="L131" s="87" t="s">
        <v>212</v>
      </c>
      <c r="M131" s="87" t="s">
        <v>213</v>
      </c>
    </row>
    <row r="132" spans="12:13" x14ac:dyDescent="0.25">
      <c r="L132" s="87" t="s">
        <v>214</v>
      </c>
      <c r="M132" s="87" t="s">
        <v>215</v>
      </c>
    </row>
    <row r="133" spans="12:13" x14ac:dyDescent="0.25">
      <c r="L133" s="87" t="s">
        <v>216</v>
      </c>
      <c r="M133" s="87" t="s">
        <v>217</v>
      </c>
    </row>
    <row r="134" spans="12:13" x14ac:dyDescent="0.25">
      <c r="L134" s="87" t="s">
        <v>218</v>
      </c>
      <c r="M134" s="87" t="s">
        <v>219</v>
      </c>
    </row>
    <row r="135" spans="12:13" x14ac:dyDescent="0.25">
      <c r="L135" s="87" t="s">
        <v>220</v>
      </c>
      <c r="M135" s="87" t="s">
        <v>221</v>
      </c>
    </row>
    <row r="136" spans="12:13" x14ac:dyDescent="0.25">
      <c r="L136" s="87" t="s">
        <v>222</v>
      </c>
      <c r="M136" s="87" t="s">
        <v>223</v>
      </c>
    </row>
    <row r="137" spans="12:13" x14ac:dyDescent="0.25">
      <c r="L137" s="87" t="s">
        <v>224</v>
      </c>
      <c r="M137" s="87" t="s">
        <v>225</v>
      </c>
    </row>
    <row r="138" spans="12:13" x14ac:dyDescent="0.25">
      <c r="L138" s="87" t="s">
        <v>226</v>
      </c>
      <c r="M138" s="87" t="s">
        <v>227</v>
      </c>
    </row>
    <row r="139" spans="12:13" x14ac:dyDescent="0.25">
      <c r="L139" s="87" t="s">
        <v>228</v>
      </c>
      <c r="M139" s="87" t="s">
        <v>229</v>
      </c>
    </row>
    <row r="140" spans="12:13" x14ac:dyDescent="0.25">
      <c r="L140" s="87" t="s">
        <v>230</v>
      </c>
      <c r="M140" s="87" t="s">
        <v>231</v>
      </c>
    </row>
    <row r="141" spans="12:13" x14ac:dyDescent="0.25">
      <c r="L141" s="87" t="s">
        <v>232</v>
      </c>
      <c r="M141" s="87" t="s">
        <v>233</v>
      </c>
    </row>
    <row r="142" spans="12:13" x14ac:dyDescent="0.25">
      <c r="L142" s="87" t="s">
        <v>234</v>
      </c>
      <c r="M142" s="87" t="s">
        <v>235</v>
      </c>
    </row>
    <row r="143" spans="12:13" x14ac:dyDescent="0.25">
      <c r="L143" s="87" t="s">
        <v>236</v>
      </c>
      <c r="M143" s="87" t="s">
        <v>237</v>
      </c>
    </row>
    <row r="144" spans="12:13" x14ac:dyDescent="0.25">
      <c r="L144" s="87" t="s">
        <v>238</v>
      </c>
      <c r="M144" s="87" t="s">
        <v>239</v>
      </c>
    </row>
    <row r="145" spans="12:13" x14ac:dyDescent="0.25">
      <c r="L145" s="87" t="s">
        <v>240</v>
      </c>
      <c r="M145" s="87" t="s">
        <v>241</v>
      </c>
    </row>
    <row r="146" spans="12:13" x14ac:dyDescent="0.25">
      <c r="L146" s="87" t="s">
        <v>242</v>
      </c>
      <c r="M146" s="87" t="s">
        <v>243</v>
      </c>
    </row>
    <row r="147" spans="12:13" x14ac:dyDescent="0.25">
      <c r="L147" s="87" t="s">
        <v>244</v>
      </c>
      <c r="M147" s="87" t="s">
        <v>245</v>
      </c>
    </row>
    <row r="148" spans="12:13" x14ac:dyDescent="0.25">
      <c r="L148" s="87" t="s">
        <v>246</v>
      </c>
      <c r="M148" s="87" t="s">
        <v>247</v>
      </c>
    </row>
    <row r="149" spans="12:13" x14ac:dyDescent="0.25">
      <c r="L149" s="87" t="s">
        <v>248</v>
      </c>
      <c r="M149" s="87" t="s">
        <v>249</v>
      </c>
    </row>
    <row r="150" spans="12:13" x14ac:dyDescent="0.25">
      <c r="L150" s="87" t="s">
        <v>250</v>
      </c>
      <c r="M150" s="87" t="s">
        <v>251</v>
      </c>
    </row>
    <row r="151" spans="12:13" x14ac:dyDescent="0.25">
      <c r="L151" s="87" t="s">
        <v>252</v>
      </c>
      <c r="M151" s="87" t="s">
        <v>253</v>
      </c>
    </row>
    <row r="152" spans="12:13" x14ac:dyDescent="0.25">
      <c r="L152" s="87" t="s">
        <v>254</v>
      </c>
      <c r="M152" s="87" t="s">
        <v>255</v>
      </c>
    </row>
    <row r="153" spans="12:13" x14ac:dyDescent="0.25">
      <c r="L153" s="87" t="s">
        <v>256</v>
      </c>
      <c r="M153" s="87" t="s">
        <v>257</v>
      </c>
    </row>
    <row r="154" spans="12:13" x14ac:dyDescent="0.25">
      <c r="L154" s="87" t="s">
        <v>258</v>
      </c>
      <c r="M154" s="87" t="s">
        <v>259</v>
      </c>
    </row>
    <row r="155" spans="12:13" x14ac:dyDescent="0.25">
      <c r="L155" s="87" t="s">
        <v>260</v>
      </c>
      <c r="M155" s="87" t="s">
        <v>261</v>
      </c>
    </row>
    <row r="156" spans="12:13" x14ac:dyDescent="0.25">
      <c r="L156" s="87" t="s">
        <v>262</v>
      </c>
      <c r="M156" s="87" t="s">
        <v>263</v>
      </c>
    </row>
    <row r="157" spans="12:13" x14ac:dyDescent="0.25">
      <c r="L157" s="87" t="s">
        <v>264</v>
      </c>
      <c r="M157" s="87" t="s">
        <v>265</v>
      </c>
    </row>
    <row r="158" spans="12:13" x14ac:dyDescent="0.25">
      <c r="L158" s="87" t="s">
        <v>266</v>
      </c>
      <c r="M158" s="87" t="s">
        <v>267</v>
      </c>
    </row>
    <row r="159" spans="12:13" x14ac:dyDescent="0.25">
      <c r="L159" s="87" t="s">
        <v>268</v>
      </c>
      <c r="M159" s="87" t="s">
        <v>269</v>
      </c>
    </row>
    <row r="160" spans="12:13" x14ac:dyDescent="0.25">
      <c r="L160" s="87" t="s">
        <v>270</v>
      </c>
      <c r="M160" s="87" t="s">
        <v>271</v>
      </c>
    </row>
    <row r="161" spans="12:13" x14ac:dyDescent="0.25">
      <c r="L161" s="87" t="s">
        <v>272</v>
      </c>
      <c r="M161" s="87" t="s">
        <v>273</v>
      </c>
    </row>
    <row r="162" spans="12:13" x14ac:dyDescent="0.25">
      <c r="L162" s="87" t="s">
        <v>274</v>
      </c>
      <c r="M162" s="87" t="s">
        <v>275</v>
      </c>
    </row>
    <row r="163" spans="12:13" x14ac:dyDescent="0.25">
      <c r="L163" s="87" t="s">
        <v>276</v>
      </c>
      <c r="M163" s="87" t="s">
        <v>277</v>
      </c>
    </row>
    <row r="164" spans="12:13" x14ac:dyDescent="0.25">
      <c r="L164" s="87" t="s">
        <v>278</v>
      </c>
      <c r="M164" s="87" t="s">
        <v>279</v>
      </c>
    </row>
    <row r="165" spans="12:13" x14ac:dyDescent="0.25">
      <c r="L165" s="87" t="s">
        <v>280</v>
      </c>
      <c r="M165" s="87" t="s">
        <v>281</v>
      </c>
    </row>
    <row r="166" spans="12:13" x14ac:dyDescent="0.25">
      <c r="L166" s="87" t="s">
        <v>282</v>
      </c>
      <c r="M166" s="87" t="s">
        <v>283</v>
      </c>
    </row>
    <row r="167" spans="12:13" x14ac:dyDescent="0.25">
      <c r="L167" s="87" t="s">
        <v>284</v>
      </c>
      <c r="M167" s="87" t="s">
        <v>285</v>
      </c>
    </row>
    <row r="168" spans="12:13" x14ac:dyDescent="0.25">
      <c r="L168" s="87" t="s">
        <v>286</v>
      </c>
      <c r="M168" s="87" t="s">
        <v>287</v>
      </c>
    </row>
    <row r="169" spans="12:13" x14ac:dyDescent="0.25">
      <c r="L169" s="87" t="s">
        <v>288</v>
      </c>
      <c r="M169" s="87" t="s">
        <v>289</v>
      </c>
    </row>
    <row r="170" spans="12:13" x14ac:dyDescent="0.25">
      <c r="L170" s="87" t="s">
        <v>290</v>
      </c>
      <c r="M170" s="87" t="s">
        <v>291</v>
      </c>
    </row>
    <row r="171" spans="12:13" x14ac:dyDescent="0.25">
      <c r="L171" s="87" t="s">
        <v>292</v>
      </c>
      <c r="M171" s="87" t="s">
        <v>293</v>
      </c>
    </row>
    <row r="172" spans="12:13" x14ac:dyDescent="0.25">
      <c r="L172" s="87" t="s">
        <v>294</v>
      </c>
      <c r="M172" s="87" t="s">
        <v>295</v>
      </c>
    </row>
    <row r="173" spans="12:13" x14ac:dyDescent="0.25">
      <c r="L173" s="87" t="s">
        <v>296</v>
      </c>
      <c r="M173" s="87" t="s">
        <v>297</v>
      </c>
    </row>
    <row r="174" spans="12:13" x14ac:dyDescent="0.25">
      <c r="L174" s="87" t="s">
        <v>298</v>
      </c>
      <c r="M174" s="87" t="s">
        <v>299</v>
      </c>
    </row>
    <row r="175" spans="12:13" x14ac:dyDescent="0.25">
      <c r="L175" s="87" t="s">
        <v>300</v>
      </c>
      <c r="M175" s="87" t="s">
        <v>301</v>
      </c>
    </row>
    <row r="176" spans="12:13" x14ac:dyDescent="0.25">
      <c r="L176" s="87" t="s">
        <v>302</v>
      </c>
      <c r="M176" s="87" t="s">
        <v>303</v>
      </c>
    </row>
    <row r="177" spans="12:13" x14ac:dyDescent="0.25">
      <c r="L177" s="87" t="s">
        <v>304</v>
      </c>
      <c r="M177" s="87" t="s">
        <v>305</v>
      </c>
    </row>
    <row r="178" spans="12:13" x14ac:dyDescent="0.25">
      <c r="L178" s="87" t="s">
        <v>306</v>
      </c>
      <c r="M178" s="87" t="s">
        <v>307</v>
      </c>
    </row>
    <row r="179" spans="12:13" x14ac:dyDescent="0.25">
      <c r="L179" s="87" t="s">
        <v>308</v>
      </c>
      <c r="M179" s="87" t="s">
        <v>309</v>
      </c>
    </row>
    <row r="180" spans="12:13" x14ac:dyDescent="0.25">
      <c r="L180" s="87" t="s">
        <v>310</v>
      </c>
      <c r="M180" s="87" t="s">
        <v>311</v>
      </c>
    </row>
    <row r="181" spans="12:13" x14ac:dyDescent="0.25">
      <c r="L181" s="87" t="s">
        <v>312</v>
      </c>
      <c r="M181" s="87" t="s">
        <v>313</v>
      </c>
    </row>
    <row r="182" spans="12:13" x14ac:dyDescent="0.25">
      <c r="L182" s="87" t="s">
        <v>314</v>
      </c>
      <c r="M182" s="87" t="s">
        <v>315</v>
      </c>
    </row>
    <row r="183" spans="12:13" x14ac:dyDescent="0.25">
      <c r="L183" s="87" t="s">
        <v>316</v>
      </c>
      <c r="M183" s="87" t="s">
        <v>317</v>
      </c>
    </row>
    <row r="184" spans="12:13" x14ac:dyDescent="0.25">
      <c r="L184" s="87" t="s">
        <v>318</v>
      </c>
      <c r="M184" s="87" t="s">
        <v>319</v>
      </c>
    </row>
    <row r="185" spans="12:13" x14ac:dyDescent="0.25">
      <c r="L185" s="87" t="s">
        <v>320</v>
      </c>
      <c r="M185" s="87" t="s">
        <v>321</v>
      </c>
    </row>
    <row r="186" spans="12:13" x14ac:dyDescent="0.25">
      <c r="L186" s="87" t="s">
        <v>322</v>
      </c>
      <c r="M186" s="87" t="s">
        <v>323</v>
      </c>
    </row>
    <row r="187" spans="12:13" x14ac:dyDescent="0.25">
      <c r="L187" s="87" t="s">
        <v>324</v>
      </c>
      <c r="M187" s="87" t="s">
        <v>325</v>
      </c>
    </row>
    <row r="188" spans="12:13" x14ac:dyDescent="0.25">
      <c r="L188" s="87" t="s">
        <v>326</v>
      </c>
      <c r="M188" s="87" t="s">
        <v>327</v>
      </c>
    </row>
    <row r="189" spans="12:13" x14ac:dyDescent="0.25">
      <c r="L189" s="87" t="s">
        <v>328</v>
      </c>
      <c r="M189" s="87" t="s">
        <v>329</v>
      </c>
    </row>
    <row r="190" spans="12:13" x14ac:dyDescent="0.25">
      <c r="L190" s="87" t="s">
        <v>330</v>
      </c>
      <c r="M190" s="87" t="s">
        <v>331</v>
      </c>
    </row>
    <row r="191" spans="12:13" x14ac:dyDescent="0.25">
      <c r="L191" s="87" t="s">
        <v>332</v>
      </c>
      <c r="M191" s="87" t="s">
        <v>333</v>
      </c>
    </row>
    <row r="192" spans="12:13" x14ac:dyDescent="0.25">
      <c r="L192" s="87" t="s">
        <v>334</v>
      </c>
      <c r="M192" s="87" t="s">
        <v>335</v>
      </c>
    </row>
    <row r="193" spans="12:13" x14ac:dyDescent="0.25">
      <c r="L193" s="87" t="s">
        <v>336</v>
      </c>
      <c r="M193" s="87" t="s">
        <v>337</v>
      </c>
    </row>
    <row r="194" spans="12:13" x14ac:dyDescent="0.25">
      <c r="L194" s="87" t="s">
        <v>338</v>
      </c>
      <c r="M194" s="87" t="s">
        <v>339</v>
      </c>
    </row>
    <row r="195" spans="12:13" x14ac:dyDescent="0.25">
      <c r="L195" s="87" t="s">
        <v>340</v>
      </c>
      <c r="M195" s="87" t="s">
        <v>341</v>
      </c>
    </row>
    <row r="196" spans="12:13" x14ac:dyDescent="0.25">
      <c r="L196" s="87" t="s">
        <v>342</v>
      </c>
      <c r="M196" s="87" t="s">
        <v>343</v>
      </c>
    </row>
    <row r="197" spans="12:13" x14ac:dyDescent="0.25">
      <c r="L197" s="87" t="s">
        <v>344</v>
      </c>
      <c r="M197" s="87" t="s">
        <v>345</v>
      </c>
    </row>
    <row r="198" spans="12:13" x14ac:dyDescent="0.25">
      <c r="L198" s="87" t="s">
        <v>346</v>
      </c>
      <c r="M198" s="87" t="s">
        <v>347</v>
      </c>
    </row>
    <row r="199" spans="12:13" x14ac:dyDescent="0.25">
      <c r="L199" s="87" t="s">
        <v>348</v>
      </c>
      <c r="M199" s="87" t="s">
        <v>349</v>
      </c>
    </row>
    <row r="200" spans="12:13" x14ac:dyDescent="0.25">
      <c r="L200" s="87" t="s">
        <v>350</v>
      </c>
      <c r="M200" s="87" t="s">
        <v>351</v>
      </c>
    </row>
    <row r="201" spans="12:13" x14ac:dyDescent="0.25">
      <c r="L201" s="87" t="s">
        <v>352</v>
      </c>
      <c r="M201" s="87" t="s">
        <v>353</v>
      </c>
    </row>
    <row r="202" spans="12:13" x14ac:dyDescent="0.25">
      <c r="L202" s="87" t="s">
        <v>354</v>
      </c>
      <c r="M202" s="87" t="s">
        <v>355</v>
      </c>
    </row>
    <row r="203" spans="12:13" x14ac:dyDescent="0.25">
      <c r="L203" s="87" t="s">
        <v>356</v>
      </c>
      <c r="M203" s="87" t="s">
        <v>357</v>
      </c>
    </row>
    <row r="204" spans="12:13" x14ac:dyDescent="0.25">
      <c r="L204" s="87" t="s">
        <v>358</v>
      </c>
      <c r="M204" s="87" t="s">
        <v>359</v>
      </c>
    </row>
    <row r="205" spans="12:13" x14ac:dyDescent="0.25">
      <c r="L205" s="87" t="s">
        <v>360</v>
      </c>
      <c r="M205" s="87" t="s">
        <v>361</v>
      </c>
    </row>
    <row r="206" spans="12:13" x14ac:dyDescent="0.25">
      <c r="L206" s="87" t="s">
        <v>362</v>
      </c>
      <c r="M206" s="87" t="s">
        <v>363</v>
      </c>
    </row>
    <row r="207" spans="12:13" x14ac:dyDescent="0.25">
      <c r="L207" s="87" t="s">
        <v>364</v>
      </c>
      <c r="M207" s="87" t="s">
        <v>365</v>
      </c>
    </row>
    <row r="208" spans="12:13" x14ac:dyDescent="0.25">
      <c r="L208" s="87" t="s">
        <v>366</v>
      </c>
      <c r="M208" s="87" t="s">
        <v>367</v>
      </c>
    </row>
    <row r="209" spans="12:13" x14ac:dyDescent="0.25">
      <c r="L209" s="87" t="s">
        <v>368</v>
      </c>
      <c r="M209" s="87" t="s">
        <v>369</v>
      </c>
    </row>
    <row r="210" spans="12:13" x14ac:dyDescent="0.25">
      <c r="L210" s="87" t="s">
        <v>370</v>
      </c>
      <c r="M210" s="87" t="s">
        <v>371</v>
      </c>
    </row>
    <row r="211" spans="12:13" x14ac:dyDescent="0.25">
      <c r="L211" s="87" t="s">
        <v>372</v>
      </c>
      <c r="M211" s="87" t="s">
        <v>373</v>
      </c>
    </row>
    <row r="212" spans="12:13" x14ac:dyDescent="0.25">
      <c r="L212" s="87" t="s">
        <v>374</v>
      </c>
      <c r="M212" s="87" t="s">
        <v>375</v>
      </c>
    </row>
    <row r="213" spans="12:13" x14ac:dyDescent="0.25">
      <c r="L213" s="87" t="s">
        <v>376</v>
      </c>
      <c r="M213" s="87" t="s">
        <v>377</v>
      </c>
    </row>
    <row r="214" spans="12:13" x14ac:dyDescent="0.25">
      <c r="L214" s="87" t="s">
        <v>378</v>
      </c>
      <c r="M214" s="87" t="s">
        <v>379</v>
      </c>
    </row>
    <row r="215" spans="12:13" x14ac:dyDescent="0.25">
      <c r="L215" s="87" t="s">
        <v>380</v>
      </c>
      <c r="M215" s="87" t="s">
        <v>381</v>
      </c>
    </row>
    <row r="216" spans="12:13" x14ac:dyDescent="0.25">
      <c r="L216" s="87" t="s">
        <v>382</v>
      </c>
      <c r="M216" s="87" t="s">
        <v>383</v>
      </c>
    </row>
    <row r="217" spans="12:13" x14ac:dyDescent="0.25">
      <c r="L217" s="87" t="s">
        <v>384</v>
      </c>
      <c r="M217" s="87" t="s">
        <v>385</v>
      </c>
    </row>
    <row r="218" spans="12:13" x14ac:dyDescent="0.25">
      <c r="L218" s="87" t="s">
        <v>386</v>
      </c>
      <c r="M218" s="87" t="s">
        <v>387</v>
      </c>
    </row>
    <row r="219" spans="12:13" x14ac:dyDescent="0.25">
      <c r="L219" s="87" t="s">
        <v>388</v>
      </c>
      <c r="M219" s="87" t="s">
        <v>389</v>
      </c>
    </row>
    <row r="220" spans="12:13" x14ac:dyDescent="0.25">
      <c r="L220" s="87" t="s">
        <v>390</v>
      </c>
      <c r="M220" s="87" t="s">
        <v>391</v>
      </c>
    </row>
    <row r="221" spans="12:13" x14ac:dyDescent="0.25">
      <c r="L221" s="87" t="s">
        <v>392</v>
      </c>
      <c r="M221" s="87" t="s">
        <v>393</v>
      </c>
    </row>
    <row r="222" spans="12:13" x14ac:dyDescent="0.25">
      <c r="L222" s="87" t="s">
        <v>394</v>
      </c>
      <c r="M222" s="87" t="s">
        <v>395</v>
      </c>
    </row>
    <row r="223" spans="12:13" x14ac:dyDescent="0.25">
      <c r="L223" s="87" t="s">
        <v>396</v>
      </c>
      <c r="M223" s="87" t="s">
        <v>397</v>
      </c>
    </row>
    <row r="224" spans="12:13" x14ac:dyDescent="0.25">
      <c r="L224" s="87" t="s">
        <v>398</v>
      </c>
      <c r="M224" s="87" t="s">
        <v>399</v>
      </c>
    </row>
    <row r="225" spans="12:13" x14ac:dyDescent="0.25">
      <c r="L225" s="87" t="s">
        <v>400</v>
      </c>
      <c r="M225" s="87" t="s">
        <v>401</v>
      </c>
    </row>
    <row r="226" spans="12:13" x14ac:dyDescent="0.25">
      <c r="L226" s="87" t="s">
        <v>402</v>
      </c>
      <c r="M226" s="87" t="s">
        <v>403</v>
      </c>
    </row>
    <row r="227" spans="12:13" x14ac:dyDescent="0.25">
      <c r="L227" s="87" t="s">
        <v>404</v>
      </c>
      <c r="M227" s="87" t="s">
        <v>405</v>
      </c>
    </row>
    <row r="228" spans="12:13" x14ac:dyDescent="0.25">
      <c r="L228" s="87" t="s">
        <v>406</v>
      </c>
      <c r="M228" s="87" t="s">
        <v>407</v>
      </c>
    </row>
    <row r="229" spans="12:13" x14ac:dyDescent="0.25">
      <c r="L229" s="87" t="s">
        <v>408</v>
      </c>
      <c r="M229" s="87" t="s">
        <v>409</v>
      </c>
    </row>
    <row r="230" spans="12:13" x14ac:dyDescent="0.25">
      <c r="L230" s="87" t="s">
        <v>410</v>
      </c>
      <c r="M230" s="87" t="s">
        <v>411</v>
      </c>
    </row>
    <row r="231" spans="12:13" x14ac:dyDescent="0.25">
      <c r="L231" s="87" t="s">
        <v>412</v>
      </c>
      <c r="M231" s="87" t="s">
        <v>413</v>
      </c>
    </row>
    <row r="232" spans="12:13" x14ac:dyDescent="0.25">
      <c r="L232" s="87" t="s">
        <v>414</v>
      </c>
      <c r="M232" s="87" t="s">
        <v>415</v>
      </c>
    </row>
    <row r="233" spans="12:13" x14ac:dyDescent="0.25">
      <c r="L233" s="87" t="s">
        <v>416</v>
      </c>
      <c r="M233" s="87" t="s">
        <v>417</v>
      </c>
    </row>
    <row r="234" spans="12:13" x14ac:dyDescent="0.25">
      <c r="L234" s="87" t="s">
        <v>418</v>
      </c>
      <c r="M234" s="87" t="s">
        <v>419</v>
      </c>
    </row>
    <row r="235" spans="12:13" x14ac:dyDescent="0.25">
      <c r="L235" s="87" t="s">
        <v>420</v>
      </c>
      <c r="M235" s="87" t="s">
        <v>421</v>
      </c>
    </row>
    <row r="236" spans="12:13" x14ac:dyDescent="0.25">
      <c r="L236" s="87" t="s">
        <v>422</v>
      </c>
      <c r="M236" s="87" t="s">
        <v>423</v>
      </c>
    </row>
    <row r="237" spans="12:13" x14ac:dyDescent="0.25">
      <c r="L237" s="87" t="s">
        <v>424</v>
      </c>
      <c r="M237" s="87" t="s">
        <v>425</v>
      </c>
    </row>
    <row r="238" spans="12:13" x14ac:dyDescent="0.25">
      <c r="L238" s="87" t="s">
        <v>426</v>
      </c>
      <c r="M238" s="87" t="s">
        <v>427</v>
      </c>
    </row>
    <row r="239" spans="12:13" x14ac:dyDescent="0.25">
      <c r="L239" s="87" t="s">
        <v>428</v>
      </c>
      <c r="M239" s="87" t="s">
        <v>429</v>
      </c>
    </row>
    <row r="240" spans="12:13" x14ac:dyDescent="0.25">
      <c r="L240" s="87" t="s">
        <v>430</v>
      </c>
      <c r="M240" s="87" t="s">
        <v>431</v>
      </c>
    </row>
    <row r="241" spans="12:13" x14ac:dyDescent="0.25">
      <c r="L241" s="87" t="s">
        <v>432</v>
      </c>
      <c r="M241" s="87" t="s">
        <v>433</v>
      </c>
    </row>
    <row r="242" spans="12:13" x14ac:dyDescent="0.25">
      <c r="L242" s="87" t="s">
        <v>434</v>
      </c>
      <c r="M242" s="87" t="s">
        <v>435</v>
      </c>
    </row>
    <row r="243" spans="12:13" x14ac:dyDescent="0.25">
      <c r="L243" s="87" t="s">
        <v>436</v>
      </c>
      <c r="M243" s="87" t="s">
        <v>437</v>
      </c>
    </row>
    <row r="244" spans="12:13" x14ac:dyDescent="0.25">
      <c r="L244" s="87" t="s">
        <v>438</v>
      </c>
      <c r="M244" s="87" t="s">
        <v>439</v>
      </c>
    </row>
    <row r="245" spans="12:13" x14ac:dyDescent="0.25">
      <c r="L245" s="87" t="s">
        <v>440</v>
      </c>
      <c r="M245" s="87" t="s">
        <v>441</v>
      </c>
    </row>
    <row r="246" spans="12:13" x14ac:dyDescent="0.25">
      <c r="L246" s="87" t="s">
        <v>442</v>
      </c>
      <c r="M246" s="87" t="s">
        <v>443</v>
      </c>
    </row>
    <row r="247" spans="12:13" x14ac:dyDescent="0.25">
      <c r="L247" s="87" t="s">
        <v>444</v>
      </c>
      <c r="M247" s="87" t="s">
        <v>445</v>
      </c>
    </row>
    <row r="248" spans="12:13" x14ac:dyDescent="0.25">
      <c r="L248" s="87" t="s">
        <v>446</v>
      </c>
      <c r="M248" s="87" t="s">
        <v>447</v>
      </c>
    </row>
    <row r="249" spans="12:13" x14ac:dyDescent="0.25">
      <c r="L249" s="87" t="s">
        <v>448</v>
      </c>
      <c r="M249" s="87" t="s">
        <v>449</v>
      </c>
    </row>
    <row r="250" spans="12:13" x14ac:dyDescent="0.25">
      <c r="L250" s="87" t="s">
        <v>450</v>
      </c>
      <c r="M250" s="87" t="s">
        <v>451</v>
      </c>
    </row>
    <row r="251" spans="12:13" x14ac:dyDescent="0.25">
      <c r="L251" s="87" t="s">
        <v>452</v>
      </c>
      <c r="M251" s="87" t="s">
        <v>453</v>
      </c>
    </row>
    <row r="252" spans="12:13" x14ac:dyDescent="0.25">
      <c r="L252" s="87" t="s">
        <v>454</v>
      </c>
      <c r="M252" s="87" t="s">
        <v>455</v>
      </c>
    </row>
    <row r="253" spans="12:13" x14ac:dyDescent="0.25">
      <c r="L253" s="87" t="s">
        <v>456</v>
      </c>
      <c r="M253" s="87" t="s">
        <v>457</v>
      </c>
    </row>
    <row r="254" spans="12:13" x14ac:dyDescent="0.25">
      <c r="L254" s="87" t="s">
        <v>458</v>
      </c>
      <c r="M254" s="87" t="s">
        <v>459</v>
      </c>
    </row>
    <row r="255" spans="12:13" x14ac:dyDescent="0.25">
      <c r="L255" s="87" t="s">
        <v>460</v>
      </c>
      <c r="M255" s="87" t="s">
        <v>461</v>
      </c>
    </row>
    <row r="256" spans="12:13" x14ac:dyDescent="0.25">
      <c r="L256" s="87" t="s">
        <v>462</v>
      </c>
      <c r="M256" s="87" t="s">
        <v>463</v>
      </c>
    </row>
    <row r="257" spans="12:13" x14ac:dyDescent="0.25">
      <c r="L257" s="87" t="s">
        <v>464</v>
      </c>
      <c r="M257" s="87" t="s">
        <v>465</v>
      </c>
    </row>
    <row r="258" spans="12:13" x14ac:dyDescent="0.25">
      <c r="L258" s="87" t="s">
        <v>466</v>
      </c>
      <c r="M258" s="87" t="s">
        <v>467</v>
      </c>
    </row>
    <row r="259" spans="12:13" x14ac:dyDescent="0.25">
      <c r="L259" s="87" t="s">
        <v>468</v>
      </c>
      <c r="M259" s="87" t="s">
        <v>469</v>
      </c>
    </row>
    <row r="260" spans="12:13" x14ac:dyDescent="0.25">
      <c r="L260" s="87" t="s">
        <v>470</v>
      </c>
      <c r="M260" s="87" t="s">
        <v>471</v>
      </c>
    </row>
    <row r="261" spans="12:13" x14ac:dyDescent="0.25">
      <c r="L261" s="87" t="s">
        <v>472</v>
      </c>
      <c r="M261" s="87" t="s">
        <v>473</v>
      </c>
    </row>
    <row r="262" spans="12:13" x14ac:dyDescent="0.25">
      <c r="L262" s="87" t="s">
        <v>474</v>
      </c>
      <c r="M262" s="87" t="s">
        <v>475</v>
      </c>
    </row>
    <row r="263" spans="12:13" x14ac:dyDescent="0.25">
      <c r="L263" s="87" t="s">
        <v>476</v>
      </c>
      <c r="M263" s="87" t="s">
        <v>477</v>
      </c>
    </row>
    <row r="264" spans="12:13" x14ac:dyDescent="0.25">
      <c r="L264" s="87" t="s">
        <v>478</v>
      </c>
      <c r="M264" s="87" t="s">
        <v>479</v>
      </c>
    </row>
    <row r="265" spans="12:13" x14ac:dyDescent="0.25">
      <c r="L265" s="87" t="s">
        <v>480</v>
      </c>
      <c r="M265" s="87" t="s">
        <v>481</v>
      </c>
    </row>
    <row r="266" spans="12:13" x14ac:dyDescent="0.25">
      <c r="L266" s="87" t="s">
        <v>482</v>
      </c>
      <c r="M266" s="87" t="s">
        <v>483</v>
      </c>
    </row>
    <row r="267" spans="12:13" x14ac:dyDescent="0.25">
      <c r="L267" s="87" t="s">
        <v>484</v>
      </c>
      <c r="M267" s="87" t="s">
        <v>485</v>
      </c>
    </row>
    <row r="268" spans="12:13" x14ac:dyDescent="0.25">
      <c r="L268" s="87" t="s">
        <v>486</v>
      </c>
      <c r="M268" s="87" t="s">
        <v>487</v>
      </c>
    </row>
    <row r="269" spans="12:13" x14ac:dyDescent="0.25">
      <c r="L269" s="87" t="s">
        <v>488</v>
      </c>
      <c r="M269" s="87" t="s">
        <v>489</v>
      </c>
    </row>
    <row r="270" spans="12:13" x14ac:dyDescent="0.25">
      <c r="L270" s="87" t="s">
        <v>490</v>
      </c>
      <c r="M270" s="87" t="s">
        <v>491</v>
      </c>
    </row>
    <row r="271" spans="12:13" x14ac:dyDescent="0.25">
      <c r="L271" s="87" t="s">
        <v>492</v>
      </c>
      <c r="M271" s="87" t="s">
        <v>493</v>
      </c>
    </row>
    <row r="273" spans="12:12" x14ac:dyDescent="0.25">
      <c r="L273" s="88" t="s">
        <v>496</v>
      </c>
    </row>
    <row r="274" spans="12:12" x14ac:dyDescent="0.25">
      <c r="L274" s="87" t="s">
        <v>497</v>
      </c>
    </row>
    <row r="275" spans="12:12" x14ac:dyDescent="0.25">
      <c r="L275" s="87" t="s">
        <v>498</v>
      </c>
    </row>
    <row r="276" spans="12:12" x14ac:dyDescent="0.25">
      <c r="L276" s="87" t="s">
        <v>499</v>
      </c>
    </row>
    <row r="277" spans="12:12" x14ac:dyDescent="0.25">
      <c r="L277" s="87" t="s">
        <v>500</v>
      </c>
    </row>
    <row r="278" spans="12:12" x14ac:dyDescent="0.25">
      <c r="L278" s="87" t="s">
        <v>501</v>
      </c>
    </row>
    <row r="279" spans="12:12" x14ac:dyDescent="0.25">
      <c r="L279" s="87" t="s">
        <v>502</v>
      </c>
    </row>
    <row r="280" spans="12:12" x14ac:dyDescent="0.25">
      <c r="L280" s="87" t="s">
        <v>503</v>
      </c>
    </row>
    <row r="281" spans="12:12" x14ac:dyDescent="0.25">
      <c r="L281" s="87" t="s">
        <v>504</v>
      </c>
    </row>
    <row r="282" spans="12:12" x14ac:dyDescent="0.25">
      <c r="L282" s="87" t="s">
        <v>505</v>
      </c>
    </row>
    <row r="283" spans="12:12" x14ac:dyDescent="0.25">
      <c r="L283" s="87" t="s">
        <v>506</v>
      </c>
    </row>
    <row r="284" spans="12:12" x14ac:dyDescent="0.25">
      <c r="L284" s="87" t="s">
        <v>507</v>
      </c>
    </row>
    <row r="285" spans="12:12" x14ac:dyDescent="0.25">
      <c r="L285" s="87" t="s">
        <v>508</v>
      </c>
    </row>
    <row r="286" spans="12:12" x14ac:dyDescent="0.25">
      <c r="L286" s="87" t="s">
        <v>509</v>
      </c>
    </row>
    <row r="287" spans="12:12" x14ac:dyDescent="0.25">
      <c r="L287" s="87" t="s">
        <v>510</v>
      </c>
    </row>
    <row r="288" spans="12:12" x14ac:dyDescent="0.25">
      <c r="L288" s="87" t="s">
        <v>511</v>
      </c>
    </row>
    <row r="289" spans="12:12" x14ac:dyDescent="0.25">
      <c r="L289" s="87" t="s">
        <v>512</v>
      </c>
    </row>
    <row r="290" spans="12:12" x14ac:dyDescent="0.25">
      <c r="L290" s="87" t="s">
        <v>513</v>
      </c>
    </row>
    <row r="291" spans="12:12" x14ac:dyDescent="0.25">
      <c r="L291" s="87" t="s">
        <v>514</v>
      </c>
    </row>
    <row r="292" spans="12:12" x14ac:dyDescent="0.25">
      <c r="L292" s="87" t="s">
        <v>515</v>
      </c>
    </row>
    <row r="293" spans="12:12" x14ac:dyDescent="0.25">
      <c r="L293" s="87" t="s">
        <v>516</v>
      </c>
    </row>
    <row r="294" spans="12:12" x14ac:dyDescent="0.25">
      <c r="L294" s="87" t="s">
        <v>517</v>
      </c>
    </row>
    <row r="295" spans="12:12" x14ac:dyDescent="0.25">
      <c r="L295" s="87" t="s">
        <v>518</v>
      </c>
    </row>
    <row r="296" spans="12:12" x14ac:dyDescent="0.25">
      <c r="L296" s="87" t="s">
        <v>519</v>
      </c>
    </row>
    <row r="297" spans="12:12" x14ac:dyDescent="0.25">
      <c r="L297" s="87" t="s">
        <v>520</v>
      </c>
    </row>
    <row r="298" spans="12:12" x14ac:dyDescent="0.25">
      <c r="L298" s="87" t="s">
        <v>521</v>
      </c>
    </row>
    <row r="299" spans="12:12" x14ac:dyDescent="0.25">
      <c r="L299" s="87" t="s">
        <v>522</v>
      </c>
    </row>
    <row r="300" spans="12:12" x14ac:dyDescent="0.25">
      <c r="L300" s="87" t="s">
        <v>523</v>
      </c>
    </row>
    <row r="302" spans="12:12" x14ac:dyDescent="0.25">
      <c r="L302" s="88" t="s">
        <v>524</v>
      </c>
    </row>
    <row r="303" spans="12:12" x14ac:dyDescent="0.25">
      <c r="L303" s="87" t="s">
        <v>525</v>
      </c>
    </row>
    <row r="304" spans="12:12" x14ac:dyDescent="0.25">
      <c r="L304" s="87" t="s">
        <v>526</v>
      </c>
    </row>
    <row r="305" spans="12:12" x14ac:dyDescent="0.25">
      <c r="L305" s="87" t="s">
        <v>527</v>
      </c>
    </row>
    <row r="306" spans="12:12" x14ac:dyDescent="0.25">
      <c r="L306" s="87" t="s">
        <v>528</v>
      </c>
    </row>
    <row r="307" spans="12:12" x14ac:dyDescent="0.25">
      <c r="L307" s="87" t="s">
        <v>529</v>
      </c>
    </row>
    <row r="308" spans="12:12" x14ac:dyDescent="0.25">
      <c r="L308" s="87" t="s">
        <v>530</v>
      </c>
    </row>
    <row r="309" spans="12:12" x14ac:dyDescent="0.25">
      <c r="L309" s="87" t="s">
        <v>531</v>
      </c>
    </row>
    <row r="310" spans="12:12" x14ac:dyDescent="0.25">
      <c r="L310" s="87" t="s">
        <v>532</v>
      </c>
    </row>
    <row r="311" spans="12:12" x14ac:dyDescent="0.25">
      <c r="L311" s="87" t="s">
        <v>533</v>
      </c>
    </row>
    <row r="312" spans="12:12" x14ac:dyDescent="0.25">
      <c r="L312" s="87" t="s">
        <v>534</v>
      </c>
    </row>
    <row r="313" spans="12:12" x14ac:dyDescent="0.25">
      <c r="L313" s="87" t="s">
        <v>535</v>
      </c>
    </row>
    <row r="314" spans="12:12" x14ac:dyDescent="0.25">
      <c r="L314" s="87" t="s">
        <v>536</v>
      </c>
    </row>
    <row r="315" spans="12:12" x14ac:dyDescent="0.25">
      <c r="L315" s="87" t="s">
        <v>537</v>
      </c>
    </row>
    <row r="316" spans="12:12" x14ac:dyDescent="0.25">
      <c r="L316" s="87" t="s">
        <v>538</v>
      </c>
    </row>
    <row r="317" spans="12:12" x14ac:dyDescent="0.25">
      <c r="L317" s="87" t="s">
        <v>539</v>
      </c>
    </row>
    <row r="318" spans="12:12" x14ac:dyDescent="0.25">
      <c r="L318" s="87" t="s">
        <v>540</v>
      </c>
    </row>
    <row r="319" spans="12:12" x14ac:dyDescent="0.25">
      <c r="L319" s="87" t="s">
        <v>541</v>
      </c>
    </row>
    <row r="320" spans="12:12" x14ac:dyDescent="0.25">
      <c r="L320" s="87" t="s">
        <v>542</v>
      </c>
    </row>
    <row r="321" spans="12:12" x14ac:dyDescent="0.25">
      <c r="L321" s="87" t="s">
        <v>543</v>
      </c>
    </row>
  </sheetData>
  <sheetProtection algorithmName="SHA-512" hashValue="Rq9dJBDddF+KHlDReWzmUPfKY/O9znko7kwWBSwvzUU/WJXMjQxdC80PHfWE8YOSkRFkybiOqms72/JRI44AIQ==" saltValue="GpgH0ObmYNFaI6Rk3tgGnw==" spinCount="100000" sheet="1" objects="1" scenarios="1"/>
  <mergeCells count="4">
    <mergeCell ref="C28:F28"/>
    <mergeCell ref="C3:F3"/>
    <mergeCell ref="C17:D17"/>
    <mergeCell ref="C15:E15"/>
  </mergeCells>
  <dataValidations count="9">
    <dataValidation type="list" allowBlank="1" showInputMessage="1" showErrorMessage="1" sqref="F23">
      <formula1>newMet</formula1>
    </dataValidation>
    <dataValidation type="whole" allowBlank="1" showInputMessage="1" showErrorMessage="1" error="Character are not allowed in this field." sqref="F20">
      <formula1>0</formula1>
      <formula2>999999999</formula2>
    </dataValidation>
    <dataValidation allowBlank="1" showInputMessage="1" showErrorMessage="1" error="Year must be four digit." sqref="F16:F17"/>
    <dataValidation type="decimal" allowBlank="1" showInputMessage="1" showErrorMessage="1" error="Character are not allowed in this field." sqref="F18:F19">
      <formula1>0</formula1>
      <formula2>999999999</formula2>
    </dataValidation>
    <dataValidation type="list" allowBlank="1" showInputMessage="1" showErrorMessage="1" sqref="F9">
      <formula1>"IP units, SI units"</formula1>
    </dataValidation>
    <dataValidation type="date" operator="lessThanOrEqual" allowBlank="1" showInputMessage="1" showErrorMessage="1" errorTitle="Invalid Date" error="Please enter a valid date" sqref="E18">
      <formula1>T18</formula1>
    </dataValidation>
    <dataValidation type="date" operator="lessThanOrEqual" allowBlank="1" showInputMessage="1" showErrorMessage="1" errorTitle="Invalid Date" error="Please enter a valid date" sqref="E19">
      <formula1>T18</formula1>
    </dataValidation>
    <dataValidation type="date" operator="lessThanOrEqual" allowBlank="1" showInputMessage="1" showErrorMessage="1" errorTitle="Invalid Date" error="Please enter a valid date" sqref="E20">
      <formula1>T18</formula1>
    </dataValidation>
    <dataValidation type="whole" allowBlank="1" showInputMessage="1" showErrorMessage="1" error="Year must be four digit." sqref="F15">
      <formula1>1000</formula1>
      <formula2>9999</formula2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24</xdr:row>
                    <xdr:rowOff>76200</xdr:rowOff>
                  </from>
                  <to>
                    <xdr:col>3</xdr:col>
                    <xdr:colOff>561975</xdr:colOff>
                    <xdr:row>24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24</xdr:row>
                    <xdr:rowOff>76200</xdr:rowOff>
                  </from>
                  <to>
                    <xdr:col>3</xdr:col>
                    <xdr:colOff>1895475</xdr:colOff>
                    <xdr:row>24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39"/>
  <sheetViews>
    <sheetView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5" sqref="D5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601</v>
      </c>
      <c r="B1" s="4" t="str">
        <f ca="1">MID(CELL("filename",A1),FIND("]",CELL("filename",A1))+1,256)</f>
        <v>base_w</v>
      </c>
      <c r="C1" s="1"/>
      <c r="D1" s="182" t="str">
        <f ca="1">B1</f>
        <v>base_w</v>
      </c>
      <c r="E1" s="1"/>
    </row>
    <row r="2" spans="1:9" x14ac:dyDescent="0.25">
      <c r="A2" s="4" t="s">
        <v>601</v>
      </c>
      <c r="B2" s="174" t="s">
        <v>568</v>
      </c>
      <c r="C2" s="179"/>
      <c r="D2" s="175"/>
      <c r="E2" s="1"/>
    </row>
    <row r="3" spans="1:9" x14ac:dyDescent="0.25">
      <c r="A3" s="4" t="s">
        <v>601</v>
      </c>
      <c r="B3" s="173" t="s">
        <v>697</v>
      </c>
      <c r="C3" s="9"/>
      <c r="D3" s="175" t="s">
        <v>692</v>
      </c>
      <c r="E3" s="1"/>
    </row>
    <row r="4" spans="1:9" x14ac:dyDescent="0.25">
      <c r="A4" s="4" t="s">
        <v>601</v>
      </c>
      <c r="B4" s="173" t="s">
        <v>569</v>
      </c>
      <c r="C4" s="9"/>
      <c r="D4" s="175" t="s">
        <v>528</v>
      </c>
      <c r="E4" s="1"/>
    </row>
    <row r="5" spans="1:9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9" ht="24.75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8"/>
      <c r="C7" s="38"/>
      <c r="D7" s="24"/>
      <c r="E7" s="1"/>
    </row>
    <row r="8" spans="1:9" x14ac:dyDescent="0.25">
      <c r="A8" s="4"/>
      <c r="B8" s="26"/>
      <c r="C8" s="26"/>
      <c r="D8" s="29"/>
      <c r="E8" s="1"/>
    </row>
    <row r="9" spans="1:9" ht="6" customHeight="1" x14ac:dyDescent="0.25">
      <c r="A9" s="4"/>
      <c r="B9" s="26"/>
      <c r="C9" s="26"/>
      <c r="D9" s="29"/>
      <c r="E9" s="1"/>
      <c r="I9" t="s">
        <v>692</v>
      </c>
    </row>
    <row r="10" spans="1:9" ht="25.5" customHeight="1" x14ac:dyDescent="0.25">
      <c r="A10" s="4" t="s">
        <v>549</v>
      </c>
      <c r="B10" s="27"/>
      <c r="C10" s="27"/>
      <c r="D10" s="27"/>
      <c r="E10" s="1"/>
      <c r="I10" t="s">
        <v>693</v>
      </c>
    </row>
    <row r="11" spans="1:9" x14ac:dyDescent="0.25">
      <c r="I11" t="s">
        <v>694</v>
      </c>
    </row>
    <row r="15" spans="1:9" x14ac:dyDescent="0.25">
      <c r="H15" t="s">
        <v>528</v>
      </c>
    </row>
    <row r="16" spans="1:9" x14ac:dyDescent="0.25">
      <c r="H16" t="s">
        <v>531</v>
      </c>
    </row>
    <row r="17" spans="8:8" x14ac:dyDescent="0.25">
      <c r="H17" t="s">
        <v>550</v>
      </c>
    </row>
    <row r="18" spans="8:8" x14ac:dyDescent="0.25">
      <c r="H18" t="s">
        <v>551</v>
      </c>
    </row>
    <row r="19" spans="8:8" x14ac:dyDescent="0.25">
      <c r="H19" t="s">
        <v>525</v>
      </c>
    </row>
    <row r="20" spans="8:8" x14ac:dyDescent="0.25">
      <c r="H20" t="s">
        <v>530</v>
      </c>
    </row>
    <row r="21" spans="8:8" x14ac:dyDescent="0.25">
      <c r="H21" t="s">
        <v>545</v>
      </c>
    </row>
    <row r="22" spans="8:8" x14ac:dyDescent="0.25">
      <c r="H22" t="s">
        <v>564</v>
      </c>
    </row>
    <row r="23" spans="8:8" x14ac:dyDescent="0.25">
      <c r="H23" t="s">
        <v>527</v>
      </c>
    </row>
    <row r="24" spans="8:8" x14ac:dyDescent="0.25">
      <c r="H24" s="2" t="s">
        <v>546</v>
      </c>
    </row>
    <row r="25" spans="8:8" x14ac:dyDescent="0.25">
      <c r="H25" s="2" t="s">
        <v>565</v>
      </c>
    </row>
    <row r="26" spans="8:8" x14ac:dyDescent="0.25">
      <c r="H26" s="2" t="s">
        <v>566</v>
      </c>
    </row>
    <row r="27" spans="8:8" x14ac:dyDescent="0.25">
      <c r="H27" t="s">
        <v>695</v>
      </c>
    </row>
    <row r="28" spans="8:8" x14ac:dyDescent="0.25">
      <c r="H28" t="s">
        <v>696</v>
      </c>
    </row>
    <row r="29" spans="8:8" x14ac:dyDescent="0.25">
      <c r="H29" t="s">
        <v>690</v>
      </c>
    </row>
    <row r="30" spans="8:8" x14ac:dyDescent="0.25">
      <c r="H30"/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</sheetData>
  <sheetProtection algorithmName="SHA-512" hashValue="4bysKZ6i/SZv5FSh3AUZLmPiIPMzRKfYD6eZKQHTnGmyV/SqfYkFdw03qrO3xFypvnGbotcp9FvRNh4SOXlvUA==" saltValue="iDEeznwKdfDP0+F+eNASyg==" spinCount="100000" sheet="1" objects="1" scenarios="1"/>
  <dataValidations count="6">
    <dataValidation type="list" allowBlank="1" showInputMessage="1" showErrorMessage="1" error="Units cannot edit." sqref="D4">
      <formula1>watUni</formula1>
    </dataValidation>
    <dataValidation type="list" allowBlank="1" showInputMessage="1" showErrorMessage="1" sqref="D3">
      <formula1>WaterDrp</formula1>
    </dataValidation>
    <dataValidation allowBlank="1" showInputMessage="1" showErrorMessage="1" error="Please enter a valid date in mm/dd/yyyy format." sqref="B8:D10"/>
    <dataValidation type="date" allowBlank="1" showInputMessage="1" showErrorMessage="1" error="Please enter a valid date in mm/dd/yyyy format." sqref="B7:C7">
      <formula1>1</formula1>
      <formula2>73415</formula2>
    </dataValidation>
    <dataValidation type="decimal" allowBlank="1" showInputMessage="1" showErrorMessage="1" error="Please enter a valid reading." sqref="D7">
      <formula1>0</formula1>
      <formula2>9999999999</formula2>
    </dataValidation>
    <dataValidation type="textLength" allowBlank="1" showInputMessage="1" showErrorMessage="1" errorTitle="Data Source" error="It can only accept 40 characters." sqref="D5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3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4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601</v>
      </c>
      <c r="B1" s="4" t="str">
        <f ca="1">MID(CELL("filename",A1),FIND("]",CELL("filename",A1))+1,256)</f>
        <v>base_e</v>
      </c>
      <c r="C1" s="1"/>
      <c r="D1" s="4" t="str">
        <f ca="1">B1</f>
        <v>base_e</v>
      </c>
      <c r="E1" s="1"/>
    </row>
    <row r="2" spans="1:10" x14ac:dyDescent="0.25">
      <c r="A2" s="4" t="s">
        <v>601</v>
      </c>
      <c r="B2" s="174" t="s">
        <v>568</v>
      </c>
      <c r="C2" s="179"/>
      <c r="D2" s="175"/>
      <c r="E2" s="1"/>
    </row>
    <row r="3" spans="1:10" x14ac:dyDescent="0.25">
      <c r="A3" s="4" t="s">
        <v>601</v>
      </c>
      <c r="B3" s="173" t="s">
        <v>697</v>
      </c>
      <c r="C3" s="9"/>
      <c r="D3" s="175" t="s">
        <v>691</v>
      </c>
      <c r="E3" s="1"/>
    </row>
    <row r="4" spans="1:10" x14ac:dyDescent="0.25">
      <c r="A4" s="4" t="s">
        <v>601</v>
      </c>
      <c r="B4" s="173" t="s">
        <v>569</v>
      </c>
      <c r="C4" s="9"/>
      <c r="D4" s="175" t="s">
        <v>533</v>
      </c>
      <c r="E4" s="1"/>
    </row>
    <row r="5" spans="1:10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10" ht="24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8"/>
      <c r="C7" s="38"/>
      <c r="D7" s="25"/>
      <c r="E7" s="1"/>
    </row>
    <row r="8" spans="1:10" ht="12.75" customHeight="1" x14ac:dyDescent="0.25">
      <c r="A8" s="4"/>
      <c r="B8" s="26"/>
      <c r="C8" s="26"/>
      <c r="D8" s="29"/>
      <c r="E8" s="1"/>
      <c r="J8" s="2" t="s">
        <v>552</v>
      </c>
    </row>
    <row r="9" spans="1:10" ht="13.5" hidden="1" customHeight="1" x14ac:dyDescent="0.25">
      <c r="A9" s="4"/>
      <c r="B9" s="27"/>
      <c r="C9" s="27"/>
      <c r="D9" s="27"/>
      <c r="E9" s="1"/>
      <c r="J9" t="s">
        <v>691</v>
      </c>
    </row>
    <row r="10" spans="1:10" ht="25.5" customHeight="1" x14ac:dyDescent="0.25">
      <c r="A10" s="4" t="s">
        <v>549</v>
      </c>
      <c r="B10" s="27"/>
      <c r="C10" s="27"/>
      <c r="D10" s="27"/>
      <c r="E10" s="1"/>
      <c r="J10" s="2" t="s">
        <v>699</v>
      </c>
    </row>
    <row r="15" spans="1:10" x14ac:dyDescent="0.25">
      <c r="G15" s="2" t="s">
        <v>533</v>
      </c>
    </row>
    <row r="16" spans="1:10" x14ac:dyDescent="0.25">
      <c r="G16" s="2" t="s">
        <v>540</v>
      </c>
    </row>
    <row r="17" spans="7:7" x14ac:dyDescent="0.25">
      <c r="G17" s="2" t="s">
        <v>555</v>
      </c>
    </row>
    <row r="18" spans="7:7" x14ac:dyDescent="0.25">
      <c r="G18" s="2" t="s">
        <v>529</v>
      </c>
    </row>
    <row r="19" spans="7:7" x14ac:dyDescent="0.25">
      <c r="G19" s="2" t="s">
        <v>553</v>
      </c>
    </row>
    <row r="21" spans="7:7" x14ac:dyDescent="0.25">
      <c r="G21" s="2" t="s">
        <v>552</v>
      </c>
    </row>
  </sheetData>
  <sheetProtection algorithmName="SHA-512" hashValue="unwfHWznGkAUkYmO+H3/wgIgxNr5CP4zlW0GIcTWt54jl6jmmNWZtGSb35fJia5/Rh8oBhlYdroxZChf4W/9Mg==" saltValue="KyM7lgyjILnQNmZnHBQ4dg==" spinCount="100000" sheet="1" objects="1" scenarios="1"/>
  <dataValidations count="6">
    <dataValidation type="list" allowBlank="1" showInputMessage="1" showErrorMessage="1" error="Units cannot edit." sqref="D4">
      <formula1>elecName</formula1>
    </dataValidation>
    <dataValidation type="list" allowBlank="1" showInputMessage="1" showErrorMessage="1" sqref="D3">
      <formula1>ElectricityDrp</formula1>
    </dataValidation>
    <dataValidation allowBlank="1" showInputMessage="1" showErrorMessage="1" error="Please enter a valid date in mm/dd/yyyy format." sqref="B8:D10"/>
    <dataValidation type="date" allowBlank="1" showInputMessage="1" showErrorMessage="1" error="Please enter a valid date in mm/dd/yyyy format." sqref="B7:C7">
      <formula1>1</formula1>
      <formula2>73415</formula2>
    </dataValidation>
    <dataValidation type="decimal" allowBlank="1" showInputMessage="1" showErrorMessage="1" error="Please enter a valid reading." sqref="D7">
      <formula1>0</formula1>
      <formula2>9999999999</formula2>
    </dataValidation>
    <dataValidation type="textLength" allowBlank="1" showInputMessage="1" showErrorMessage="1" errorTitle="Data Source" error="It can only accept 40 characters.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752475</xdr:colOff>
                    <xdr:row>7</xdr:row>
                    <xdr:rowOff>0</xdr:rowOff>
                  </from>
                  <to>
                    <xdr:col>2</xdr:col>
                    <xdr:colOff>752475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"/>
    </sheetView>
  </sheetViews>
  <sheetFormatPr defaultColWidth="9.140625" defaultRowHeight="15" x14ac:dyDescent="0.25"/>
  <cols>
    <col min="1" max="1" width="2.42578125" style="6" customWidth="1"/>
    <col min="2" max="2" width="20.7109375" style="2" customWidth="1"/>
    <col min="3" max="3" width="20.42578125" style="2" customWidth="1"/>
    <col min="4" max="4" width="45.140625" style="2" customWidth="1"/>
    <col min="5" max="5" width="5.7109375" style="2" customWidth="1"/>
    <col min="6" max="22" width="19.42578125" style="2" hidden="1" customWidth="1"/>
    <col min="23" max="32" width="19.42578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base_f</v>
      </c>
      <c r="C1" s="1"/>
      <c r="D1" s="4" t="str">
        <f ca="1">B1</f>
        <v>base_f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75"/>
      <c r="E2" s="1"/>
    </row>
    <row r="3" spans="1:24" ht="29.25" customHeight="1" x14ac:dyDescent="0.25">
      <c r="A3" s="4" t="s">
        <v>601</v>
      </c>
      <c r="B3" s="173" t="s">
        <v>570</v>
      </c>
      <c r="C3" s="180"/>
      <c r="D3" s="176" t="s">
        <v>516</v>
      </c>
      <c r="E3" s="1"/>
    </row>
    <row r="4" spans="1:24" ht="15.75" customHeight="1" x14ac:dyDescent="0.25">
      <c r="A4" s="4" t="s">
        <v>601</v>
      </c>
      <c r="B4" s="173" t="s">
        <v>569</v>
      </c>
      <c r="C4" s="9"/>
      <c r="D4" s="177" t="s">
        <v>533</v>
      </c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(kWh)</v>
      </c>
      <c r="E6" s="1"/>
    </row>
    <row r="7" spans="1:24" x14ac:dyDescent="0.25">
      <c r="A7" s="4"/>
      <c r="B7" s="38"/>
      <c r="C7" s="38"/>
      <c r="D7" s="25"/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CH1EjZNebPwczvA53w5AzPT0ivTqoi548Q8OgHgZVNBXSwRBtWdUGWsrulB+RvVg1Mj2cr3urWxhI7JTkUGpVA==" saltValue="yXhW++TSoxDrEeND3YMNIw==" spinCount="100000" sheet="1" objects="1" scenarios="1"/>
  <dataValidations count="7">
    <dataValidation type="list" allowBlank="1" showInputMessage="1" showErrorMessage="1" sqref="G15:X15">
      <formula1>$G$15:$X$15</formula1>
    </dataValidation>
    <dataValidation type="list" showInputMessage="1" showErrorMessage="1" error="Units cannot edit." sqref="D4">
      <formula1>myItemListH</formula1>
    </dataValidation>
    <dataValidation type="list" allowBlank="1" showInputMessage="1" showErrorMessage="1" error="Fuel type cannot edit." sqref="D3">
      <formula1>myCategoryH</formula1>
    </dataValidation>
    <dataValidation allowBlank="1" showInputMessage="1" showErrorMessage="1" error="Please enter a valid date in mm/dd/yyyy format." sqref="B8:D10"/>
    <dataValidation type="decimal" allowBlank="1" showInputMessage="1" showErrorMessage="1" error="Please enter a valid reading." sqref="D7">
      <formula1>0</formula1>
      <formula2>9999999999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  <dataValidation type="textLength" allowBlank="1" showInputMessage="1" showErrorMessage="1" errorTitle="Data Source" error="It can only accept 40 characters.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142875</xdr:colOff>
                    <xdr:row>9</xdr:row>
                    <xdr:rowOff>28575</xdr:rowOff>
                  </from>
                  <to>
                    <xdr:col>2</xdr:col>
                    <xdr:colOff>9525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66675</xdr:colOff>
                    <xdr:row>9</xdr:row>
                    <xdr:rowOff>28575</xdr:rowOff>
                  </from>
                  <to>
                    <xdr:col>2</xdr:col>
                    <xdr:colOff>1323975</xdr:colOff>
                    <xdr:row>9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25"/>
  <sheetViews>
    <sheetView showGridLines="0" topLeftCell="B8" zoomScale="90" zoomScaleNormal="90" zoomScalePageLayoutView="90" workbookViewId="0">
      <selection activeCell="F28" sqref="F28"/>
    </sheetView>
  </sheetViews>
  <sheetFormatPr defaultColWidth="9.140625" defaultRowHeight="12.75" x14ac:dyDescent="0.2"/>
  <cols>
    <col min="1" max="1" width="2.7109375" style="167" customWidth="1"/>
    <col min="2" max="2" width="38.42578125" style="112" customWidth="1"/>
    <col min="3" max="3" width="45.7109375" style="112" customWidth="1"/>
    <col min="4" max="4" width="15.7109375" style="112" customWidth="1"/>
    <col min="5" max="5" width="14.7109375" style="112" customWidth="1"/>
    <col min="6" max="6" width="19.85546875" style="112" customWidth="1"/>
    <col min="7" max="9" width="14.7109375" style="112" customWidth="1"/>
    <col min="10" max="11" width="9.140625" style="112" hidden="1" customWidth="1"/>
    <col min="12" max="12" width="9.140625" style="112" customWidth="1"/>
    <col min="13" max="13" width="16.7109375" style="112" customWidth="1"/>
    <col min="14" max="16384" width="9.140625" style="112"/>
  </cols>
  <sheetData>
    <row r="1" spans="1:12" s="109" customFormat="1" ht="15" customHeight="1" x14ac:dyDescent="0.2">
      <c r="A1" s="166"/>
      <c r="B1" s="108"/>
      <c r="C1" s="108"/>
      <c r="D1" s="108"/>
      <c r="E1" s="108"/>
      <c r="F1" s="108"/>
      <c r="G1" s="108"/>
      <c r="H1" s="108"/>
      <c r="I1" s="108"/>
    </row>
    <row r="2" spans="1:12" s="109" customFormat="1" ht="20.25" customHeight="1" x14ac:dyDescent="0.2">
      <c r="A2" s="166"/>
      <c r="B2" s="110" t="s">
        <v>621</v>
      </c>
      <c r="C2" s="111"/>
      <c r="D2" s="111"/>
      <c r="E2" s="111"/>
      <c r="F2" s="111"/>
      <c r="G2" s="111"/>
      <c r="H2" s="111"/>
      <c r="I2" s="111"/>
    </row>
    <row r="3" spans="1:12" s="109" customFormat="1" ht="14.25" customHeight="1" x14ac:dyDescent="0.2">
      <c r="A3" s="166"/>
      <c r="B3" s="108"/>
      <c r="C3" s="108"/>
      <c r="D3" s="108"/>
      <c r="E3" s="108"/>
      <c r="F3" s="108"/>
      <c r="G3" s="108"/>
      <c r="H3" s="108"/>
      <c r="I3" s="108"/>
    </row>
    <row r="4" spans="1:12" ht="46.35" customHeight="1" x14ac:dyDescent="0.2">
      <c r="B4" s="210" t="s">
        <v>604</v>
      </c>
      <c r="C4" s="210"/>
      <c r="D4" s="210"/>
      <c r="E4" s="210"/>
      <c r="F4" s="210"/>
      <c r="G4" s="210"/>
      <c r="H4" s="210"/>
      <c r="I4" s="210"/>
    </row>
    <row r="5" spans="1:12" ht="17.45" customHeight="1" x14ac:dyDescent="0.2">
      <c r="A5" s="168"/>
      <c r="B5" s="113"/>
      <c r="C5" s="114"/>
      <c r="D5" s="114"/>
      <c r="E5" s="114"/>
      <c r="F5" s="115"/>
      <c r="G5" s="116" t="s">
        <v>605</v>
      </c>
      <c r="H5" s="117"/>
      <c r="I5" s="118"/>
      <c r="J5" s="119"/>
      <c r="K5" s="119"/>
    </row>
    <row r="6" spans="1:12" ht="44.45" customHeight="1" x14ac:dyDescent="0.2">
      <c r="A6" s="169">
        <v>19</v>
      </c>
      <c r="B6" s="120" t="s">
        <v>606</v>
      </c>
      <c r="C6" s="121" t="s">
        <v>607</v>
      </c>
      <c r="D6" s="121" t="str">
        <f>CONCATENATE("Gross 
Floor Area
",IF(Setup!$F$9="SI Units","(sq m)","(sq ft)"))</f>
        <v>Gross 
Floor Area
(sq ft)</v>
      </c>
      <c r="E6" s="121" t="s">
        <v>608</v>
      </c>
      <c r="F6" s="121" t="s">
        <v>609</v>
      </c>
      <c r="G6" s="122" t="s">
        <v>610</v>
      </c>
      <c r="H6" s="123" t="s">
        <v>611</v>
      </c>
      <c r="I6" s="124" t="s">
        <v>612</v>
      </c>
      <c r="J6" s="125" t="s">
        <v>613</v>
      </c>
      <c r="K6" s="164" t="s">
        <v>614</v>
      </c>
      <c r="L6" s="165"/>
    </row>
    <row r="7" spans="1:12" ht="15" customHeight="1" x14ac:dyDescent="0.2">
      <c r="A7" s="126"/>
      <c r="B7" s="127" t="s">
        <v>729</v>
      </c>
      <c r="C7" s="131" t="s">
        <v>635</v>
      </c>
      <c r="D7" s="129">
        <v>111</v>
      </c>
      <c r="E7" s="128">
        <v>10</v>
      </c>
      <c r="F7" s="128">
        <v>1</v>
      </c>
      <c r="G7" s="128">
        <v>2</v>
      </c>
      <c r="H7" s="132">
        <v>2</v>
      </c>
      <c r="I7" s="130">
        <v>3</v>
      </c>
      <c r="J7" s="112">
        <f t="shared" ref="J7" si="0">E7*D7</f>
        <v>1110</v>
      </c>
      <c r="K7" s="112">
        <f t="shared" ref="K7" si="1">E7/7</f>
        <v>1.4285714285714286</v>
      </c>
    </row>
    <row r="8" spans="1:12" ht="15" customHeight="1" x14ac:dyDescent="0.2">
      <c r="A8" s="126"/>
      <c r="B8" s="127" t="s">
        <v>730</v>
      </c>
      <c r="C8" s="131" t="s">
        <v>636</v>
      </c>
      <c r="D8" s="129">
        <v>20</v>
      </c>
      <c r="E8" s="128">
        <v>10</v>
      </c>
      <c r="F8" s="128">
        <v>1</v>
      </c>
      <c r="G8" s="128">
        <v>1</v>
      </c>
      <c r="H8" s="132">
        <v>11</v>
      </c>
      <c r="I8" s="130">
        <v>8</v>
      </c>
      <c r="J8" s="112">
        <f t="shared" ref="J8:J16" si="2">E8*D8</f>
        <v>200</v>
      </c>
      <c r="K8" s="112">
        <f t="shared" ref="K8:K16" si="3">E8/7</f>
        <v>1.4285714285714286</v>
      </c>
    </row>
    <row r="9" spans="1:12" ht="15" customHeight="1" x14ac:dyDescent="0.2">
      <c r="A9" s="126"/>
      <c r="B9" s="127" t="s">
        <v>731</v>
      </c>
      <c r="C9" s="131" t="s">
        <v>638</v>
      </c>
      <c r="D9" s="129">
        <v>20</v>
      </c>
      <c r="E9" s="128">
        <v>20</v>
      </c>
      <c r="F9" s="128">
        <v>23</v>
      </c>
      <c r="G9" s="128">
        <v>22</v>
      </c>
      <c r="H9" s="132">
        <v>3</v>
      </c>
      <c r="I9" s="130">
        <v>23</v>
      </c>
      <c r="J9" s="112">
        <f t="shared" si="2"/>
        <v>400</v>
      </c>
      <c r="K9" s="112">
        <f t="shared" si="3"/>
        <v>2.8571428571428572</v>
      </c>
    </row>
    <row r="10" spans="1:12" ht="15" customHeight="1" x14ac:dyDescent="0.2">
      <c r="A10" s="126"/>
      <c r="B10" s="127" t="s">
        <v>732</v>
      </c>
      <c r="C10" s="131" t="s">
        <v>640</v>
      </c>
      <c r="D10" s="129">
        <v>22</v>
      </c>
      <c r="E10" s="128">
        <v>33</v>
      </c>
      <c r="F10" s="128">
        <v>33</v>
      </c>
      <c r="G10" s="128">
        <v>33</v>
      </c>
      <c r="H10" s="132">
        <v>3</v>
      </c>
      <c r="I10" s="130">
        <v>21</v>
      </c>
      <c r="J10" s="112">
        <f t="shared" si="2"/>
        <v>726</v>
      </c>
      <c r="K10" s="112">
        <f t="shared" si="3"/>
        <v>4.7142857142857144</v>
      </c>
    </row>
    <row r="11" spans="1:12" ht="15" customHeight="1" x14ac:dyDescent="0.2">
      <c r="A11" s="126"/>
      <c r="B11" s="127" t="s">
        <v>733</v>
      </c>
      <c r="C11" s="131" t="s">
        <v>663</v>
      </c>
      <c r="D11" s="129">
        <v>1111</v>
      </c>
      <c r="E11" s="128">
        <v>1</v>
      </c>
      <c r="F11" s="128">
        <v>1</v>
      </c>
      <c r="G11" s="128">
        <v>1</v>
      </c>
      <c r="H11" s="132">
        <v>1</v>
      </c>
      <c r="I11" s="130">
        <v>7</v>
      </c>
      <c r="J11" s="112">
        <f t="shared" si="2"/>
        <v>1111</v>
      </c>
      <c r="K11" s="112">
        <f t="shared" si="3"/>
        <v>0.14285714285714285</v>
      </c>
    </row>
    <row r="12" spans="1:12" ht="15" customHeight="1" x14ac:dyDescent="0.2">
      <c r="A12" s="126"/>
      <c r="B12" s="127"/>
      <c r="C12" s="131"/>
      <c r="D12" s="129"/>
      <c r="E12" s="128">
        <v>10</v>
      </c>
      <c r="F12" s="128"/>
      <c r="G12" s="128"/>
      <c r="H12" s="132"/>
      <c r="I12" s="130">
        <v>0</v>
      </c>
      <c r="J12" s="112">
        <f t="shared" si="2"/>
        <v>0</v>
      </c>
      <c r="K12" s="112">
        <f t="shared" si="3"/>
        <v>1.4285714285714286</v>
      </c>
    </row>
    <row r="13" spans="1:12" ht="15" customHeight="1" x14ac:dyDescent="0.2">
      <c r="A13" s="126"/>
      <c r="B13" s="127"/>
      <c r="C13" s="131"/>
      <c r="D13" s="129"/>
      <c r="E13" s="128"/>
      <c r="F13" s="128"/>
      <c r="G13" s="128"/>
      <c r="H13" s="132"/>
      <c r="I13" s="130" t="str">
        <f t="shared" ref="I8:I16" si="4">IFERROR((G13/K13)*H13," ")</f>
        <v xml:space="preserve"> </v>
      </c>
      <c r="J13" s="112">
        <f t="shared" si="2"/>
        <v>0</v>
      </c>
      <c r="K13" s="112">
        <f t="shared" si="3"/>
        <v>0</v>
      </c>
    </row>
    <row r="14" spans="1:12" ht="15" customHeight="1" x14ac:dyDescent="0.2">
      <c r="A14" s="126"/>
      <c r="B14" s="127"/>
      <c r="C14" s="131"/>
      <c r="D14" s="129"/>
      <c r="E14" s="128"/>
      <c r="F14" s="128"/>
      <c r="G14" s="128"/>
      <c r="H14" s="132"/>
      <c r="I14" s="130" t="str">
        <f t="shared" si="4"/>
        <v xml:space="preserve"> </v>
      </c>
      <c r="J14" s="112">
        <f t="shared" si="2"/>
        <v>0</v>
      </c>
      <c r="K14" s="112">
        <f t="shared" si="3"/>
        <v>0</v>
      </c>
    </row>
    <row r="15" spans="1:12" ht="15" customHeight="1" x14ac:dyDescent="0.2">
      <c r="A15" s="126"/>
      <c r="B15" s="127"/>
      <c r="C15" s="131"/>
      <c r="D15" s="129"/>
      <c r="E15" s="128"/>
      <c r="F15" s="128"/>
      <c r="G15" s="128"/>
      <c r="H15" s="132"/>
      <c r="I15" s="130" t="str">
        <f t="shared" si="4"/>
        <v xml:space="preserve"> </v>
      </c>
      <c r="J15" s="112">
        <f t="shared" si="2"/>
        <v>0</v>
      </c>
      <c r="K15" s="112">
        <f t="shared" si="3"/>
        <v>0</v>
      </c>
    </row>
    <row r="16" spans="1:12" ht="15" customHeight="1" x14ac:dyDescent="0.2">
      <c r="A16" s="126"/>
      <c r="B16" s="127"/>
      <c r="C16" s="131"/>
      <c r="D16" s="129"/>
      <c r="E16" s="128"/>
      <c r="F16" s="128"/>
      <c r="G16" s="128"/>
      <c r="H16" s="132"/>
      <c r="I16" s="130" t="str">
        <f t="shared" si="4"/>
        <v xml:space="preserve"> </v>
      </c>
      <c r="J16" s="112">
        <f t="shared" si="2"/>
        <v>0</v>
      </c>
      <c r="K16" s="112">
        <f t="shared" si="3"/>
        <v>0</v>
      </c>
    </row>
    <row r="17" spans="1:11" ht="15" customHeight="1" x14ac:dyDescent="0.2">
      <c r="A17" s="126"/>
      <c r="B17" s="127"/>
      <c r="C17" s="131"/>
      <c r="D17" s="129"/>
      <c r="E17" s="128"/>
      <c r="F17" s="128"/>
      <c r="G17" s="128"/>
      <c r="H17" s="132"/>
      <c r="I17" s="130" t="str">
        <f t="shared" ref="I17:I18" si="5">IFERROR((G17/K17)*H17," ")</f>
        <v xml:space="preserve"> </v>
      </c>
      <c r="J17" s="112">
        <f t="shared" ref="J17:J18" si="6">E17*D17</f>
        <v>0</v>
      </c>
      <c r="K17" s="112">
        <f t="shared" ref="K17:K18" si="7">E17/7</f>
        <v>0</v>
      </c>
    </row>
    <row r="18" spans="1:11" ht="15" customHeight="1" x14ac:dyDescent="0.2">
      <c r="A18" s="126"/>
      <c r="B18" s="127"/>
      <c r="C18" s="131"/>
      <c r="D18" s="129"/>
      <c r="E18" s="128"/>
      <c r="F18" s="128"/>
      <c r="G18" s="128"/>
      <c r="H18" s="132"/>
      <c r="I18" s="130" t="str">
        <f t="shared" si="5"/>
        <v xml:space="preserve"> </v>
      </c>
      <c r="J18" s="112">
        <f t="shared" si="6"/>
        <v>0</v>
      </c>
      <c r="K18" s="112">
        <f t="shared" si="7"/>
        <v>0</v>
      </c>
    </row>
    <row r="19" spans="1:11" ht="20.25" customHeight="1" x14ac:dyDescent="0.2">
      <c r="A19" s="126" t="s">
        <v>549</v>
      </c>
      <c r="B19" s="211" t="s">
        <v>615</v>
      </c>
      <c r="C19" s="212"/>
      <c r="D19" s="184">
        <f>IFERROR(SUM(D7:D18)," ")</f>
        <v>1284</v>
      </c>
      <c r="E19" s="133">
        <f>SUM(E7:E18)</f>
        <v>84</v>
      </c>
      <c r="F19" s="133">
        <f>SUM(F7:F18)+J22</f>
        <v>74.125</v>
      </c>
      <c r="G19" s="133">
        <f>SUM(G7:G18)</f>
        <v>59</v>
      </c>
      <c r="H19" s="133">
        <f>SUM(H7:H18)</f>
        <v>20</v>
      </c>
      <c r="I19" s="134">
        <f>SUM(I7:I18)</f>
        <v>62</v>
      </c>
    </row>
    <row r="20" spans="1:11" ht="33.75" customHeight="1" x14ac:dyDescent="0.2"/>
    <row r="22" spans="1:11" x14ac:dyDescent="0.2">
      <c r="A22" s="170"/>
      <c r="B22" s="213" t="str">
        <f>CONCATENATE("Gross 
Floor Area 
",IF(Setup!$F$9="SI Units","(sq m)","(sq ft)"))</f>
        <v>Gross 
Floor Area 
(sq ft)</v>
      </c>
      <c r="C22" s="214"/>
      <c r="D22" s="183">
        <f>IFERROR(D19," ")</f>
        <v>1284</v>
      </c>
      <c r="F22" s="135"/>
      <c r="G22" s="215" t="s">
        <v>616</v>
      </c>
      <c r="H22" s="216"/>
      <c r="J22" s="171">
        <f>(G24*H24)/8</f>
        <v>15.125</v>
      </c>
    </row>
    <row r="23" spans="1:11" ht="38.25" x14ac:dyDescent="0.2">
      <c r="A23" s="170"/>
      <c r="B23" s="208" t="s">
        <v>617</v>
      </c>
      <c r="C23" s="217"/>
      <c r="D23" s="199">
        <f>IFERROR(SUM(J7:J18)/D19," ")</f>
        <v>2.7624610591900312</v>
      </c>
      <c r="G23" s="136" t="s">
        <v>618</v>
      </c>
      <c r="H23" s="136" t="s">
        <v>619</v>
      </c>
    </row>
    <row r="24" spans="1:11" x14ac:dyDescent="0.2">
      <c r="A24" s="170"/>
      <c r="B24" s="208" t="s">
        <v>620</v>
      </c>
      <c r="C24" s="209"/>
      <c r="D24" s="137">
        <f>IFERROR((F19+I19)," ")</f>
        <v>136.125</v>
      </c>
      <c r="G24" s="138">
        <v>11</v>
      </c>
      <c r="H24" s="139">
        <v>11</v>
      </c>
    </row>
    <row r="25" spans="1:11" x14ac:dyDescent="0.2">
      <c r="C25" s="140"/>
      <c r="D25" s="140"/>
    </row>
  </sheetData>
  <mergeCells count="6">
    <mergeCell ref="B24:C24"/>
    <mergeCell ref="B4:I4"/>
    <mergeCell ref="B19:C19"/>
    <mergeCell ref="B22:C22"/>
    <mergeCell ref="G22:H22"/>
    <mergeCell ref="B23:C23"/>
  </mergeCells>
  <dataValidations count="8">
    <dataValidation type="whole" allowBlank="1" showInputMessage="1" showErrorMessage="1" errorTitle="Weekly Operating Hours" error="It can accepts integer values from 1 to 168." sqref="D23">
      <formula1>0</formula1>
      <formula2>168</formula2>
    </dataValidation>
    <dataValidation type="whole" allowBlank="1" showInputMessage="1" showErrorMessage="1" errorTitle="Gross floor area" error="It can accepts integer values from 0 to 5 million" sqref="D22">
      <formula1>0</formula1>
      <formula2>5000000</formula2>
    </dataValidation>
    <dataValidation type="decimal" operator="lessThanOrEqual" allowBlank="1" showInputMessage="1" showErrorMessage="1" sqref="D19 D7:D18">
      <formula1>20499999</formula1>
    </dataValidation>
    <dataValidation type="list" allowBlank="1" showInputMessage="1" sqref="C7:C18">
      <formula1>spacetype</formula1>
    </dataValidation>
    <dataValidation type="whole" allowBlank="1" showInputMessage="1" showErrorMessage="1" errorTitle="Operating Hours" error="Please enter valid number of hours_x000a_" sqref="E7:E18">
      <formula1>1</formula1>
      <formula2>168</formula2>
    </dataValidation>
    <dataValidation type="whole" allowBlank="1" showInputMessage="1" showErrorMessage="1" errorTitle="Regular Building Occupants" error="Integers are only allowed in this fields" sqref="F7:F18">
      <formula1>0</formula1>
      <formula2>99999999999999</formula2>
    </dataValidation>
    <dataValidation type="whole" allowBlank="1" showInputMessage="1" showErrorMessage="1" errorTitle="Visitors per Day" error="Integers are only allowed in this fields" sqref="G7:G18">
      <formula1>0</formula1>
      <formula2>99999999999999</formula2>
    </dataValidation>
    <dataValidation type="whole" allowBlank="1" showInputMessage="1" showErrorMessage="1" error="Please enter valid number of hours" sqref="H7:H18">
      <formula1>1</formula1>
      <formula2>24</formula2>
    </dataValidation>
  </dataValidations>
  <pageMargins left="0.25" right="0.25" top="0.75" bottom="0.75" header="0.3" footer="0.3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19</xdr:row>
                    <xdr:rowOff>142875</xdr:rowOff>
                  </from>
                  <to>
                    <xdr:col>1</xdr:col>
                    <xdr:colOff>1400175</xdr:colOff>
                    <xdr:row>19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19</xdr:row>
                    <xdr:rowOff>142875</xdr:rowOff>
                  </from>
                  <to>
                    <xdr:col>2</xdr:col>
                    <xdr:colOff>295275</xdr:colOff>
                    <xdr:row>19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11"/>
  <sheetViews>
    <sheetView workbookViewId="0"/>
  </sheetViews>
  <sheetFormatPr defaultColWidth="9.140625" defaultRowHeight="15" x14ac:dyDescent="0.25"/>
  <cols>
    <col min="1" max="1" width="2.710937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6" x14ac:dyDescent="0.25">
      <c r="A1" s="4" t="s">
        <v>601</v>
      </c>
      <c r="B1" s="1"/>
      <c r="C1" s="1"/>
      <c r="D1" s="1"/>
      <c r="E1" s="1"/>
    </row>
    <row r="2" spans="1:6" x14ac:dyDescent="0.25">
      <c r="A2" s="4" t="s">
        <v>601</v>
      </c>
      <c r="B2" s="220" t="s">
        <v>568</v>
      </c>
      <c r="C2" s="221"/>
      <c r="D2" s="35" t="s">
        <v>603</v>
      </c>
      <c r="E2" s="1"/>
    </row>
    <row r="3" spans="1:6" x14ac:dyDescent="0.25">
      <c r="A3" s="4" t="s">
        <v>601</v>
      </c>
      <c r="B3" s="218" t="s">
        <v>697</v>
      </c>
      <c r="C3" s="219"/>
      <c r="D3" s="35" t="s">
        <v>561</v>
      </c>
      <c r="E3" s="1"/>
    </row>
    <row r="4" spans="1:6" ht="15" customHeight="1" x14ac:dyDescent="0.25">
      <c r="A4" s="4" t="s">
        <v>601</v>
      </c>
      <c r="B4" s="20" t="s">
        <v>569</v>
      </c>
      <c r="C4" s="22"/>
      <c r="D4" s="35" t="s">
        <v>580</v>
      </c>
      <c r="E4" s="1"/>
    </row>
    <row r="5" spans="1:6" ht="20.45" customHeight="1" x14ac:dyDescent="0.25">
      <c r="A5" s="4"/>
      <c r="B5" s="162" t="s">
        <v>631</v>
      </c>
      <c r="C5" s="107"/>
      <c r="D5" s="161"/>
      <c r="E5" s="1"/>
    </row>
    <row r="6" spans="1:6" ht="48" customHeight="1" x14ac:dyDescent="0.25">
      <c r="A6" s="4">
        <v>11</v>
      </c>
      <c r="B6" s="3" t="s">
        <v>547</v>
      </c>
      <c r="C6" s="3" t="s">
        <v>548</v>
      </c>
      <c r="D6" s="3" t="str">
        <f>CONCATENATE("Average 95th Percentile 
CO2 Reading 
","(",D4,")")</f>
        <v>Average 95th Percentile 
CO2 Reading 
(ppm)</v>
      </c>
      <c r="E6" s="1"/>
      <c r="F6" s="39"/>
    </row>
    <row r="7" spans="1:6" x14ac:dyDescent="0.25">
      <c r="A7" s="40">
        <f>IFERROR(IF(D7="",1,0),1)</f>
        <v>0</v>
      </c>
      <c r="B7" s="55">
        <f>INDEX(Dates,1,E7)</f>
        <v>43343</v>
      </c>
      <c r="C7" s="55">
        <f t="shared" ref="C7" si="0">B7</f>
        <v>43343</v>
      </c>
      <c r="D7" s="56">
        <f>HLOOKUP(B7,ReadingTable,2,FALSE)</f>
        <v>100.11</v>
      </c>
      <c r="E7" s="71">
        <f>IF(E6="",7,E6+1)</f>
        <v>7</v>
      </c>
    </row>
    <row r="8" spans="1:6" x14ac:dyDescent="0.25">
      <c r="A8" s="40">
        <f t="shared" ref="A8" si="1">IFERROR(IF(D8="",1,0),1)</f>
        <v>0</v>
      </c>
      <c r="B8" s="55">
        <f>INDEX(Dates,1,E8)</f>
        <v>43313</v>
      </c>
      <c r="C8" s="55">
        <f t="shared" ref="C8" si="2">B8</f>
        <v>43313</v>
      </c>
      <c r="D8" s="56">
        <f>HLOOKUP(B8,ReadingTable,2,FALSE)</f>
        <v>50.11</v>
      </c>
      <c r="E8" s="71">
        <f t="shared" ref="E8" si="3">IF(E7="",7,E7+1)</f>
        <v>8</v>
      </c>
    </row>
    <row r="9" spans="1:6" x14ac:dyDescent="0.25">
      <c r="A9" s="4" t="s">
        <v>549</v>
      </c>
      <c r="B9" s="1"/>
      <c r="C9" s="1"/>
      <c r="D9" s="1"/>
      <c r="E9" s="1"/>
    </row>
    <row r="10" spans="1:6" x14ac:dyDescent="0.25">
      <c r="A10" s="4"/>
      <c r="B10" s="1"/>
      <c r="C10" s="1"/>
      <c r="D10" s="1"/>
      <c r="E10" s="1"/>
    </row>
    <row r="11" spans="1:6" ht="36.6" customHeight="1" x14ac:dyDescent="0.25">
      <c r="A11" s="4" t="s">
        <v>549</v>
      </c>
      <c r="B11" s="27"/>
      <c r="C11" s="27"/>
      <c r="D11" s="27"/>
      <c r="E11" s="1"/>
    </row>
  </sheetData>
  <sheetProtection algorithmName="SHA-512" hashValue="71dYrCsnwJueynOYdmDCI9yMhbaWBedxQpVxZJ0rnZ+RuRGwx4YaN6YLA4SCCjixSCMVbNkSyrVwvEFvra4n7g==" saltValue="f1E1ckYpKrSZW5RT1xXO3g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>
      <formula1>0</formula1>
      <formula2>99999</formula2>
    </dataValidation>
    <dataValidation type="date" allowBlank="1" showInputMessage="1" showErrorMessage="1" error="Please enter a valid date in mm/dd/yyyy format." sqref="B7:C8">
      <formula1>1</formula1>
      <formula2>73051</formula2>
    </dataValidation>
    <dataValidation type="decimal" allowBlank="1" showInputMessage="1" showErrorMessage="1" error="Please enter a valid reading." sqref="D7:D8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10</xdr:row>
                    <xdr:rowOff>9525</xdr:rowOff>
                  </from>
                  <to>
                    <xdr:col>2</xdr:col>
                    <xdr:colOff>447675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10</xdr:row>
                    <xdr:rowOff>409575</xdr:rowOff>
                  </from>
                  <to>
                    <xdr:col>3</xdr:col>
                    <xdr:colOff>981075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H24"/>
  <sheetViews>
    <sheetView showGridLines="0" zoomScale="90" zoomScaleNormal="90" zoomScalePageLayoutView="90" workbookViewId="0">
      <pane ySplit="2" topLeftCell="A3" activePane="bottomLeft" state="frozen"/>
      <selection activeCell="Y22" sqref="Y22"/>
      <selection pane="bottomLeft"/>
    </sheetView>
  </sheetViews>
  <sheetFormatPr defaultColWidth="14.7109375" defaultRowHeight="12.75" x14ac:dyDescent="0.25"/>
  <cols>
    <col min="1" max="1" width="4.28515625" style="41" customWidth="1"/>
    <col min="2" max="2" width="18.7109375" style="42" customWidth="1"/>
    <col min="3" max="16384" width="14.7109375" style="42"/>
  </cols>
  <sheetData>
    <row r="1" spans="1:8" ht="36" customHeight="1" x14ac:dyDescent="0.25">
      <c r="A1" s="41" t="s">
        <v>601</v>
      </c>
      <c r="B1" s="43" t="s">
        <v>629</v>
      </c>
    </row>
    <row r="2" spans="1:8" ht="33.75" customHeight="1" x14ac:dyDescent="0.25">
      <c r="A2" s="41" t="s">
        <v>601</v>
      </c>
      <c r="B2" s="44" t="s">
        <v>581</v>
      </c>
      <c r="C2" s="45" t="s">
        <v>705</v>
      </c>
      <c r="D2" s="46" t="s">
        <v>582</v>
      </c>
      <c r="E2" s="47" t="s">
        <v>583</v>
      </c>
      <c r="F2" s="48" t="s">
        <v>593</v>
      </c>
    </row>
    <row r="3" spans="1:8" x14ac:dyDescent="0.25">
      <c r="B3" s="78" t="s">
        <v>734</v>
      </c>
      <c r="C3" s="79">
        <v>223</v>
      </c>
      <c r="D3" s="99">
        <v>43343</v>
      </c>
      <c r="E3" s="105">
        <v>0.375</v>
      </c>
      <c r="F3" s="100">
        <v>100.11</v>
      </c>
    </row>
    <row r="4" spans="1:8" x14ac:dyDescent="0.25">
      <c r="B4" s="78" t="s">
        <v>735</v>
      </c>
      <c r="C4" s="79">
        <v>224</v>
      </c>
      <c r="D4" s="99">
        <v>43313</v>
      </c>
      <c r="E4" s="105">
        <v>0.41666666666666669</v>
      </c>
      <c r="F4" s="100">
        <v>50.11</v>
      </c>
    </row>
    <row r="5" spans="1:8" ht="39" customHeight="1" x14ac:dyDescent="0.25"/>
    <row r="6" spans="1:8" s="62" customFormat="1" ht="51" customHeight="1" x14ac:dyDescent="0.2">
      <c r="A6" s="41" t="s">
        <v>591</v>
      </c>
      <c r="B6" s="43" t="s">
        <v>585</v>
      </c>
      <c r="F6" s="63"/>
      <c r="G6" s="72">
        <f>IF(G8="",1,0)</f>
        <v>0</v>
      </c>
      <c r="H6" s="72">
        <f>IF(H8="",1,0)</f>
        <v>0</v>
      </c>
    </row>
    <row r="7" spans="1:8" ht="21" customHeight="1" x14ac:dyDescent="0.25">
      <c r="A7" s="41" t="s">
        <v>601</v>
      </c>
      <c r="B7" s="222" t="s">
        <v>581</v>
      </c>
      <c r="C7" s="64"/>
      <c r="D7" s="64"/>
      <c r="E7" s="64"/>
      <c r="F7" s="65"/>
      <c r="G7" s="50" t="s">
        <v>582</v>
      </c>
      <c r="H7" s="50" t="s">
        <v>582</v>
      </c>
    </row>
    <row r="8" spans="1:8" ht="15" customHeight="1" x14ac:dyDescent="0.25">
      <c r="A8" s="41" t="s">
        <v>601</v>
      </c>
      <c r="B8" s="223"/>
      <c r="C8" s="66"/>
      <c r="D8" s="66"/>
      <c r="E8" s="66"/>
      <c r="F8" s="67"/>
      <c r="G8" s="172">
        <f t="array" ref="G8">IFERROR(INDEX($D$3:$D$5, MATCH(0,IF(ISBLANK($D$3:$D$5),1,COUNTIF($F$8:F8, $D$3:$D$5)), 0)),"")</f>
        <v>43343</v>
      </c>
      <c r="H8" s="172">
        <f t="array" ref="H8">IFERROR(INDEX($D$3:$D$5, MATCH(0,IF(ISBLANK($D$3:$D$5),1,COUNTIF($F$8:G8, $D$3:$D$5)), 0)),"")</f>
        <v>43313</v>
      </c>
    </row>
    <row r="9" spans="1:8" ht="27.75" customHeight="1" x14ac:dyDescent="0.25">
      <c r="A9" s="41" t="s">
        <v>601</v>
      </c>
      <c r="B9" s="224"/>
      <c r="C9" s="68"/>
      <c r="D9" s="68"/>
      <c r="E9" s="68"/>
      <c r="F9" s="69"/>
      <c r="G9" s="74" t="s">
        <v>592</v>
      </c>
      <c r="H9" s="74" t="s">
        <v>592</v>
      </c>
    </row>
    <row r="10" spans="1:8" ht="15" customHeight="1" x14ac:dyDescent="0.25">
      <c r="A10" s="41">
        <f>IF(B10="",1,0)</f>
        <v>0</v>
      </c>
      <c r="B10" s="51" t="str">
        <f t="array" ref="B10">IFERROR(INDEX($B$3:$B$5, MATCH(0,IF(ISBLANK($B$3:$B$5),1,COUNTIF($B$9:B9, $B$3:$B$5)), 0)),"")</f>
        <v>Goa</v>
      </c>
      <c r="C10" s="52"/>
      <c r="D10" s="52"/>
      <c r="E10" s="52"/>
      <c r="F10" s="61"/>
      <c r="G10" s="101">
        <f t="array" ref="G10">IFERROR(PERCENTILE(IF($B$3:$B$5=$B10,IF($D$3:$D$5=G$8,IF($F$3:$F$5&lt;&gt;"",$F$3:$F$5))),0.95),"")</f>
        <v>100.11</v>
      </c>
      <c r="H10" s="101" t="str">
        <f t="array" ref="H10">IFERROR(PERCENTILE(IF($B$3:$B$5=$B10,IF($D$3:$D$5=H$8,IF($F$3:$F$5&lt;&gt;"",$F$3:$F$5))),0.95),"")</f>
        <v/>
      </c>
    </row>
    <row r="11" spans="1:8" ht="15" customHeight="1" x14ac:dyDescent="0.25">
      <c r="A11" s="41">
        <f t="shared" ref="A11" si="0">IF(B11="",1,0)</f>
        <v>0</v>
      </c>
      <c r="B11" s="51" t="str">
        <f t="array" ref="B11">IFERROR(INDEX($B$3:$B$5, MATCH(0,IF(ISBLANK($B$3:$B$5),1,COUNTIF($B$9:B10, $B$3:$B$5)), 0)),"")</f>
        <v>Hyd</v>
      </c>
      <c r="C11" s="52"/>
      <c r="D11" s="52"/>
      <c r="E11" s="52"/>
      <c r="F11" s="61"/>
      <c r="G11" s="101" t="str">
        <f t="array" ref="G11">IFERROR(PERCENTILE(IF($B$3:$B$5=$B11,IF($D$3:$D$5=G$8,IF($F$3:$F$5&lt;&gt;"",$F$3:$F$5))),0.95),"")</f>
        <v/>
      </c>
      <c r="H11" s="101">
        <f t="array" ref="H11">IFERROR(PERCENTILE(IF($B$3:$B$5=$B11,IF($D$3:$D$5=H$8,IF($F$3:$F$5&lt;&gt;"",$F$3:$F$5))),0.95),"")</f>
        <v>50.11</v>
      </c>
    </row>
    <row r="12" spans="1:8" ht="9" customHeight="1" x14ac:dyDescent="0.25">
      <c r="G12" s="102"/>
      <c r="H12" s="102"/>
    </row>
    <row r="13" spans="1:8" ht="9" customHeight="1" x14ac:dyDescent="0.25">
      <c r="A13" s="41" t="s">
        <v>549</v>
      </c>
      <c r="G13" s="102"/>
      <c r="H13" s="102"/>
    </row>
    <row r="14" spans="1:8" ht="15" hidden="1" customHeight="1" x14ac:dyDescent="0.25">
      <c r="G14" s="75">
        <f>G8</f>
        <v>43343</v>
      </c>
      <c r="H14" s="75">
        <f>H8</f>
        <v>43313</v>
      </c>
    </row>
    <row r="15" spans="1:8" ht="20.25" customHeight="1" x14ac:dyDescent="0.25">
      <c r="B15" s="58" t="s">
        <v>586</v>
      </c>
      <c r="C15" s="59"/>
      <c r="D15" s="59"/>
      <c r="E15" s="59"/>
      <c r="F15" s="60"/>
      <c r="G15" s="103">
        <f>IFERROR(AVERAGE(G10:G13),0)</f>
        <v>100.11</v>
      </c>
      <c r="H15" s="103">
        <f>IFERROR(AVERAGE(H10:H13),0)</f>
        <v>50.11</v>
      </c>
    </row>
    <row r="16" spans="1:8" ht="24.75" customHeight="1" x14ac:dyDescent="0.25"/>
    <row r="17" spans="1:5" ht="28.5" hidden="1" customHeight="1" x14ac:dyDescent="0.25">
      <c r="A17" s="41">
        <v>10</v>
      </c>
      <c r="B17" s="53" t="s">
        <v>587</v>
      </c>
      <c r="C17" s="53" t="s">
        <v>588</v>
      </c>
      <c r="D17" s="53" t="s">
        <v>589</v>
      </c>
      <c r="E17" s="70"/>
    </row>
    <row r="18" spans="1:5" ht="15" hidden="1" customHeight="1" x14ac:dyDescent="0.25">
      <c r="A18" s="40">
        <f>IFERROR(IF(D18="",1,0),1)</f>
        <v>0</v>
      </c>
      <c r="B18" s="55">
        <f>INDEX(Dates,1,E18)</f>
        <v>43343</v>
      </c>
      <c r="C18" s="55">
        <f t="shared" ref="C18" si="1">B18</f>
        <v>43343</v>
      </c>
      <c r="D18" s="56">
        <f>HLOOKUP(B18,ReadingTable,2,FALSE)</f>
        <v>100.11</v>
      </c>
      <c r="E18" s="71">
        <f>IF(E17="",7,E17+1)</f>
        <v>7</v>
      </c>
    </row>
    <row r="19" spans="1:5" hidden="1" x14ac:dyDescent="0.25"/>
    <row r="20" spans="1:5" ht="24" hidden="1" x14ac:dyDescent="0.25">
      <c r="B20" s="54" t="s">
        <v>584</v>
      </c>
      <c r="C20" s="54" t="s">
        <v>590</v>
      </c>
    </row>
    <row r="21" spans="1:5" hidden="1" x14ac:dyDescent="0.25">
      <c r="B21" s="57">
        <f t="array" ref="B21">SUM(IF($D$3:$D$5&lt;&gt;"",1/COUNTIF($D$3:$D$5, $D$3:$D$5), 0))</f>
        <v>2</v>
      </c>
      <c r="C21" s="57">
        <f t="array" ref="C21">SUM(IF($B$3:$B$5&lt;&gt;"",1/COUNTIF($B$3:$B$5, $B$3:$B$5), 0))</f>
        <v>2</v>
      </c>
    </row>
    <row r="22" spans="1:5" hidden="1" x14ac:dyDescent="0.25"/>
    <row r="23" spans="1:5" ht="25.5" hidden="1" x14ac:dyDescent="0.25">
      <c r="B23" s="53" t="s">
        <v>595</v>
      </c>
    </row>
    <row r="24" spans="1:5" ht="15" hidden="1" x14ac:dyDescent="0.25">
      <c r="A24" s="4"/>
      <c r="B24" s="38"/>
      <c r="C24" s="38"/>
      <c r="D24" s="73"/>
      <c r="E24" s="1"/>
    </row>
  </sheetData>
  <sheetProtection algorithmName="SHA-512" hashValue="0ATSsgFQJcLZVFhD5VdXCLjVp25x1NtWwUSYkXDks3q2Epjh0/vCkkTSdkaRUDfa8VKvuPDSCD5DGSlKZDXQVQ==" saltValue="DXtXTyJr9d6hmKMTrUKvdQ==" spinCount="100000" sheet="1" objects="1" scenarios="1"/>
  <autoFilter ref="B2:F4"/>
  <mergeCells count="1">
    <mergeCell ref="B7:B9"/>
  </mergeCells>
  <dataValidations count="4">
    <dataValidation type="decimal" allowBlank="1" showInputMessage="1" showErrorMessage="1" error="Please enter a valid reading." sqref="D24">
      <formula1>0</formula1>
      <formula2>99999999</formula2>
    </dataValidation>
    <dataValidation type="date" allowBlank="1" showInputMessage="1" showErrorMessage="1" error="Please enter a valid date in mm/dd/yyyy format." sqref="B24:C24">
      <formula1>1</formula1>
      <formula2>73051</formula2>
    </dataValidation>
    <dataValidation type="date" allowBlank="1" showInputMessage="1" showErrorMessage="1" error="Please enter a valid date in mm/dd/yyyy format." sqref="D3:D4">
      <formula1>1</formula1>
      <formula2>2958464</formula2>
    </dataValidation>
    <dataValidation type="time" allowBlank="1" showInputMessage="1" showErrorMessage="1" error="Please enter a valid time in hh:mm format." sqref="E3:E4">
      <formula1>0</formula1>
      <formula2>0.999988425925926</formula2>
    </dataValidation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3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5</xdr:row>
                    <xdr:rowOff>190500</xdr:rowOff>
                  </from>
                  <to>
                    <xdr:col>2</xdr:col>
                    <xdr:colOff>885825</xdr:colOff>
                    <xdr:row>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4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5" name="Button 29">
              <controlPr defaultSize="0" print="0" autoFill="0" autoPict="0" macro="[0]!DeleteRowRAW">
                <anchor moveWithCells="1">
                  <from>
                    <xdr:col>2</xdr:col>
                    <xdr:colOff>219075</xdr:colOff>
                    <xdr:row>4</xdr:row>
                    <xdr:rowOff>142875</xdr:rowOff>
                  </from>
                  <to>
                    <xdr:col>3</xdr:col>
                    <xdr:colOff>600075</xdr:colOff>
                    <xdr:row>4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E10"/>
  <sheetViews>
    <sheetView workbookViewId="0">
      <selection activeCell="D21" sqref="D21"/>
    </sheetView>
  </sheetViews>
  <sheetFormatPr defaultColWidth="9.140625" defaultRowHeight="15" x14ac:dyDescent="0.25"/>
  <cols>
    <col min="1" max="1" width="2.4257812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5" x14ac:dyDescent="0.25">
      <c r="A1" s="4" t="s">
        <v>601</v>
      </c>
      <c r="B1" s="1"/>
      <c r="C1" s="1"/>
      <c r="D1" s="1"/>
      <c r="E1" s="1"/>
    </row>
    <row r="2" spans="1:5" x14ac:dyDescent="0.25">
      <c r="A2" s="4" t="s">
        <v>601</v>
      </c>
      <c r="B2" s="220" t="s">
        <v>568</v>
      </c>
      <c r="C2" s="221"/>
      <c r="D2" s="34" t="s">
        <v>626</v>
      </c>
      <c r="E2" s="1"/>
    </row>
    <row r="3" spans="1:5" x14ac:dyDescent="0.25">
      <c r="A3" s="4" t="s">
        <v>601</v>
      </c>
      <c r="B3" s="218" t="s">
        <v>697</v>
      </c>
      <c r="C3" s="219"/>
      <c r="D3" s="34" t="s">
        <v>627</v>
      </c>
      <c r="E3" s="1"/>
    </row>
    <row r="4" spans="1:5" x14ac:dyDescent="0.25">
      <c r="A4" s="4" t="s">
        <v>601</v>
      </c>
      <c r="B4" s="20" t="s">
        <v>569</v>
      </c>
      <c r="C4" s="22"/>
      <c r="D4" s="34" t="s">
        <v>602</v>
      </c>
      <c r="E4" s="1"/>
    </row>
    <row r="5" spans="1:5" ht="20.45" customHeight="1" x14ac:dyDescent="0.25">
      <c r="A5" s="4"/>
      <c r="B5" s="162" t="s">
        <v>632</v>
      </c>
      <c r="C5" s="107"/>
      <c r="D5" s="161"/>
      <c r="E5" s="1"/>
    </row>
    <row r="6" spans="1:5" ht="33.75" customHeight="1" x14ac:dyDescent="0.25">
      <c r="A6" s="4">
        <v>12</v>
      </c>
      <c r="B6" s="3" t="s">
        <v>547</v>
      </c>
      <c r="C6" s="3" t="s">
        <v>548</v>
      </c>
      <c r="D6" s="3" t="str">
        <f>CONCATENATE("Highest TVOC Reading 
","(",D4,")")</f>
        <v>Highest TVOC Reading 
(ug/m3)</v>
      </c>
      <c r="E6" s="1"/>
    </row>
    <row r="7" spans="1:5" ht="15" customHeight="1" x14ac:dyDescent="0.25">
      <c r="A7" s="40">
        <f>IFERROR(IF(D7="",1,0),1)</f>
        <v>0</v>
      </c>
      <c r="B7" s="55">
        <f>INDEX(DatesVOC,1,E7)</f>
        <v>43374</v>
      </c>
      <c r="C7" s="55">
        <f t="shared" ref="C7" si="0">B7</f>
        <v>43374</v>
      </c>
      <c r="D7" s="197">
        <f t="array" ref="D7">HLOOKUP(B7,ReadingTableVOC,2,FALSE)</f>
        <v>100.11</v>
      </c>
      <c r="E7" s="71">
        <f>IF(E6="",8,E6+1)</f>
        <v>8</v>
      </c>
    </row>
    <row r="8" spans="1:5" ht="15" customHeight="1" x14ac:dyDescent="0.25">
      <c r="A8" s="4" t="s">
        <v>549</v>
      </c>
      <c r="B8" s="37"/>
      <c r="C8" s="37"/>
      <c r="D8" s="37"/>
      <c r="E8" s="1"/>
    </row>
    <row r="9" spans="1:5" ht="15" hidden="1" customHeight="1" x14ac:dyDescent="0.25">
      <c r="A9" s="4"/>
      <c r="B9" s="37"/>
      <c r="C9" s="37"/>
      <c r="D9" s="37"/>
      <c r="E9" s="1"/>
    </row>
    <row r="10" spans="1:5" ht="33.6" customHeight="1" x14ac:dyDescent="0.25">
      <c r="A10" s="4" t="s">
        <v>549</v>
      </c>
      <c r="B10" s="37"/>
      <c r="C10" s="37"/>
      <c r="D10" s="37"/>
      <c r="E10" s="1"/>
    </row>
  </sheetData>
  <sheetProtection algorithmName="SHA-512" hashValue="mWwfOjpMW/ug61eSmsaPka+hCUPmigbnnXXNG6l3+WyBDH2AcInpLpx5/JRCEYIMp5Bnwo9DENBzn5FbZFqovA==" saltValue="K5SBZNAx/V8MiTF1a1kiOA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8:D10"/>
    <dataValidation type="decimal" allowBlank="1" showInputMessage="1" showErrorMessage="1" error="Please enter a valid reading." sqref="D7">
      <formula1>0</formula1>
      <formula2>99999999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3" name="Button 3">
              <controlPr defaultSize="0" print="0" autoFill="0" autoPict="0" macro="[0]!refreshColVOC">
                <anchor moveWithCells="1">
                  <from>
                    <xdr:col>1</xdr:col>
                    <xdr:colOff>28575</xdr:colOff>
                    <xdr:row>9</xdr:row>
                    <xdr:rowOff>28575</xdr:rowOff>
                  </from>
                  <to>
                    <xdr:col>2</xdr:col>
                    <xdr:colOff>466725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4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9</xdr:row>
                    <xdr:rowOff>352425</xdr:rowOff>
                  </from>
                  <to>
                    <xdr:col>3</xdr:col>
                    <xdr:colOff>990600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H21"/>
  <sheetViews>
    <sheetView showGridLines="0" zoomScale="90" zoomScaleNormal="90" zoomScalePageLayoutView="90" workbookViewId="0">
      <pane ySplit="2" topLeftCell="A3" activePane="bottomLeft" state="frozen"/>
      <selection activeCell="Y22" sqref="Y22"/>
      <selection pane="bottomLeft"/>
    </sheetView>
  </sheetViews>
  <sheetFormatPr defaultColWidth="14.7109375" defaultRowHeight="12.75" x14ac:dyDescent="0.25"/>
  <cols>
    <col min="1" max="1" width="4.28515625" style="41" customWidth="1"/>
    <col min="2" max="2" width="18.7109375" style="42" customWidth="1"/>
    <col min="3" max="16384" width="14.7109375" style="42"/>
  </cols>
  <sheetData>
    <row r="1" spans="1:8" ht="36" customHeight="1" x14ac:dyDescent="0.25">
      <c r="A1" s="41" t="s">
        <v>601</v>
      </c>
      <c r="B1" s="43" t="s">
        <v>630</v>
      </c>
    </row>
    <row r="2" spans="1:8" ht="33.75" customHeight="1" x14ac:dyDescent="0.25">
      <c r="A2" s="41" t="s">
        <v>601</v>
      </c>
      <c r="B2" s="44" t="s">
        <v>581</v>
      </c>
      <c r="C2" s="45" t="s">
        <v>705</v>
      </c>
      <c r="D2" s="46" t="s">
        <v>582</v>
      </c>
      <c r="E2" s="47" t="s">
        <v>596</v>
      </c>
      <c r="F2" s="76" t="s">
        <v>597</v>
      </c>
      <c r="G2" s="48" t="s">
        <v>600</v>
      </c>
    </row>
    <row r="3" spans="1:8" x14ac:dyDescent="0.25">
      <c r="B3" s="78" t="s">
        <v>734</v>
      </c>
      <c r="C3" s="79">
        <v>223</v>
      </c>
      <c r="D3" s="99">
        <v>43374</v>
      </c>
      <c r="E3" s="105">
        <v>0.375</v>
      </c>
      <c r="F3" s="106">
        <v>0.5</v>
      </c>
      <c r="G3" s="100">
        <v>100.11</v>
      </c>
    </row>
    <row r="4" spans="1:8" x14ac:dyDescent="0.25">
      <c r="B4" s="78"/>
      <c r="C4" s="79"/>
      <c r="D4" s="99"/>
      <c r="E4" s="105"/>
      <c r="F4" s="106"/>
      <c r="G4" s="100"/>
      <c r="H4" s="49"/>
    </row>
    <row r="5" spans="1:8" ht="39" customHeight="1" x14ac:dyDescent="0.25"/>
    <row r="6" spans="1:8" s="62" customFormat="1" ht="51" customHeight="1" x14ac:dyDescent="0.2">
      <c r="A6" s="41" t="s">
        <v>591</v>
      </c>
      <c r="B6" s="43" t="s">
        <v>585</v>
      </c>
      <c r="G6" s="63"/>
      <c r="H6" s="72">
        <f>IF(H8="",1,0)</f>
        <v>0</v>
      </c>
    </row>
    <row r="7" spans="1:8" ht="21" customHeight="1" x14ac:dyDescent="0.25">
      <c r="A7" s="41" t="s">
        <v>601</v>
      </c>
      <c r="B7" s="222" t="s">
        <v>581</v>
      </c>
      <c r="C7" s="64"/>
      <c r="D7" s="64"/>
      <c r="E7" s="64"/>
      <c r="F7" s="64"/>
      <c r="G7" s="65"/>
      <c r="H7" s="50" t="s">
        <v>582</v>
      </c>
    </row>
    <row r="8" spans="1:8" ht="15" customHeight="1" x14ac:dyDescent="0.25">
      <c r="A8" s="41" t="s">
        <v>601</v>
      </c>
      <c r="B8" s="223"/>
      <c r="C8" s="66"/>
      <c r="D8" s="66"/>
      <c r="E8" s="66"/>
      <c r="F8" s="66"/>
      <c r="G8" s="67"/>
      <c r="H8" s="172">
        <f t="array" ref="H8">IFERROR(INDEX($D$3:$D$5, MATCH(0,IF(ISBLANK($D$3:$D$5),1,COUNTIF($G$8:G8, $D$3:$D$5)), 0)),"")</f>
        <v>43374</v>
      </c>
    </row>
    <row r="9" spans="1:8" ht="27.75" customHeight="1" x14ac:dyDescent="0.25">
      <c r="A9" s="41" t="s">
        <v>601</v>
      </c>
      <c r="B9" s="224"/>
      <c r="C9" s="68"/>
      <c r="D9" s="68"/>
      <c r="E9" s="68"/>
      <c r="F9" s="68"/>
      <c r="G9" s="69"/>
      <c r="H9" s="77" t="s">
        <v>598</v>
      </c>
    </row>
    <row r="10" spans="1:8" ht="15" customHeight="1" x14ac:dyDescent="0.25">
      <c r="A10" s="41">
        <f>IF(B10="",1,0)</f>
        <v>0</v>
      </c>
      <c r="B10" s="51" t="str">
        <f t="array" ref="B10">IFERROR(INDEX($B$3:$B$5, MATCH(0,IF(ISBLANK($B$3:$B$5),1,COUNTIF($B$9:B9, $B$3:$B$5)), 0)),"")</f>
        <v>Goa</v>
      </c>
      <c r="C10" s="52"/>
      <c r="D10" s="52"/>
      <c r="E10" s="52"/>
      <c r="F10" s="52"/>
      <c r="G10" s="61"/>
      <c r="H10" s="101">
        <f t="array" ref="H10">IFERROR(AVERAGE(IF($B$3:$B$5=$B10,IF($D$3:$D$5=H$8,IF($G$3:$G$5&lt;&gt;"",$G$3:$G$5)))),"")</f>
        <v>100.11</v>
      </c>
    </row>
    <row r="11" spans="1:8" ht="9" customHeight="1" x14ac:dyDescent="0.25">
      <c r="H11" s="102"/>
    </row>
    <row r="12" spans="1:8" ht="9" customHeight="1" x14ac:dyDescent="0.25">
      <c r="A12" s="41" t="s">
        <v>549</v>
      </c>
      <c r="H12" s="102"/>
    </row>
    <row r="13" spans="1:8" ht="15" hidden="1" customHeight="1" x14ac:dyDescent="0.25">
      <c r="H13" s="104">
        <f>H8</f>
        <v>43374</v>
      </c>
    </row>
    <row r="14" spans="1:8" ht="20.25" customHeight="1" x14ac:dyDescent="0.25">
      <c r="B14" s="58" t="s">
        <v>599</v>
      </c>
      <c r="C14" s="59"/>
      <c r="D14" s="59"/>
      <c r="E14" s="59"/>
      <c r="F14" s="59"/>
      <c r="G14" s="60"/>
      <c r="H14" s="103">
        <f>IFERROR(MAX(H10:H12),0)</f>
        <v>100.11</v>
      </c>
    </row>
    <row r="15" spans="1:8" ht="24.75" customHeight="1" x14ac:dyDescent="0.25"/>
    <row r="16" spans="1:8" ht="28.5" hidden="1" customHeight="1" x14ac:dyDescent="0.25">
      <c r="A16" s="41">
        <v>10</v>
      </c>
      <c r="B16" s="53" t="s">
        <v>587</v>
      </c>
      <c r="C16" s="53" t="s">
        <v>588</v>
      </c>
      <c r="D16" s="53" t="s">
        <v>594</v>
      </c>
      <c r="E16" s="70"/>
      <c r="F16" s="70"/>
    </row>
    <row r="17" spans="1:6" ht="15" hidden="1" customHeight="1" x14ac:dyDescent="0.25">
      <c r="A17" s="40">
        <f>IFERROR(IF(D17="",1,0),1)</f>
        <v>0</v>
      </c>
      <c r="B17" s="55">
        <f>INDEX(DatesVOC,1,E17)</f>
        <v>43374</v>
      </c>
      <c r="C17" s="55">
        <f t="shared" ref="C17" si="0">B17</f>
        <v>43374</v>
      </c>
      <c r="D17" s="56">
        <f t="array" ref="D17">HLOOKUP(B17,ReadingTableVOC,2,FALSE)</f>
        <v>100.11</v>
      </c>
      <c r="E17" s="71">
        <f>IF(E16="",8,E16+1)</f>
        <v>8</v>
      </c>
      <c r="F17" s="71"/>
    </row>
    <row r="18" spans="1:6" hidden="1" x14ac:dyDescent="0.25"/>
    <row r="19" spans="1:6" ht="24" hidden="1" x14ac:dyDescent="0.25">
      <c r="B19" s="54" t="s">
        <v>584</v>
      </c>
      <c r="C19" s="54" t="s">
        <v>590</v>
      </c>
    </row>
    <row r="20" spans="1:6" hidden="1" x14ac:dyDescent="0.25">
      <c r="B20" s="57">
        <f t="array" ref="B20">SUM(IF($D$3:$D$5&lt;&gt;"",1/COUNTIF($D$3:$D$5, $D$3:$D$5), 0))</f>
        <v>1</v>
      </c>
      <c r="C20" s="57">
        <f t="array" ref="C20">SUM(IF($B$3:$B$5&lt;&gt;"",1/COUNTIF($B$3:$B$5, $B$3:$B$5), 0))</f>
        <v>1</v>
      </c>
    </row>
    <row r="21" spans="1:6" hidden="1" x14ac:dyDescent="0.25"/>
  </sheetData>
  <sheetProtection algorithmName="SHA-512" hashValue="Hz8wA7sVIi6J8Dvi0eKDq5+XiI4yl/UuVv61tRVdAgbhgXeE4J6hxmpyCstiZ05CMqKuYtVXXt0g+OjX9HvFsA==" saltValue="M02bBuditlx61p9vuEx+OA==" spinCount="100000" sheet="1" objects="1" scenarios="1"/>
  <autoFilter ref="B2:G4"/>
  <mergeCells count="1">
    <mergeCell ref="B7:B9"/>
  </mergeCells>
  <dataValidations count="3">
    <dataValidation type="date" allowBlank="1" showInputMessage="1" showErrorMessage="1" error="Please enter a valid date in mm/dd/yyyy format." sqref="D3:D4">
      <formula1>1</formula1>
      <formula2>2958464</formula2>
    </dataValidation>
    <dataValidation type="time" allowBlank="1" showInputMessage="1" showErrorMessage="1" error=" Please enter a valid time  in hr:mm format." sqref="E3:E4">
      <formula1>0</formula1>
      <formula2>0.999988425925926</formula2>
    </dataValidation>
    <dataValidation type="time" allowBlank="1" showInputMessage="1" showErrorMessage="1" error="Please enter a valid time in hr:mm format." sqref="F3:F4">
      <formula1>0</formula1>
      <formula2>0.999988425925926</formula2>
    </dataValidation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5</xdr:row>
                    <xdr:rowOff>190500</xdr:rowOff>
                  </from>
                  <to>
                    <xdr:col>2</xdr:col>
                    <xdr:colOff>885825</xdr:colOff>
                    <xdr:row>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Button 3">
              <controlPr defaultSize="0" print="0" autoFill="0" autoPict="0" macro="[0]!DeleteRowRAW">
                <anchor moveWithCells="1">
                  <from>
                    <xdr:col>2</xdr:col>
                    <xdr:colOff>219075</xdr:colOff>
                    <xdr:row>4</xdr:row>
                    <xdr:rowOff>142875</xdr:rowOff>
                  </from>
                  <to>
                    <xdr:col>3</xdr:col>
                    <xdr:colOff>600075</xdr:colOff>
                    <xdr:row>4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14"/>
  <sheetViews>
    <sheetView workbookViewId="0">
      <pane xSplit="1" ySplit="6" topLeftCell="B7" activePane="bottomRight" state="frozen"/>
      <selection activeCell="Y22" sqref="Y22"/>
      <selection pane="topRight" activeCell="Y22" sqref="Y22"/>
      <selection pane="bottomLeft" activeCell="Y22" sqref="Y22"/>
      <selection pane="bottomRight" activeCell="D14" sqref="D14"/>
    </sheetView>
  </sheetViews>
  <sheetFormatPr defaultColWidth="9.140625" defaultRowHeight="15" x14ac:dyDescent="0.25"/>
  <cols>
    <col min="1" max="1" width="2.42578125" style="6" customWidth="1"/>
    <col min="2" max="5" width="20.7109375" style="2" customWidth="1"/>
    <col min="6" max="6" width="3.7109375" style="2" customWidth="1"/>
    <col min="7" max="10" width="9.140625" style="2" hidden="1" customWidth="1"/>
    <col min="11" max="13" width="0" style="2" hidden="1" customWidth="1"/>
    <col min="14" max="16384" width="9.140625" style="2"/>
  </cols>
  <sheetData>
    <row r="1" spans="1:9" x14ac:dyDescent="0.25">
      <c r="A1" s="4" t="s">
        <v>601</v>
      </c>
      <c r="B1" s="1"/>
      <c r="C1" s="1"/>
      <c r="D1" s="1"/>
      <c r="E1" s="1"/>
      <c r="F1" s="1"/>
    </row>
    <row r="2" spans="1:9" x14ac:dyDescent="0.25">
      <c r="A2" s="4" t="s">
        <v>601</v>
      </c>
      <c r="B2" s="220" t="s">
        <v>568</v>
      </c>
      <c r="C2" s="225"/>
      <c r="D2" s="221"/>
      <c r="E2" s="36" t="s">
        <v>575</v>
      </c>
      <c r="F2" s="1"/>
    </row>
    <row r="3" spans="1:9" ht="15" customHeight="1" x14ac:dyDescent="0.25">
      <c r="A3" s="4" t="s">
        <v>601</v>
      </c>
      <c r="B3" s="218" t="s">
        <v>697</v>
      </c>
      <c r="C3" s="226"/>
      <c r="D3" s="219"/>
      <c r="E3" s="36" t="s">
        <v>559</v>
      </c>
      <c r="F3" s="1"/>
    </row>
    <row r="4" spans="1:9" ht="14.25" customHeight="1" x14ac:dyDescent="0.25">
      <c r="A4" s="4" t="s">
        <v>601</v>
      </c>
      <c r="B4" s="20" t="s">
        <v>569</v>
      </c>
      <c r="C4" s="21"/>
      <c r="D4" s="22"/>
      <c r="E4" s="23" t="s">
        <v>563</v>
      </c>
      <c r="F4" s="1"/>
    </row>
    <row r="5" spans="1:9" x14ac:dyDescent="0.25">
      <c r="A5" s="4" t="s">
        <v>601</v>
      </c>
      <c r="B5" s="1"/>
      <c r="C5" s="1"/>
      <c r="D5" s="1"/>
      <c r="E5" s="1"/>
      <c r="F5" s="1"/>
    </row>
    <row r="6" spans="1:9" ht="25.5" x14ac:dyDescent="0.25">
      <c r="A6" s="4">
        <v>10</v>
      </c>
      <c r="B6" s="3" t="s">
        <v>547</v>
      </c>
      <c r="C6" s="3" t="s">
        <v>548</v>
      </c>
      <c r="D6" s="3" t="str">
        <f>CONCATENATE("Total Waste 
","(",E4,")")</f>
        <v>Total Waste 
(lbs)</v>
      </c>
      <c r="E6" s="3" t="str">
        <f>CONCATENATE("Diverted 
","(",E4,")")</f>
        <v>Diverted 
(lbs)</v>
      </c>
      <c r="F6" s="1"/>
    </row>
    <row r="7" spans="1:9" x14ac:dyDescent="0.25">
      <c r="A7" s="4"/>
      <c r="B7" s="38">
        <v>43435</v>
      </c>
      <c r="C7" s="38">
        <v>43496</v>
      </c>
      <c r="D7" s="24">
        <v>111</v>
      </c>
      <c r="E7" s="24">
        <v>99</v>
      </c>
      <c r="F7" s="1"/>
    </row>
    <row r="8" spans="1:9" x14ac:dyDescent="0.25">
      <c r="A8" s="4"/>
      <c r="B8" s="26"/>
      <c r="C8" s="26"/>
      <c r="D8" s="29"/>
      <c r="E8" s="30"/>
      <c r="F8" s="1"/>
    </row>
    <row r="9" spans="1:9" hidden="1" x14ac:dyDescent="0.25">
      <c r="A9" s="5">
        <v>0</v>
      </c>
      <c r="B9" s="28"/>
      <c r="C9" s="28"/>
      <c r="D9" s="31"/>
      <c r="E9" s="32"/>
      <c r="F9" s="1"/>
    </row>
    <row r="10" spans="1:9" ht="25.5" customHeight="1" x14ac:dyDescent="0.25">
      <c r="A10" s="4" t="s">
        <v>549</v>
      </c>
      <c r="B10" s="27"/>
      <c r="C10" s="27"/>
      <c r="D10" s="27"/>
      <c r="E10" s="33"/>
      <c r="F10" s="1"/>
    </row>
    <row r="12" spans="1:9" x14ac:dyDescent="0.25">
      <c r="I12" s="2" t="s">
        <v>563</v>
      </c>
    </row>
    <row r="13" spans="1:9" x14ac:dyDescent="0.25">
      <c r="I13" s="2" t="s">
        <v>558</v>
      </c>
    </row>
    <row r="14" spans="1:9" x14ac:dyDescent="0.25">
      <c r="I14" s="2" t="s">
        <v>543</v>
      </c>
    </row>
  </sheetData>
  <sheetProtection algorithmName="SHA-512" hashValue="D9B1wyPB+UsM+JkyzuQn+Vw425nF7EY5EEYJocoiDWx8uksJBCHpY/PjdcRfUM+ZrX2DniSChzSaTqI18qpudw==" saltValue="q2kwj/jlrRlWdFC8pR7dmA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>
      <formula1>newWaUnit</formula1>
    </dataValidation>
    <dataValidation allowBlank="1" showInputMessage="1" showErrorMessage="1" error="Please enter a valid date in mm/dd/yyyy format." sqref="B8:D10"/>
    <dataValidation type="date" allowBlank="1" showInputMessage="1" showErrorMessage="1" error="Please enter a valid date in mm/dd/yyyy format." sqref="B7:C7">
      <formula1>1</formula1>
      <formula2>54789</formula2>
    </dataValidation>
    <dataValidation type="decimal" allowBlank="1" showInputMessage="1" showErrorMessage="1" error="Please enter a valid reading." sqref="D7:E7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Button7_Click">
                <anchor moveWithCells="1">
                  <from>
                    <xdr:col>1</xdr:col>
                    <xdr:colOff>142875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Button13_Click">
                <anchor moveWithCells="1">
                  <from>
                    <xdr:col>2</xdr:col>
                    <xdr:colOff>142875</xdr:colOff>
                    <xdr:row>8</xdr:row>
                    <xdr:rowOff>0</xdr:rowOff>
                  </from>
                  <to>
                    <xdr:col>3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X37"/>
  <sheetViews>
    <sheetView workbookViewId="0">
      <pane xSplit="1" ySplit="6" topLeftCell="B7" activePane="bottomRight" state="frozen"/>
      <selection activeCell="Y22" sqref="Y22"/>
      <selection pane="topRight" activeCell="Y22" sqref="Y22"/>
      <selection pane="bottomLeft" activeCell="Y22" sqref="Y22"/>
      <selection pane="bottomRight" activeCell="B7" sqref="B7:D7"/>
    </sheetView>
  </sheetViews>
  <sheetFormatPr defaultColWidth="9.140625" defaultRowHeight="15" x14ac:dyDescent="0.25"/>
  <cols>
    <col min="1" max="1" width="2.42578125" style="6" customWidth="1"/>
    <col min="2" max="2" width="20.7109375" style="2" customWidth="1"/>
    <col min="3" max="3" width="20.42578125" style="2" customWidth="1"/>
    <col min="4" max="4" width="45.140625" style="2" customWidth="1"/>
    <col min="5" max="5" width="5.7109375" style="2" customWidth="1"/>
    <col min="6" max="6" width="26.28515625" style="2" hidden="1" customWidth="1"/>
    <col min="7" max="7" width="43.140625" style="2" hidden="1" customWidth="1"/>
    <col min="8" max="8" width="46.140625" style="2" hidden="1" customWidth="1"/>
    <col min="9" max="9" width="40.42578125" style="2" hidden="1" customWidth="1"/>
    <col min="10" max="10" width="31.28515625" style="2" hidden="1" customWidth="1"/>
    <col min="11" max="11" width="27.85546875" style="2" hidden="1" customWidth="1"/>
    <col min="12" max="12" width="26.140625" style="2" hidden="1" customWidth="1"/>
    <col min="13" max="13" width="31.140625" style="2" hidden="1" customWidth="1"/>
    <col min="14" max="14" width="29.85546875" style="2" hidden="1" customWidth="1"/>
    <col min="15" max="15" width="29" style="2" hidden="1" customWidth="1"/>
    <col min="16" max="16" width="32.28515625" style="2" hidden="1" customWidth="1"/>
    <col min="17" max="17" width="22.7109375" style="2" hidden="1" customWidth="1"/>
    <col min="18" max="18" width="17.42578125" style="2" hidden="1" customWidth="1"/>
    <col min="19" max="19" width="20.140625" style="2" hidden="1" customWidth="1"/>
    <col min="20" max="20" width="15" style="2" hidden="1" customWidth="1"/>
    <col min="21" max="22" width="20.42578125" style="2" hidden="1" customWidth="1"/>
    <col min="23" max="32" width="19.42578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Carbon Monoxide</v>
      </c>
      <c r="C1" s="1"/>
      <c r="D1" s="4" t="str">
        <f ca="1">B1</f>
        <v>Carbon Monoxide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5" t="s">
        <v>706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77" t="s">
        <v>707</v>
      </c>
      <c r="E3" s="1"/>
    </row>
    <row r="4" spans="1:24" ht="15.75" hidden="1" customHeight="1" x14ac:dyDescent="0.25">
      <c r="A4" s="4"/>
      <c r="B4" s="173"/>
      <c r="C4" s="9"/>
      <c r="D4" s="17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(mg/m3)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  <c r="H7" s="2" t="s">
        <v>580</v>
      </c>
    </row>
    <row r="8" spans="1:24" x14ac:dyDescent="0.25">
      <c r="A8" s="4"/>
      <c r="B8" s="26"/>
      <c r="C8" s="26"/>
      <c r="D8" s="29"/>
      <c r="E8" s="1"/>
      <c r="H8" s="2" t="s">
        <v>707</v>
      </c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YdI2i7UEyM4B2OnI5uZElhHN0u8Rex1f1MyM3HoiuLPpfJFUM67qhD2UZ2PzwEK8PdmW8BxVR2zCHy75PMR8RQ==" saltValue="i2t8mMt51XXUm9TZj0RU1Q==" spinCount="100000" sheet="1" objects="1" scenarios="1"/>
  <dataValidations count="6">
    <dataValidation type="list" allowBlank="1" showInputMessage="1" showErrorMessage="1" sqref="G15:X15">
      <formula1>$G$15:$X$15</formula1>
    </dataValidation>
    <dataValidation allowBlank="1" showInputMessage="1" showErrorMessage="1" error="Please enter a valid date in mm/dd/yyyy format." sqref="B8:D10"/>
    <dataValidation type="decimal" allowBlank="1" showInputMessage="1" showErrorMessage="1" error="Please enter a valid reading." sqref="D7">
      <formula1>0</formula1>
      <formula2>9999999999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  <dataValidation type="textLength" allowBlank="1" showInputMessage="1" showErrorMessage="1" errorTitle="Data Source" error="It can only accept 40 characters." sqref="D5">
      <formula1>0</formula1>
      <formula2>40</formula2>
    </dataValidation>
    <dataValidation type="list" showInputMessage="1" showErrorMessage="1" error="Units cannot edit." sqref="D3:D4">
      <formula1>$H$7:$H$8</formula1>
    </dataValidation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Button7_Click">
                <anchor moveWithCells="1">
                  <from>
                    <xdr:col>1</xdr:col>
                    <xdr:colOff>142875</xdr:colOff>
                    <xdr:row>9</xdr:row>
                    <xdr:rowOff>28575</xdr:rowOff>
                  </from>
                  <to>
                    <xdr:col>2</xdr:col>
                    <xdr:colOff>9525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Button13_Click">
                <anchor moveWithCells="1">
                  <from>
                    <xdr:col>2</xdr:col>
                    <xdr:colOff>66675</xdr:colOff>
                    <xdr:row>9</xdr:row>
                    <xdr:rowOff>28575</xdr:rowOff>
                  </from>
                  <to>
                    <xdr:col>2</xdr:col>
                    <xdr:colOff>1323975</xdr:colOff>
                    <xdr:row>9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X37"/>
  <sheetViews>
    <sheetView workbookViewId="0">
      <pane xSplit="1" ySplit="6" topLeftCell="B7" activePane="bottomRight" state="frozen"/>
      <selection activeCell="Y22" sqref="Y22"/>
      <selection pane="topRight" activeCell="Y22" sqref="Y22"/>
      <selection pane="bottomLeft" activeCell="Y22" sqref="Y22"/>
      <selection pane="bottomRight" activeCell="B7" sqref="B7:D7"/>
    </sheetView>
  </sheetViews>
  <sheetFormatPr defaultColWidth="9.140625" defaultRowHeight="15" x14ac:dyDescent="0.25"/>
  <cols>
    <col min="1" max="1" width="2.42578125" style="6" customWidth="1"/>
    <col min="2" max="2" width="20.7109375" style="2" customWidth="1"/>
    <col min="3" max="3" width="20.42578125" style="2" customWidth="1"/>
    <col min="4" max="4" width="45.140625" style="2" customWidth="1"/>
    <col min="5" max="5" width="5.7109375" style="2" customWidth="1"/>
    <col min="6" max="22" width="19.42578125" style="2" hidden="1" customWidth="1"/>
    <col min="23" max="32" width="19.42578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Ozone</v>
      </c>
      <c r="C1" s="1"/>
      <c r="D1" s="4" t="str">
        <f ca="1">B1</f>
        <v>Ozone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5" t="s">
        <v>708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3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F2AmpNvpVmwYu80IaJYgflARfFLe35eXBvm+4bEKC+ggIZtJIwkxacDB94YzRpSazs43CCGANWGwVL8PqDZisw==" saltValue="YCt8ELAgmJEZMfSpJK8mAg==" spinCount="100000" sheet="1" formatRows="0"/>
  <dataValidations count="6">
    <dataValidation type="list" allowBlank="1" showInputMessage="1" showErrorMessage="1" sqref="G15:X15">
      <formula1>$G$15:$X$15</formula1>
    </dataValidation>
    <dataValidation showInputMessage="1" showErrorMessage="1" error="Units cannot edit." sqref="D3:D4"/>
    <dataValidation allowBlank="1" showInputMessage="1" showErrorMessage="1" error="Please enter a valid date in mm/dd/yyyy format." sqref="B8:D10"/>
    <dataValidation type="decimal" allowBlank="1" showInputMessage="1" showErrorMessage="1" error="Please enter a valid reading." sqref="D7">
      <formula1>0</formula1>
      <formula2>9999999999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  <dataValidation type="textLength" allowBlank="1" showInputMessage="1" showErrorMessage="1" errorTitle="Data Source" error="It can only accept 40 characters.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142875</xdr:colOff>
                    <xdr:row>9</xdr:row>
                    <xdr:rowOff>28575</xdr:rowOff>
                  </from>
                  <to>
                    <xdr:col>2</xdr:col>
                    <xdr:colOff>9525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66675</xdr:colOff>
                    <xdr:row>9</xdr:row>
                    <xdr:rowOff>28575</xdr:rowOff>
                  </from>
                  <to>
                    <xdr:col>2</xdr:col>
                    <xdr:colOff>1323975</xdr:colOff>
                    <xdr:row>9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X37"/>
  <sheetViews>
    <sheetView workbookViewId="0">
      <pane xSplit="1" ySplit="6" topLeftCell="B7" activePane="bottomRight" state="frozen"/>
      <selection activeCell="Y22" sqref="Y22"/>
      <selection pane="topRight" activeCell="Y22" sqref="Y22"/>
      <selection pane="bottomLeft" activeCell="Y22" sqref="Y22"/>
      <selection pane="bottomRight" activeCell="B7" sqref="B7:D7"/>
    </sheetView>
  </sheetViews>
  <sheetFormatPr defaultColWidth="9.140625" defaultRowHeight="15" x14ac:dyDescent="0.25"/>
  <cols>
    <col min="1" max="1" width="2.42578125" style="6" customWidth="1"/>
    <col min="2" max="2" width="20.7109375" style="2" customWidth="1"/>
    <col min="3" max="3" width="20.42578125" style="2" customWidth="1"/>
    <col min="4" max="4" width="45.140625" style="2" customWidth="1"/>
    <col min="5" max="5" width="5.7109375" style="2" customWidth="1"/>
    <col min="6" max="22" width="19.42578125" style="2" hidden="1" customWidth="1"/>
    <col min="23" max="32" width="19.42578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Atmospheric Particulate Matter</v>
      </c>
      <c r="C1" s="1"/>
      <c r="D1" s="4" t="str">
        <f ca="1">B1</f>
        <v>Atmospheric Particulate Matter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5" t="s">
        <v>710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3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FHoSITtGurk+lbd2i8ToAcv1V4OV+20oyLqRBomryFbI+V3AklC3pLRfwy7XA0pyhiGgPBpKcEao9q+FObz/lA==" saltValue="BAMM7ZHkO5/urxzqZb3vqA==" spinCount="100000" sheet="1" objects="1" scenarios="1"/>
  <dataValidations count="6">
    <dataValidation type="list" allowBlank="1" showInputMessage="1" showErrorMessage="1" sqref="G15:X15">
      <formula1>$G$15:$X$15</formula1>
    </dataValidation>
    <dataValidation showInputMessage="1" showErrorMessage="1" error="Units cannot edit." sqref="D3:D4"/>
    <dataValidation allowBlank="1" showInputMessage="1" showErrorMessage="1" error="Please enter a valid date in mm/dd/yyyy format." sqref="B8:D10"/>
    <dataValidation type="decimal" allowBlank="1" showInputMessage="1" showErrorMessage="1" error="Please enter a valid reading." sqref="D7">
      <formula1>0</formula1>
      <formula2>9999999999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  <dataValidation type="textLength" allowBlank="1" showInputMessage="1" showErrorMessage="1" errorTitle="Data Source" error="It can only accept 40 characters.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142875</xdr:colOff>
                    <xdr:row>9</xdr:row>
                    <xdr:rowOff>28575</xdr:rowOff>
                  </from>
                  <to>
                    <xdr:col>2</xdr:col>
                    <xdr:colOff>9525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66675</xdr:colOff>
                    <xdr:row>9</xdr:row>
                    <xdr:rowOff>28575</xdr:rowOff>
                  </from>
                  <to>
                    <xdr:col>2</xdr:col>
                    <xdr:colOff>1323975</xdr:colOff>
                    <xdr:row>9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X37"/>
  <sheetViews>
    <sheetView workbookViewId="0">
      <pane xSplit="1" ySplit="6" topLeftCell="B7" activePane="bottomRight" state="frozen"/>
      <selection activeCell="Y22" sqref="Y22"/>
      <selection pane="topRight" activeCell="Y22" sqref="Y22"/>
      <selection pane="bottomLeft" activeCell="Y22" sqref="Y22"/>
      <selection pane="bottomRight" activeCell="B7" sqref="B7:D7"/>
    </sheetView>
  </sheetViews>
  <sheetFormatPr defaultColWidth="9.140625" defaultRowHeight="15" x14ac:dyDescent="0.25"/>
  <cols>
    <col min="1" max="1" width="2.42578125" style="6" customWidth="1"/>
    <col min="2" max="2" width="20.7109375" style="2" customWidth="1"/>
    <col min="3" max="3" width="20.42578125" style="2" customWidth="1"/>
    <col min="4" max="4" width="45.140625" style="2" customWidth="1"/>
    <col min="5" max="5" width="5.7109375" style="2" customWidth="1"/>
    <col min="6" max="22" width="19.42578125" style="2" hidden="1" customWidth="1"/>
    <col min="23" max="32" width="19.42578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Acetaldehyde</v>
      </c>
      <c r="C1" s="1"/>
      <c r="D1" s="4" t="str">
        <f ca="1">B1</f>
        <v>Acetaldehyde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5" t="s">
        <v>711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3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v4dOhGcGB5LkHEsYfV/Kq4lR+e/L1QvlwbQQDj/GUdtNMnBUNsZQ6TQ+/RTf/ah6y7szNFvb2HXBpuWEp6ZkUQ==" saltValue="bTHCmY4jfRXpJcDZly7oxA==" spinCount="100000" sheet="1" objects="1" scenarios="1"/>
  <dataValidations count="6">
    <dataValidation type="list" allowBlank="1" showInputMessage="1" showErrorMessage="1" sqref="G15:X15">
      <formula1>$G$15:$X$15</formula1>
    </dataValidation>
    <dataValidation showInputMessage="1" showErrorMessage="1" error="Units cannot edit." sqref="D3:D4"/>
    <dataValidation allowBlank="1" showInputMessage="1" showErrorMessage="1" error="Please enter a valid date in mm/dd/yyyy format." sqref="B8:D10"/>
    <dataValidation type="decimal" allowBlank="1" showInputMessage="1" showErrorMessage="1" error="Please enter a valid reading." sqref="D7">
      <formula1>0</formula1>
      <formula2>9999999999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  <dataValidation type="textLength" allowBlank="1" showInputMessage="1" showErrorMessage="1" errorTitle="Data Source" error="It can only accept 40 characters.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142875</xdr:colOff>
                    <xdr:row>9</xdr:row>
                    <xdr:rowOff>28575</xdr:rowOff>
                  </from>
                  <to>
                    <xdr:col>2</xdr:col>
                    <xdr:colOff>9525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66675</xdr:colOff>
                    <xdr:row>9</xdr:row>
                    <xdr:rowOff>28575</xdr:rowOff>
                  </from>
                  <to>
                    <xdr:col>2</xdr:col>
                    <xdr:colOff>1323975</xdr:colOff>
                    <xdr:row>9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X37"/>
  <sheetViews>
    <sheetView workbookViewId="0">
      <pane xSplit="1" ySplit="6" topLeftCell="B7" activePane="bottomRight" state="frozen"/>
      <selection activeCell="Y22" sqref="Y22"/>
      <selection pane="topRight" activeCell="Y22" sqref="Y22"/>
      <selection pane="bottomLeft" activeCell="Y22" sqref="Y22"/>
      <selection pane="bottomRight" activeCell="B7" sqref="B7:D7"/>
    </sheetView>
  </sheetViews>
  <sheetFormatPr defaultColWidth="9.140625" defaultRowHeight="15" x14ac:dyDescent="0.25"/>
  <cols>
    <col min="1" max="1" width="2.42578125" style="6" customWidth="1"/>
    <col min="2" max="2" width="20.7109375" style="2" customWidth="1"/>
    <col min="3" max="3" width="20.42578125" style="2" customWidth="1"/>
    <col min="4" max="4" width="45.140625" style="2" customWidth="1"/>
    <col min="5" max="5" width="5.7109375" style="2" customWidth="1"/>
    <col min="6" max="22" width="19.42578125" style="2" hidden="1" customWidth="1"/>
    <col min="23" max="32" width="19.42578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Benzene</v>
      </c>
      <c r="C1" s="1"/>
      <c r="D1" s="4" t="str">
        <f ca="1">B1</f>
        <v>Benzene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5" t="s">
        <v>712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3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Btg8HFIBESM8XBmCtZI2v3g/4akhxlN4h/79oY+4lnlm4bHQzRZ54zga/ci4OPmSWwGRAXCTIp6dJBXoixIkNQ==" saltValue="n3M8CFZyqofqbnhQ92pSNQ==" spinCount="100000" sheet="1" objects="1" scenarios="1"/>
  <dataValidations count="6">
    <dataValidation type="list" allowBlank="1" showInputMessage="1" showErrorMessage="1" sqref="G15:X15">
      <formula1>$G$15:$X$15</formula1>
    </dataValidation>
    <dataValidation showInputMessage="1" showErrorMessage="1" error="Units cannot edit." sqref="D3:D4"/>
    <dataValidation allowBlank="1" showInputMessage="1" showErrorMessage="1" error="Please enter a valid date in mm/dd/yyyy format." sqref="B8:D10"/>
    <dataValidation type="decimal" allowBlank="1" showInputMessage="1" showErrorMessage="1" error="Please enter a valid reading." sqref="D7">
      <formula1>0</formula1>
      <formula2>9999999999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  <dataValidation type="textLength" allowBlank="1" showInputMessage="1" showErrorMessage="1" errorTitle="Data Source" error="It can only accept 40 characters.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142875</xdr:colOff>
                    <xdr:row>9</xdr:row>
                    <xdr:rowOff>28575</xdr:rowOff>
                  </from>
                  <to>
                    <xdr:col>2</xdr:col>
                    <xdr:colOff>9525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66675</xdr:colOff>
                    <xdr:row>9</xdr:row>
                    <xdr:rowOff>28575</xdr:rowOff>
                  </from>
                  <to>
                    <xdr:col>2</xdr:col>
                    <xdr:colOff>1323975</xdr:colOff>
                    <xdr:row>9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X37"/>
  <sheetViews>
    <sheetView workbookViewId="0">
      <pane xSplit="1" ySplit="6" topLeftCell="B7" activePane="bottomRight" state="frozen"/>
      <selection activeCell="Y22" sqref="Y22"/>
      <selection pane="topRight" activeCell="Y22" sqref="Y22"/>
      <selection pane="bottomLeft" activeCell="Y22" sqref="Y22"/>
      <selection pane="bottomRight" activeCell="B7" sqref="B7:D7"/>
    </sheetView>
  </sheetViews>
  <sheetFormatPr defaultColWidth="9.140625" defaultRowHeight="15" x14ac:dyDescent="0.25"/>
  <cols>
    <col min="1" max="1" width="2.42578125" style="6" customWidth="1"/>
    <col min="2" max="2" width="20.7109375" style="2" customWidth="1"/>
    <col min="3" max="3" width="20.42578125" style="2" customWidth="1"/>
    <col min="4" max="4" width="45.140625" style="2" customWidth="1"/>
    <col min="5" max="5" width="5.7109375" style="2" customWidth="1"/>
    <col min="6" max="22" width="19.42578125" style="2" hidden="1" customWidth="1"/>
    <col min="23" max="32" width="19.42578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Styrene</v>
      </c>
      <c r="C1" s="1"/>
      <c r="D1" s="4" t="str">
        <f ca="1">B1</f>
        <v>Styrene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5" t="s">
        <v>713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6" t="s">
        <v>714</v>
      </c>
      <c r="E3" s="1"/>
    </row>
    <row r="4" spans="1:24" ht="15.75" hidden="1" customHeight="1" x14ac:dyDescent="0.25">
      <c r="A4" s="4"/>
      <c r="B4" s="173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 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UuvZ3f/Tc0zGaGXsYU9w5MNZQ7aDJOFOJajWRb2u+N0Ev2ggP64tPskvwLMaTuMO/LBFYhpBAoUnVw7/vY0CWg==" saltValue="/XNvMdtEAdENf9RMyuRYIg==" spinCount="100000" sheet="1" objects="1" scenarios="1"/>
  <dataValidations count="6">
    <dataValidation type="list" allowBlank="1" showInputMessage="1" showErrorMessage="1" sqref="G15:X15">
      <formula1>$G$15:$X$15</formula1>
    </dataValidation>
    <dataValidation showInputMessage="1" showErrorMessage="1" error="Units cannot edit." sqref="D3:D4"/>
    <dataValidation allowBlank="1" showInputMessage="1" showErrorMessage="1" error="Please enter a valid date in mm/dd/yyyy format." sqref="B8:D10"/>
    <dataValidation type="decimal" allowBlank="1" showInputMessage="1" showErrorMessage="1" error="Please enter a valid reading." sqref="D7">
      <formula1>0</formula1>
      <formula2>9999999999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  <dataValidation type="textLength" allowBlank="1" showInputMessage="1" showErrorMessage="1" errorTitle="Data Source" error="It can only accept 40 characters.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utton7_Click">
                <anchor moveWithCells="1">
                  <from>
                    <xdr:col>1</xdr:col>
                    <xdr:colOff>142875</xdr:colOff>
                    <xdr:row>9</xdr:row>
                    <xdr:rowOff>28575</xdr:rowOff>
                  </from>
                  <to>
                    <xdr:col>2</xdr:col>
                    <xdr:colOff>9525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Button13_Click">
                <anchor moveWithCells="1">
                  <from>
                    <xdr:col>2</xdr:col>
                    <xdr:colOff>66675</xdr:colOff>
                    <xdr:row>9</xdr:row>
                    <xdr:rowOff>28575</xdr:rowOff>
                  </from>
                  <to>
                    <xdr:col>2</xdr:col>
                    <xdr:colOff>1323975</xdr:colOff>
                    <xdr:row>9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X37"/>
  <sheetViews>
    <sheetView workbookViewId="0">
      <pane xSplit="1" ySplit="6" topLeftCell="B7" activePane="bottomRight" state="frozen"/>
      <selection activeCell="Y22" sqref="Y22"/>
      <selection pane="topRight" activeCell="Y22" sqref="Y22"/>
      <selection pane="bottomLeft" activeCell="Y22" sqref="Y22"/>
      <selection pane="bottomRight" activeCell="B7" sqref="B7:D7"/>
    </sheetView>
  </sheetViews>
  <sheetFormatPr defaultColWidth="9.140625" defaultRowHeight="15" x14ac:dyDescent="0.25"/>
  <cols>
    <col min="1" max="1" width="2.42578125" style="6" customWidth="1"/>
    <col min="2" max="2" width="20.7109375" style="2" customWidth="1"/>
    <col min="3" max="3" width="20.42578125" style="2" customWidth="1"/>
    <col min="4" max="4" width="45.140625" style="2" customWidth="1"/>
    <col min="5" max="5" width="5.7109375" style="2" customWidth="1"/>
    <col min="6" max="22" width="19.42578125" style="2" hidden="1" customWidth="1"/>
    <col min="23" max="32" width="19.42578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Toluene</v>
      </c>
      <c r="C1" s="1"/>
      <c r="D1" s="4" t="str">
        <f ca="1">B1</f>
        <v>Toluene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5" t="s">
        <v>715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3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+cmjS/Zse4eto0osfNb0kj3FDNxrTvFeN3xaQdPOFTi6bM+fFvPrXeD3sXuB+nyuiYQSZpzP8QN6Teis2QJr9Q==" saltValue="JzzoITH2e89n7mOSwh0tPg==" spinCount="100000" sheet="1" objects="1" scenarios="1"/>
  <dataValidations count="6">
    <dataValidation type="list" allowBlank="1" showInputMessage="1" showErrorMessage="1" sqref="G15:X15">
      <formula1>$G$15:$X$15</formula1>
    </dataValidation>
    <dataValidation showInputMessage="1" showErrorMessage="1" error="Units cannot edit." sqref="D3:D4"/>
    <dataValidation allowBlank="1" showInputMessage="1" showErrorMessage="1" error="Please enter a valid date in mm/dd/yyyy format." sqref="B8:D10"/>
    <dataValidation type="decimal" allowBlank="1" showInputMessage="1" showErrorMessage="1" error="Please enter a valid reading." sqref="D7">
      <formula1>0</formula1>
      <formula2>9999999999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  <dataValidation type="textLength" allowBlank="1" showInputMessage="1" showErrorMessage="1" errorTitle="Data Source" error="It can only accept 40 characters.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utton7_Click">
                <anchor moveWithCells="1">
                  <from>
                    <xdr:col>1</xdr:col>
                    <xdr:colOff>142875</xdr:colOff>
                    <xdr:row>9</xdr:row>
                    <xdr:rowOff>28575</xdr:rowOff>
                  </from>
                  <to>
                    <xdr:col>2</xdr:col>
                    <xdr:colOff>9525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Button13_Click">
                <anchor moveWithCells="1">
                  <from>
                    <xdr:col>2</xdr:col>
                    <xdr:colOff>66675</xdr:colOff>
                    <xdr:row>9</xdr:row>
                    <xdr:rowOff>28575</xdr:rowOff>
                  </from>
                  <to>
                    <xdr:col>2</xdr:col>
                    <xdr:colOff>1323975</xdr:colOff>
                    <xdr:row>9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X37"/>
  <sheetViews>
    <sheetView workbookViewId="0">
      <pane xSplit="1" ySplit="6" topLeftCell="B7" activePane="bottomRight" state="frozen"/>
      <selection activeCell="Y22" sqref="Y22"/>
      <selection pane="topRight" activeCell="Y22" sqref="Y22"/>
      <selection pane="bottomLeft" activeCell="Y22" sqref="Y22"/>
      <selection pane="bottomRight" activeCell="B7" sqref="B7:D7"/>
    </sheetView>
  </sheetViews>
  <sheetFormatPr defaultColWidth="9.140625" defaultRowHeight="15" x14ac:dyDescent="0.25"/>
  <cols>
    <col min="1" max="1" width="2.42578125" style="6" customWidth="1"/>
    <col min="2" max="2" width="20.7109375" style="2" customWidth="1"/>
    <col min="3" max="3" width="20.42578125" style="2" customWidth="1"/>
    <col min="4" max="4" width="45.140625" style="2" customWidth="1"/>
    <col min="5" max="5" width="5.7109375" style="2" customWidth="1"/>
    <col min="6" max="22" width="19.42578125" style="2" hidden="1" customWidth="1"/>
    <col min="23" max="32" width="19.42578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 xml:space="preserve">Naphthalene </v>
      </c>
      <c r="C1" s="1"/>
      <c r="D1" s="4" t="str">
        <f ca="1">B1</f>
        <v xml:space="preserve">Naphthalene 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5" t="s">
        <v>716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6" t="s">
        <v>714</v>
      </c>
      <c r="E3" s="1"/>
    </row>
    <row r="4" spans="1:24" ht="15.75" hidden="1" customHeight="1" x14ac:dyDescent="0.25">
      <c r="A4" s="4"/>
      <c r="B4" s="173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
","(",D3,")")</f>
        <v>Period Reading
( 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NtQv4WzE4c/QRZ3u/XMKd30+G4ysYRGIzcM5b+HxxS6bo/kycF9rQpwZBPjrn8Ny44ae5SyyvTZQftQLyo9s8w==" saltValue="eld9+WXB8MNuvoMBqrSfYg==" spinCount="100000" sheet="1" objects="1" scenarios="1"/>
  <dataValidations count="6">
    <dataValidation type="list" allowBlank="1" showInputMessage="1" showErrorMessage="1" sqref="G15:X15">
      <formula1>$G$15:$X$15</formula1>
    </dataValidation>
    <dataValidation showInputMessage="1" showErrorMessage="1" error="Units cannot edit." sqref="D3:D4"/>
    <dataValidation allowBlank="1" showInputMessage="1" showErrorMessage="1" error="Please enter a valid date in mm/dd/yyyy format." sqref="B8:D10"/>
    <dataValidation type="decimal" allowBlank="1" showInputMessage="1" showErrorMessage="1" error="Please enter a valid reading." sqref="D7">
      <formula1>0</formula1>
      <formula2>9999999999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  <dataValidation type="textLength" allowBlank="1" showInputMessage="1" showErrorMessage="1" errorTitle="Data Source" error="It can only accept 40 characters.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142875</xdr:colOff>
                    <xdr:row>9</xdr:row>
                    <xdr:rowOff>28575</xdr:rowOff>
                  </from>
                  <to>
                    <xdr:col>2</xdr:col>
                    <xdr:colOff>9525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66675</xdr:colOff>
                    <xdr:row>9</xdr:row>
                    <xdr:rowOff>28575</xdr:rowOff>
                  </from>
                  <to>
                    <xdr:col>2</xdr:col>
                    <xdr:colOff>1323975</xdr:colOff>
                    <xdr:row>9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X37"/>
  <sheetViews>
    <sheetView workbookViewId="0">
      <pane xSplit="1" ySplit="6" topLeftCell="B7" activePane="bottomRight" state="frozen"/>
      <selection activeCell="Y22" sqref="Y22"/>
      <selection pane="topRight" activeCell="Y22" sqref="Y22"/>
      <selection pane="bottomLeft" activeCell="Y22" sqref="Y22"/>
      <selection pane="bottomRight" activeCell="B7" sqref="B7:D7"/>
    </sheetView>
  </sheetViews>
  <sheetFormatPr defaultColWidth="9.140625" defaultRowHeight="15" x14ac:dyDescent="0.25"/>
  <cols>
    <col min="1" max="1" width="2.42578125" style="6" customWidth="1"/>
    <col min="2" max="2" width="20.7109375" style="2" customWidth="1"/>
    <col min="3" max="3" width="20.42578125" style="2" customWidth="1"/>
    <col min="4" max="4" width="45.140625" style="2" customWidth="1"/>
    <col min="5" max="5" width="5.7109375" style="2" customWidth="1"/>
    <col min="6" max="22" width="19.42578125" style="2" hidden="1" customWidth="1"/>
    <col min="23" max="32" width="19.42578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Dichlorobenzene</v>
      </c>
      <c r="C1" s="1"/>
      <c r="D1" s="4" t="str">
        <f ca="1">B1</f>
        <v>Dichlorobenzene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5" t="s">
        <v>717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3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tdws94tuZXHwu8Qujhu9Ek07DzyYbTtz1K4HdLXd2MAMr8LWhzhlIA3+jdf9nAsdyLHWuKMxJrT+T2qbU5MIdg==" saltValue="uODVnPa1QyCi21aGOCywTA==" spinCount="100000" sheet="1" objects="1" scenarios="1"/>
  <dataValidations count="6">
    <dataValidation type="list" allowBlank="1" showInputMessage="1" showErrorMessage="1" sqref="G15:X15">
      <formula1>$G$15:$X$15</formula1>
    </dataValidation>
    <dataValidation showInputMessage="1" showErrorMessage="1" error="Units cannot edit." sqref="D3:D4"/>
    <dataValidation allowBlank="1" showInputMessage="1" showErrorMessage="1" error="Please enter a valid date in mm/dd/yyyy format." sqref="B8:D10"/>
    <dataValidation type="decimal" allowBlank="1" showInputMessage="1" showErrorMessage="1" error="Please enter a valid reading." sqref="D7">
      <formula1>0</formula1>
      <formula2>9999999999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  <dataValidation type="textLength" allowBlank="1" showInputMessage="1" showErrorMessage="1" errorTitle="Data Source" error="It can only accept 40 characters.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142875</xdr:colOff>
                    <xdr:row>9</xdr:row>
                    <xdr:rowOff>28575</xdr:rowOff>
                  </from>
                  <to>
                    <xdr:col>2</xdr:col>
                    <xdr:colOff>9525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66675</xdr:colOff>
                    <xdr:row>9</xdr:row>
                    <xdr:rowOff>28575</xdr:rowOff>
                  </from>
                  <to>
                    <xdr:col>2</xdr:col>
                    <xdr:colOff>1323975</xdr:colOff>
                    <xdr:row>9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X37"/>
  <sheetViews>
    <sheetView workbookViewId="0">
      <pane xSplit="1" ySplit="6" topLeftCell="B7" activePane="bottomRight" state="frozen"/>
      <selection activeCell="Y22" sqref="Y22"/>
      <selection pane="topRight" activeCell="Y22" sqref="Y22"/>
      <selection pane="bottomLeft" activeCell="Y22" sqref="Y22"/>
      <selection pane="bottomRight" activeCell="B7" sqref="B7:D7"/>
    </sheetView>
  </sheetViews>
  <sheetFormatPr defaultColWidth="9.140625" defaultRowHeight="15" x14ac:dyDescent="0.25"/>
  <cols>
    <col min="1" max="1" width="2.42578125" style="6" customWidth="1"/>
    <col min="2" max="2" width="20.7109375" style="2" customWidth="1"/>
    <col min="3" max="3" width="20.42578125" style="2" customWidth="1"/>
    <col min="4" max="4" width="45.140625" style="2" customWidth="1"/>
    <col min="5" max="5" width="5.7109375" style="2" customWidth="1"/>
    <col min="6" max="22" width="19.42578125" style="2" hidden="1" customWidth="1"/>
    <col min="23" max="32" width="19.42578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Xylenes-total</v>
      </c>
      <c r="C1" s="1"/>
      <c r="D1" s="4" t="str">
        <f ca="1">B1</f>
        <v>Xylenes-total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5" t="s">
        <v>718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3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sgINNoAsJmqBbOeb2ge/lCfh5BuVaO3Hkmu2isKUE5Ny7E0ls0Rthnf4phsUh7qJ+rvprzejH3gxSw7qsb1DGA==" saltValue="BYkHERr3mc4johQSwFIR7Q==" spinCount="100000" sheet="1" objects="1" scenarios="1"/>
  <dataValidations count="6">
    <dataValidation type="list" allowBlank="1" showInputMessage="1" showErrorMessage="1" sqref="G15:X15">
      <formula1>$G$15:$X$15</formula1>
    </dataValidation>
    <dataValidation showInputMessage="1" showErrorMessage="1" error="Units cannot edit." sqref="D3:D4"/>
    <dataValidation allowBlank="1" showInputMessage="1" showErrorMessage="1" error="Please enter a valid date in mm/dd/yyyy format." sqref="B8:D10"/>
    <dataValidation type="decimal" allowBlank="1" showInputMessage="1" showErrorMessage="1" error="Please enter a valid reading." sqref="D7">
      <formula1>0</formula1>
      <formula2>9999999999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  <dataValidation type="textLength" allowBlank="1" showInputMessage="1" showErrorMessage="1" errorTitle="Data Source" error="It can only accept 40 characters.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utton7_Click">
                <anchor moveWithCells="1">
                  <from>
                    <xdr:col>1</xdr:col>
                    <xdr:colOff>142875</xdr:colOff>
                    <xdr:row>9</xdr:row>
                    <xdr:rowOff>28575</xdr:rowOff>
                  </from>
                  <to>
                    <xdr:col>2</xdr:col>
                    <xdr:colOff>9525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Button13_Click">
                <anchor moveWithCells="1">
                  <from>
                    <xdr:col>2</xdr:col>
                    <xdr:colOff>66675</xdr:colOff>
                    <xdr:row>9</xdr:row>
                    <xdr:rowOff>28575</xdr:rowOff>
                  </from>
                  <to>
                    <xdr:col>2</xdr:col>
                    <xdr:colOff>1323975</xdr:colOff>
                    <xdr:row>9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X37"/>
  <sheetViews>
    <sheetView workbookViewId="0">
      <pane xSplit="1" ySplit="6" topLeftCell="B7" activePane="bottomRight" state="frozen"/>
      <selection activeCell="Y22" sqref="Y22"/>
      <selection pane="topRight" activeCell="Y22" sqref="Y22"/>
      <selection pane="bottomLeft" activeCell="Y22" sqref="Y22"/>
      <selection pane="bottomRight" activeCell="B7" sqref="B7:D7"/>
    </sheetView>
  </sheetViews>
  <sheetFormatPr defaultColWidth="9.140625" defaultRowHeight="15" x14ac:dyDescent="0.25"/>
  <cols>
    <col min="1" max="1" width="2.42578125" style="6" customWidth="1"/>
    <col min="2" max="2" width="20.7109375" style="2" customWidth="1"/>
    <col min="3" max="3" width="20.42578125" style="2" customWidth="1"/>
    <col min="4" max="4" width="45.140625" style="2" customWidth="1"/>
    <col min="5" max="5" width="5.7109375" style="2" customWidth="1"/>
    <col min="6" max="6" width="19.42578125" style="2" hidden="1" customWidth="1"/>
    <col min="7" max="7" width="10.42578125" style="2" hidden="1" customWidth="1"/>
    <col min="8" max="8" width="4.42578125" style="2" hidden="1" customWidth="1"/>
    <col min="9" max="9" width="11" style="2" hidden="1" customWidth="1"/>
    <col min="10" max="10" width="13.42578125" style="2" hidden="1" customWidth="1"/>
    <col min="11" max="11" width="15.42578125" style="2" hidden="1" customWidth="1"/>
    <col min="12" max="12" width="12.7109375" style="2" hidden="1" customWidth="1"/>
    <col min="13" max="14" width="19.7109375" style="2" hidden="1" customWidth="1"/>
    <col min="15" max="15" width="18.7109375" style="2" hidden="1" customWidth="1"/>
    <col min="16" max="16" width="21.28515625" style="2" hidden="1" customWidth="1"/>
    <col min="17" max="17" width="17.7109375" style="2" hidden="1" customWidth="1"/>
    <col min="18" max="18" width="21.140625" style="2" hidden="1" customWidth="1"/>
    <col min="19" max="19" width="17" style="2" hidden="1" customWidth="1"/>
    <col min="20" max="20" width="20.42578125" style="2" hidden="1" customWidth="1"/>
    <col min="21" max="21" width="19.7109375" style="2" hidden="1" customWidth="1"/>
    <col min="22" max="22" width="34.42578125" style="2" hidden="1" customWidth="1"/>
    <col min="23" max="32" width="19.42578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Formaldehyde</v>
      </c>
      <c r="C1" s="1"/>
      <c r="D1" s="4" t="str">
        <f ca="1">B1</f>
        <v>Formaldehyde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5" t="s">
        <v>719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77" t="s">
        <v>720</v>
      </c>
      <c r="E3" s="1"/>
    </row>
    <row r="4" spans="1:24" ht="15.75" hidden="1" customHeight="1" x14ac:dyDescent="0.25">
      <c r="A4" s="4"/>
      <c r="B4" s="173"/>
      <c r="C4" s="9"/>
      <c r="D4" s="17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
","(",D3,")")</f>
        <v>Period Reading
(µg/m3 )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  <c r="H7" s="2" t="s">
        <v>709</v>
      </c>
    </row>
    <row r="8" spans="1:24" x14ac:dyDescent="0.25">
      <c r="A8" s="4"/>
      <c r="B8" s="26"/>
      <c r="C8" s="187"/>
      <c r="D8" s="29"/>
      <c r="E8" s="1"/>
      <c r="H8" s="2" t="s">
        <v>721</v>
      </c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Xt89tcezk4XrQ3HlNN/IjIlWGKFW9IodacYkm4tsEXHyGGf2b0RxaLIQ5ONgijN+a9sj5an2CXumHh5WE6Sjhg==" saltValue="X6SzSan6Dm4HcwGUxOE6wQ==" spinCount="100000" sheet="1" objects="1" scenarios="1"/>
  <dataValidations count="6">
    <dataValidation type="list" showInputMessage="1" showErrorMessage="1" error="Units cannot edit." sqref="D3:D4">
      <formula1>$H$7:$H$8</formula1>
    </dataValidation>
    <dataValidation type="decimal" allowBlank="1" showInputMessage="1" showErrorMessage="1" error="Please enter a valid reading." sqref="D7">
      <formula1>0</formula1>
      <formula2>9999999999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  <dataValidation type="list" allowBlank="1" showInputMessage="1" showErrorMessage="1" sqref="G15:X15">
      <formula1>$G$15:$X$15</formula1>
    </dataValidation>
    <dataValidation allowBlank="1" showInputMessage="1" showErrorMessage="1" error="Please enter a valid date in mm/dd/yyyy format." sqref="B8:D10"/>
    <dataValidation type="textLength" allowBlank="1" showInputMessage="1" showErrorMessage="1" errorTitle="Data Source" error="It can only accept 40 characters.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utton7_Click">
                <anchor moveWithCells="1">
                  <from>
                    <xdr:col>1</xdr:col>
                    <xdr:colOff>142875</xdr:colOff>
                    <xdr:row>9</xdr:row>
                    <xdr:rowOff>28575</xdr:rowOff>
                  </from>
                  <to>
                    <xdr:col>2</xdr:col>
                    <xdr:colOff>9525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Button13_Click">
                <anchor moveWithCells="1">
                  <from>
                    <xdr:col>2</xdr:col>
                    <xdr:colOff>66675</xdr:colOff>
                    <xdr:row>9</xdr:row>
                    <xdr:rowOff>28575</xdr:rowOff>
                  </from>
                  <to>
                    <xdr:col>2</xdr:col>
                    <xdr:colOff>1323975</xdr:colOff>
                    <xdr:row>9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K21"/>
  <sheetViews>
    <sheetView tabSelected="1"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B7" sqref="B7:D7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601</v>
      </c>
      <c r="B1" s="4" t="str">
        <f ca="1">MID(CELL("filename",A1),FIND("]",CELL("filename",A1))+1,256)</f>
        <v>AnalyticsEnergy Meter via up...</v>
      </c>
      <c r="C1" s="1"/>
      <c r="D1" s="4" t="str">
        <f ca="1">B1</f>
        <v>AnalyticsEnergy Meter via up...</v>
      </c>
      <c r="E1" s="1"/>
    </row>
    <row r="2" spans="1:10" x14ac:dyDescent="0.25">
      <c r="A2" s="4" t="s">
        <v>601</v>
      </c>
      <c r="B2" s="201" t="s">
        <v>568</v>
      </c>
      <c r="C2" s="179"/>
      <c r="D2" s="175" t="s">
        <v>737</v>
      </c>
      <c r="E2" s="1"/>
    </row>
    <row r="3" spans="1:10" x14ac:dyDescent="0.25">
      <c r="A3" s="4" t="s">
        <v>601</v>
      </c>
      <c r="B3" s="200" t="s">
        <v>697</v>
      </c>
      <c r="C3" s="9"/>
      <c r="D3" s="175" t="s">
        <v>691</v>
      </c>
      <c r="E3" s="1"/>
    </row>
    <row r="4" spans="1:10" x14ac:dyDescent="0.25">
      <c r="A4" s="4" t="s">
        <v>601</v>
      </c>
      <c r="B4" s="200" t="s">
        <v>569</v>
      </c>
      <c r="C4" s="9"/>
      <c r="D4" s="175" t="s">
        <v>533</v>
      </c>
      <c r="E4" s="1"/>
    </row>
    <row r="5" spans="1:10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10" ht="24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8">
        <v>43435</v>
      </c>
      <c r="C7" s="38">
        <v>43496</v>
      </c>
      <c r="D7" s="25">
        <v>2000</v>
      </c>
      <c r="E7" s="1"/>
    </row>
    <row r="8" spans="1:10" ht="12.75" customHeight="1" x14ac:dyDescent="0.25">
      <c r="A8" s="4"/>
      <c r="B8" s="26"/>
      <c r="C8" s="26"/>
      <c r="D8" s="29"/>
      <c r="E8" s="1"/>
      <c r="J8" s="2" t="s">
        <v>552</v>
      </c>
    </row>
    <row r="9" spans="1:10" ht="13.5" hidden="1" customHeight="1" x14ac:dyDescent="0.25">
      <c r="A9" s="4"/>
      <c r="B9" s="27"/>
      <c r="C9" s="27"/>
      <c r="D9" s="27"/>
      <c r="E9" s="1"/>
      <c r="J9" t="s">
        <v>691</v>
      </c>
    </row>
    <row r="10" spans="1:10" ht="25.5" customHeight="1" x14ac:dyDescent="0.25">
      <c r="A10" s="4" t="s">
        <v>549</v>
      </c>
      <c r="B10" s="27"/>
      <c r="C10" s="27"/>
      <c r="D10" s="27"/>
      <c r="E10" s="1"/>
      <c r="J10" s="2" t="s">
        <v>699</v>
      </c>
    </row>
    <row r="15" spans="1:10" x14ac:dyDescent="0.25">
      <c r="G15" s="2" t="s">
        <v>533</v>
      </c>
    </row>
    <row r="16" spans="1:10" x14ac:dyDescent="0.25">
      <c r="G16" s="2" t="s">
        <v>540</v>
      </c>
    </row>
    <row r="17" spans="7:7" x14ac:dyDescent="0.25">
      <c r="G17" s="2" t="s">
        <v>555</v>
      </c>
    </row>
    <row r="18" spans="7:7" x14ac:dyDescent="0.25">
      <c r="G18" s="2" t="s">
        <v>529</v>
      </c>
    </row>
    <row r="19" spans="7:7" x14ac:dyDescent="0.25">
      <c r="G19" s="2" t="s">
        <v>553</v>
      </c>
    </row>
    <row r="21" spans="7:7" x14ac:dyDescent="0.25">
      <c r="G21" s="2" t="s">
        <v>552</v>
      </c>
    </row>
  </sheetData>
  <sheetProtection algorithmName="SHA-512" hashValue="bJfCPPTywLGbhVXBKw+Rt6UAckO4Ajiv6QpmDeifWx3HEKAUWH3aXHwOA3hSYQdNu1o4wuzE9ffAWfBEJatrxA==" saltValue="W5NqkhQbE7rxYp8tlCDpzA==" spinCount="100000" sheet="1" objects="1" scenarios="1"/>
  <dataValidations count="6">
    <dataValidation type="textLength" allowBlank="1" showInputMessage="1" showErrorMessage="1" errorTitle="Data Source" error="It can only accept 40 characters." sqref="D5">
      <formula1>0</formula1>
      <formula2>40</formula2>
    </dataValidation>
    <dataValidation type="decimal" allowBlank="1" showInputMessage="1" showErrorMessage="1" error="Please enter a valid reading." sqref="D7">
      <formula1>0</formula1>
      <formula2>9999999999</formula2>
    </dataValidation>
    <dataValidation type="date" allowBlank="1" showInputMessage="1" showErrorMessage="1" error="Please enter a valid date in mm/dd/yyyy format." sqref="B7:C7">
      <formula1>1</formula1>
      <formula2>73415</formula2>
    </dataValidation>
    <dataValidation allowBlank="1" showInputMessage="1" showErrorMessage="1" error="Please enter a valid date in mm/dd/yyyy format." sqref="B8:D10"/>
    <dataValidation type="list" allowBlank="1" showInputMessage="1" showErrorMessage="1" sqref="D3">
      <formula1>ElectricityDrp</formula1>
    </dataValidation>
    <dataValidation type="list" allowBlank="1" showInputMessage="1" showErrorMessage="1" error="Units cannot edit." sqref="D4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Button13_Click">
                <anchor moveWithCells="1">
                  <from>
                    <xdr:col>2</xdr:col>
                    <xdr:colOff>752475</xdr:colOff>
                    <xdr:row>7</xdr:row>
                    <xdr:rowOff>0</xdr:rowOff>
                  </from>
                  <to>
                    <xdr:col>2</xdr:col>
                    <xdr:colOff>752475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I39"/>
  <sheetViews>
    <sheetView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19" sqref="D19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601</v>
      </c>
      <c r="B1" s="4" t="str">
        <f ca="1">MID(CELL("filename",A1),FIND("]",CELL("filename",A1))+1,256)</f>
        <v>AnalyticsWater meter via upload</v>
      </c>
      <c r="C1" s="1"/>
      <c r="D1" s="182" t="str">
        <f ca="1">B1</f>
        <v>AnalyticsWater meter via upload</v>
      </c>
      <c r="E1" s="1"/>
    </row>
    <row r="2" spans="1:9" x14ac:dyDescent="0.25">
      <c r="A2" s="4" t="s">
        <v>601</v>
      </c>
      <c r="B2" s="201" t="s">
        <v>568</v>
      </c>
      <c r="C2" s="179"/>
      <c r="D2" s="175" t="s">
        <v>736</v>
      </c>
      <c r="E2" s="1"/>
    </row>
    <row r="3" spans="1:9" x14ac:dyDescent="0.25">
      <c r="A3" s="4" t="s">
        <v>601</v>
      </c>
      <c r="B3" s="200" t="s">
        <v>697</v>
      </c>
      <c r="C3" s="9"/>
      <c r="D3" s="175" t="s">
        <v>692</v>
      </c>
      <c r="E3" s="1"/>
    </row>
    <row r="4" spans="1:9" x14ac:dyDescent="0.25">
      <c r="A4" s="4" t="s">
        <v>601</v>
      </c>
      <c r="B4" s="200" t="s">
        <v>569</v>
      </c>
      <c r="C4" s="9"/>
      <c r="D4" s="175" t="s">
        <v>528</v>
      </c>
      <c r="E4" s="1"/>
    </row>
    <row r="5" spans="1:9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9" ht="24.75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8">
        <v>43435</v>
      </c>
      <c r="C7" s="38">
        <v>43496</v>
      </c>
      <c r="D7" s="24">
        <v>5.46</v>
      </c>
      <c r="E7" s="1"/>
    </row>
    <row r="8" spans="1:9" x14ac:dyDescent="0.25">
      <c r="A8" s="4"/>
      <c r="B8" s="26"/>
      <c r="C8" s="26"/>
      <c r="D8" s="29"/>
      <c r="E8" s="1"/>
    </row>
    <row r="9" spans="1:9" ht="6" customHeight="1" x14ac:dyDescent="0.25">
      <c r="A9" s="4"/>
      <c r="B9" s="26"/>
      <c r="C9" s="26"/>
      <c r="D9" s="29"/>
      <c r="E9" s="1"/>
      <c r="I9" t="s">
        <v>692</v>
      </c>
    </row>
    <row r="10" spans="1:9" ht="25.5" customHeight="1" x14ac:dyDescent="0.25">
      <c r="A10" s="4" t="s">
        <v>549</v>
      </c>
      <c r="B10" s="27"/>
      <c r="C10" s="27"/>
      <c r="D10" s="27"/>
      <c r="E10" s="1"/>
      <c r="I10" t="s">
        <v>693</v>
      </c>
    </row>
    <row r="11" spans="1:9" x14ac:dyDescent="0.25">
      <c r="I11" t="s">
        <v>694</v>
      </c>
    </row>
    <row r="15" spans="1:9" x14ac:dyDescent="0.25">
      <c r="H15" t="s">
        <v>528</v>
      </c>
    </row>
    <row r="16" spans="1:9" x14ac:dyDescent="0.25">
      <c r="H16" t="s">
        <v>531</v>
      </c>
    </row>
    <row r="17" spans="8:8" x14ac:dyDescent="0.25">
      <c r="H17" t="s">
        <v>550</v>
      </c>
    </row>
    <row r="18" spans="8:8" x14ac:dyDescent="0.25">
      <c r="H18" t="s">
        <v>551</v>
      </c>
    </row>
    <row r="19" spans="8:8" x14ac:dyDescent="0.25">
      <c r="H19" t="s">
        <v>525</v>
      </c>
    </row>
    <row r="20" spans="8:8" x14ac:dyDescent="0.25">
      <c r="H20" t="s">
        <v>530</v>
      </c>
    </row>
    <row r="21" spans="8:8" x14ac:dyDescent="0.25">
      <c r="H21" t="s">
        <v>545</v>
      </c>
    </row>
    <row r="22" spans="8:8" x14ac:dyDescent="0.25">
      <c r="H22" t="s">
        <v>564</v>
      </c>
    </row>
    <row r="23" spans="8:8" x14ac:dyDescent="0.25">
      <c r="H23" t="s">
        <v>527</v>
      </c>
    </row>
    <row r="24" spans="8:8" x14ac:dyDescent="0.25">
      <c r="H24" s="2" t="s">
        <v>546</v>
      </c>
    </row>
    <row r="25" spans="8:8" x14ac:dyDescent="0.25">
      <c r="H25" s="2" t="s">
        <v>565</v>
      </c>
    </row>
    <row r="26" spans="8:8" x14ac:dyDescent="0.25">
      <c r="H26" s="2" t="s">
        <v>566</v>
      </c>
    </row>
    <row r="27" spans="8:8" x14ac:dyDescent="0.25">
      <c r="H27" t="s">
        <v>695</v>
      </c>
    </row>
    <row r="28" spans="8:8" x14ac:dyDescent="0.25">
      <c r="H28" t="s">
        <v>696</v>
      </c>
    </row>
    <row r="29" spans="8:8" x14ac:dyDescent="0.25">
      <c r="H29" t="s">
        <v>690</v>
      </c>
    </row>
    <row r="30" spans="8:8" x14ac:dyDescent="0.25">
      <c r="H30"/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</sheetData>
  <sheetProtection algorithmName="SHA-512" hashValue="pKbafnvpIrT1+CfIOUn7o0A72bKIkTwLPwG599xmGre9bRsSbo+toQ3QXt/aIdMte5RTaSKYwbCsSn7zT48ixw==" saltValue="hc8o9iG7yjQ8ONg+u9J+HQ==" spinCount="100000" sheet="1" objects="1" scenarios="1"/>
  <dataValidations count="6">
    <dataValidation type="textLength" allowBlank="1" showInputMessage="1" showErrorMessage="1" errorTitle="Data Source" error="It can only accept 40 characters." sqref="D5">
      <formula1>0</formula1>
      <formula2>40</formula2>
    </dataValidation>
    <dataValidation type="decimal" allowBlank="1" showInputMessage="1" showErrorMessage="1" error="Please enter a valid reading." sqref="D7">
      <formula1>0</formula1>
      <formula2>9999999999</formula2>
    </dataValidation>
    <dataValidation type="date" allowBlank="1" showInputMessage="1" showErrorMessage="1" error="Please enter a valid date in mm/dd/yyyy format." sqref="B7:C7">
      <formula1>1</formula1>
      <formula2>73415</formula2>
    </dataValidation>
    <dataValidation allowBlank="1" showInputMessage="1" showErrorMessage="1" error="Please enter a valid date in mm/dd/yyyy format." sqref="B8:D10"/>
    <dataValidation type="list" allowBlank="1" showInputMessage="1" showErrorMessage="1" sqref="D3">
      <formula1>WaterDrp</formula1>
    </dataValidation>
    <dataValidation type="list" allowBlank="1" showInputMessage="1" showErrorMessage="1" error="Units cannot edit." sqref="D4">
      <formula1>watUni</formula1>
    </dataValidation>
  </dataValidations>
  <pageMargins left="0.7" right="0.7" top="0.75" bottom="0.75" header="0.3" footer="0.3"/>
  <pageSetup paperSize="9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13" workbookViewId="0">
      <selection activeCell="A13" sqref="A1:XFD1048576"/>
    </sheetView>
  </sheetViews>
  <sheetFormatPr defaultColWidth="8.85546875"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359</vt:i4>
      </vt:variant>
    </vt:vector>
  </HeadingPairs>
  <TitlesOfParts>
    <vt:vector size="383" baseType="lpstr">
      <vt:lpstr>Setup</vt:lpstr>
      <vt:lpstr>base_w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Carbon Monoxide</vt:lpstr>
      <vt:lpstr>Ozone</vt:lpstr>
      <vt:lpstr>Atmospheric Particulate Matter</vt:lpstr>
      <vt:lpstr>Acetaldehyde</vt:lpstr>
      <vt:lpstr>Benzene</vt:lpstr>
      <vt:lpstr>Styrene</vt:lpstr>
      <vt:lpstr>Toluene</vt:lpstr>
      <vt:lpstr>Naphthalene </vt:lpstr>
      <vt:lpstr>Dichlorobenzene</vt:lpstr>
      <vt:lpstr>Xylenes-total</vt:lpstr>
      <vt:lpstr>Formaldehyde</vt:lpstr>
      <vt:lpstr>AnalyticsEnergy Meter via up...</vt:lpstr>
      <vt:lpstr>AnalyticsWater meter via upload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Acetaldehyde!Dates</vt:lpstr>
      <vt:lpstr>'Atmospheric Particulate Matter'!Dates</vt:lpstr>
      <vt:lpstr>Benzene!Dates</vt:lpstr>
      <vt:lpstr>'Carbon Monoxide'!Dates</vt:lpstr>
      <vt:lpstr>Dichlorobenzene!Dates</vt:lpstr>
      <vt:lpstr>Formaldehyde!Dates</vt:lpstr>
      <vt:lpstr>'Naphthalene '!Dates</vt:lpstr>
      <vt:lpstr>Ozone!Dates</vt:lpstr>
      <vt:lpstr>Styrene!Dates</vt:lpstr>
      <vt:lpstr>Toluene!Dates</vt:lpstr>
      <vt:lpstr>'Xylenes-total'!Dates</vt:lpstr>
      <vt:lpstr>Dates</vt:lpstr>
      <vt:lpstr>Acetaldehyde!DatesVOC</vt:lpstr>
      <vt:lpstr>'Atmospheric Particulate Matter'!DatesVOC</vt:lpstr>
      <vt:lpstr>Benzene!DatesVOC</vt:lpstr>
      <vt:lpstr>'Carbon Monoxide'!DatesVOC</vt:lpstr>
      <vt:lpstr>Dichlorobenzene!DatesVOC</vt:lpstr>
      <vt:lpstr>Formaldehyde!DatesVOC</vt:lpstr>
      <vt:lpstr>'Naphthalene '!DatesVOC</vt:lpstr>
      <vt:lpstr>Ozone!DatesVOC</vt:lpstr>
      <vt:lpstr>Styrene!DatesVOC</vt:lpstr>
      <vt:lpstr>Toluene!DatesVOC</vt:lpstr>
      <vt:lpstr>'Xylenes-total'!DatesVOC</vt:lpstr>
      <vt:lpstr>DatesVOC</vt:lpstr>
      <vt:lpstr>DelRwNmEnd</vt:lpstr>
      <vt:lpstr>DelRwNmEndVOC</vt:lpstr>
      <vt:lpstr>DelRwNmStart</vt:lpstr>
      <vt:lpstr>DelRwNmStartVOC</vt:lpstr>
      <vt:lpstr>Acetaldehyde!elecName</vt:lpstr>
      <vt:lpstr>'AnalyticsEnergy Meter via up...'!elecName</vt:lpstr>
      <vt:lpstr>'Atmospheric Particulate Matter'!elecName</vt:lpstr>
      <vt:lpstr>Benzene!elecName</vt:lpstr>
      <vt:lpstr>'Carbon Monoxide'!elecName</vt:lpstr>
      <vt:lpstr>Dichlorobenzene!elecName</vt:lpstr>
      <vt:lpstr>Formaldehyde!elecName</vt:lpstr>
      <vt:lpstr>'Naphthalene '!elecName</vt:lpstr>
      <vt:lpstr>Ozone!elecName</vt:lpstr>
      <vt:lpstr>Styrene!elecName</vt:lpstr>
      <vt:lpstr>Toluene!elecName</vt:lpstr>
      <vt:lpstr>'Xylenes-total'!elecName</vt:lpstr>
      <vt:lpstr>elecName</vt:lpstr>
      <vt:lpstr>Acetaldehyde!ElectricityDrp</vt:lpstr>
      <vt:lpstr>'AnalyticsEnergy Meter via up...'!ElectricityDrp</vt:lpstr>
      <vt:lpstr>'Atmospheric Particulate Matter'!ElectricityDrp</vt:lpstr>
      <vt:lpstr>Benzene!ElectricityDrp</vt:lpstr>
      <vt:lpstr>'Carbon Monoxide'!ElectricityDrp</vt:lpstr>
      <vt:lpstr>Dichlorobenzene!ElectricityDrp</vt:lpstr>
      <vt:lpstr>Formaldehyde!ElectricityDrp</vt:lpstr>
      <vt:lpstr>'Naphthalene '!ElectricityDrp</vt:lpstr>
      <vt:lpstr>Ozone!ElectricityDrp</vt:lpstr>
      <vt:lpstr>Styrene!ElectricityDrp</vt:lpstr>
      <vt:lpstr>Toluene!ElectricityDrp</vt:lpstr>
      <vt:lpstr>'Xylenes-total'!ElectricityDrp</vt:lpstr>
      <vt:lpstr>ElectricityDrp</vt:lpstr>
      <vt:lpstr>Acetaldehyde!fdet</vt:lpstr>
      <vt:lpstr>'Atmospheric Particulate Matter'!fdet</vt:lpstr>
      <vt:lpstr>Benzene!fdet</vt:lpstr>
      <vt:lpstr>'Carbon Monoxide'!fdet</vt:lpstr>
      <vt:lpstr>Dichlorobenzene!fdet</vt:lpstr>
      <vt:lpstr>Formaldehyde!fdet</vt:lpstr>
      <vt:lpstr>'Naphthalene '!fdet</vt:lpstr>
      <vt:lpstr>Ozone!fdet</vt:lpstr>
      <vt:lpstr>Styrene!fdet</vt:lpstr>
      <vt:lpstr>Toluene!fdet</vt:lpstr>
      <vt:lpstr>'Xylenes-total'!fdet</vt:lpstr>
      <vt:lpstr>fdet</vt:lpstr>
      <vt:lpstr>Acetaldehyde!fude</vt:lpstr>
      <vt:lpstr>'Atmospheric Particulate Matter'!fude</vt:lpstr>
      <vt:lpstr>Benzene!fude</vt:lpstr>
      <vt:lpstr>'Carbon Monoxide'!fude</vt:lpstr>
      <vt:lpstr>Dichlorobenzene!fude</vt:lpstr>
      <vt:lpstr>Formaldehyde!fude</vt:lpstr>
      <vt:lpstr>'Naphthalene '!fude</vt:lpstr>
      <vt:lpstr>Ozone!fude</vt:lpstr>
      <vt:lpstr>Styrene!fude</vt:lpstr>
      <vt:lpstr>Toluene!fude</vt:lpstr>
      <vt:lpstr>'Xylenes-total'!fude</vt:lpstr>
      <vt:lpstr>fude</vt:lpstr>
      <vt:lpstr>Acetaldehyde!fuel1</vt:lpstr>
      <vt:lpstr>'Atmospheric Particulate Matter'!fuel1</vt:lpstr>
      <vt:lpstr>Benzene!fuel1</vt:lpstr>
      <vt:lpstr>'Carbon Monoxide'!fuel1</vt:lpstr>
      <vt:lpstr>Dichlorobenzene!fuel1</vt:lpstr>
      <vt:lpstr>Formaldehyde!fuel1</vt:lpstr>
      <vt:lpstr>'Naphthalene '!fuel1</vt:lpstr>
      <vt:lpstr>Ozone!fuel1</vt:lpstr>
      <vt:lpstr>Styrene!fuel1</vt:lpstr>
      <vt:lpstr>Toluene!fuel1</vt:lpstr>
      <vt:lpstr>'Xylenes-total'!fuel1</vt:lpstr>
      <vt:lpstr>fuel1</vt:lpstr>
      <vt:lpstr>Acetaldehyde!fuel2</vt:lpstr>
      <vt:lpstr>'Atmospheric Particulate Matter'!fuel2</vt:lpstr>
      <vt:lpstr>Benzene!fuel2</vt:lpstr>
      <vt:lpstr>'Carbon Monoxide'!fuel2</vt:lpstr>
      <vt:lpstr>Dichlorobenzene!fuel2</vt:lpstr>
      <vt:lpstr>Formaldehyde!fuel2</vt:lpstr>
      <vt:lpstr>'Naphthalene '!fuel2</vt:lpstr>
      <vt:lpstr>Ozone!fuel2</vt:lpstr>
      <vt:lpstr>Styrene!fuel2</vt:lpstr>
      <vt:lpstr>Toluene!fuel2</vt:lpstr>
      <vt:lpstr>'Xylenes-total'!fuel2</vt:lpstr>
      <vt:lpstr>fuel2</vt:lpstr>
      <vt:lpstr>Acetaldehyde!kerosene</vt:lpstr>
      <vt:lpstr>'Atmospheric Particulate Matter'!kerosene</vt:lpstr>
      <vt:lpstr>Benzene!kerosene</vt:lpstr>
      <vt:lpstr>'Carbon Monoxide'!kerosene</vt:lpstr>
      <vt:lpstr>Dichlorobenzene!kerosene</vt:lpstr>
      <vt:lpstr>Formaldehyde!kerosene</vt:lpstr>
      <vt:lpstr>'Naphthalene '!kerosene</vt:lpstr>
      <vt:lpstr>Ozone!kerosene</vt:lpstr>
      <vt:lpstr>Styrene!kerosene</vt:lpstr>
      <vt:lpstr>Toluene!kerosene</vt:lpstr>
      <vt:lpstr>'Xylenes-total'!kerosene</vt:lpstr>
      <vt:lpstr>kerosene</vt:lpstr>
      <vt:lpstr>Acetaldehyde!liquid</vt:lpstr>
      <vt:lpstr>'Atmospheric Particulate Matter'!liquid</vt:lpstr>
      <vt:lpstr>Benzene!liquid</vt:lpstr>
      <vt:lpstr>'Carbon Monoxide'!liquid</vt:lpstr>
      <vt:lpstr>Dichlorobenzene!liquid</vt:lpstr>
      <vt:lpstr>Formaldehyde!liquid</vt:lpstr>
      <vt:lpstr>'Naphthalene '!liquid</vt:lpstr>
      <vt:lpstr>Ozone!liquid</vt:lpstr>
      <vt:lpstr>Styrene!liquid</vt:lpstr>
      <vt:lpstr>Toluene!liquid</vt:lpstr>
      <vt:lpstr>'Xylenes-total'!liquid</vt:lpstr>
      <vt:lpstr>liquid</vt:lpstr>
      <vt:lpstr>Meter</vt:lpstr>
      <vt:lpstr>meterName</vt:lpstr>
      <vt:lpstr>MeterTypes</vt:lpstr>
      <vt:lpstr>Acetaldehyde!myCategoryH</vt:lpstr>
      <vt:lpstr>'Atmospheric Particulate Matter'!myCategoryH</vt:lpstr>
      <vt:lpstr>Benzene!myCategoryH</vt:lpstr>
      <vt:lpstr>'Carbon Monoxide'!myCategoryH</vt:lpstr>
      <vt:lpstr>Dichlorobenzene!myCategoryH</vt:lpstr>
      <vt:lpstr>Formaldehyde!myCategoryH</vt:lpstr>
      <vt:lpstr>'Naphthalene '!myCategoryH</vt:lpstr>
      <vt:lpstr>Ozone!myCategoryH</vt:lpstr>
      <vt:lpstr>Styrene!myCategoryH</vt:lpstr>
      <vt:lpstr>Toluene!myCategoryH</vt:lpstr>
      <vt:lpstr>'Xylenes-total'!myCategoryH</vt:lpstr>
      <vt:lpstr>myCategoryH</vt:lpstr>
      <vt:lpstr>Acetaldehyde!myTableH</vt:lpstr>
      <vt:lpstr>'Atmospheric Particulate Matter'!myTableH</vt:lpstr>
      <vt:lpstr>Benzene!myTableH</vt:lpstr>
      <vt:lpstr>'Carbon Monoxide'!myTableH</vt:lpstr>
      <vt:lpstr>Dichlorobenzene!myTableH</vt:lpstr>
      <vt:lpstr>Formaldehyde!myTableH</vt:lpstr>
      <vt:lpstr>'Naphthalene '!myTableH</vt:lpstr>
      <vt:lpstr>Ozone!myTableH</vt:lpstr>
      <vt:lpstr>Styrene!myTableH</vt:lpstr>
      <vt:lpstr>Toluene!myTableH</vt:lpstr>
      <vt:lpstr>'Xylenes-total'!myTableH</vt:lpstr>
      <vt:lpstr>myTableH</vt:lpstr>
      <vt:lpstr>Acetaldehyde!newMet</vt:lpstr>
      <vt:lpstr>'Atmospheric Particulate Matter'!newMet</vt:lpstr>
      <vt:lpstr>Benzene!newMet</vt:lpstr>
      <vt:lpstr>'Carbon Monoxide'!newMet</vt:lpstr>
      <vt:lpstr>Dichlorobenzene!newMet</vt:lpstr>
      <vt:lpstr>Formaldehyde!newMet</vt:lpstr>
      <vt:lpstr>'Naphthalene '!newMet</vt:lpstr>
      <vt:lpstr>Ozone!newMet</vt:lpstr>
      <vt:lpstr>Styrene!newMet</vt:lpstr>
      <vt:lpstr>Toluene!newMet</vt:lpstr>
      <vt:lpstr>'Xylenes-total'!newMet</vt:lpstr>
      <vt:lpstr>newMet</vt:lpstr>
      <vt:lpstr>Acetaldehyde!newWaUnit</vt:lpstr>
      <vt:lpstr>'Atmospheric Particulate Matter'!newWaUnit</vt:lpstr>
      <vt:lpstr>Benzene!newWaUnit</vt:lpstr>
      <vt:lpstr>'Carbon Monoxide'!newWaUnit</vt:lpstr>
      <vt:lpstr>Dichlorobenzene!newWaUnit</vt:lpstr>
      <vt:lpstr>Formaldehyde!newWaUnit</vt:lpstr>
      <vt:lpstr>'Naphthalene '!newWaUnit</vt:lpstr>
      <vt:lpstr>Ozone!newWaUnit</vt:lpstr>
      <vt:lpstr>Styrene!newWaUnit</vt:lpstr>
      <vt:lpstr>Toluene!newWaUnit</vt:lpstr>
      <vt:lpstr>'Xylenes-total'!newWaUnit</vt:lpstr>
      <vt:lpstr>newWaUnit</vt:lpstr>
      <vt:lpstr>Acetaldehyde!Other_Fuels_Drp</vt:lpstr>
      <vt:lpstr>'Atmospheric Particulate Matter'!Other_Fuels_Drp</vt:lpstr>
      <vt:lpstr>Benzene!Other_Fuels_Drp</vt:lpstr>
      <vt:lpstr>'Carbon Monoxide'!Other_Fuels_Drp</vt:lpstr>
      <vt:lpstr>Dichlorobenzene!Other_Fuels_Drp</vt:lpstr>
      <vt:lpstr>Formaldehyde!Other_Fuels_Drp</vt:lpstr>
      <vt:lpstr>'Naphthalene '!Other_Fuels_Drp</vt:lpstr>
      <vt:lpstr>Ozone!Other_Fuels_Drp</vt:lpstr>
      <vt:lpstr>Styrene!Other_Fuels_Drp</vt:lpstr>
      <vt:lpstr>Toluene!Other_Fuels_Drp</vt:lpstr>
      <vt:lpstr>'Xylenes-total'!Other_Fuels_Drp</vt:lpstr>
      <vt:lpstr>Other_Fuels_Drp</vt:lpstr>
      <vt:lpstr>Acetaldehyde!Propane</vt:lpstr>
      <vt:lpstr>'Atmospheric Particulate Matter'!Propane</vt:lpstr>
      <vt:lpstr>Benzene!Propane</vt:lpstr>
      <vt:lpstr>'Carbon Monoxide'!Propane</vt:lpstr>
      <vt:lpstr>Dichlorobenzene!Propane</vt:lpstr>
      <vt:lpstr>Formaldehyde!Propane</vt:lpstr>
      <vt:lpstr>'Naphthalene '!Propane</vt:lpstr>
      <vt:lpstr>Ozone!Propane</vt:lpstr>
      <vt:lpstr>Styrene!Propane</vt:lpstr>
      <vt:lpstr>Toluene!Propane</vt:lpstr>
      <vt:lpstr>'Xylenes-total'!Propane</vt:lpstr>
      <vt:lpstr>Propane</vt:lpstr>
      <vt:lpstr>Acetaldehyde!propanes</vt:lpstr>
      <vt:lpstr>'Atmospheric Particulate Matter'!propanes</vt:lpstr>
      <vt:lpstr>Benzene!propanes</vt:lpstr>
      <vt:lpstr>'Carbon Monoxide'!propanes</vt:lpstr>
      <vt:lpstr>Dichlorobenzene!propanes</vt:lpstr>
      <vt:lpstr>Formaldehyde!propanes</vt:lpstr>
      <vt:lpstr>'Naphthalene '!propanes</vt:lpstr>
      <vt:lpstr>Ozone!propanes</vt:lpstr>
      <vt:lpstr>Styrene!propanes</vt:lpstr>
      <vt:lpstr>Toluene!propanes</vt:lpstr>
      <vt:lpstr>'Xylenes-total'!propanes</vt:lpstr>
      <vt:lpstr>propanes</vt:lpstr>
      <vt:lpstr>Acetaldehyde!prounit</vt:lpstr>
      <vt:lpstr>'Atmospheric Particulate Matter'!prounit</vt:lpstr>
      <vt:lpstr>Benzene!prounit</vt:lpstr>
      <vt:lpstr>'Carbon Monoxide'!prounit</vt:lpstr>
      <vt:lpstr>Dichlorobenzene!prounit</vt:lpstr>
      <vt:lpstr>Formaldehyde!prounit</vt:lpstr>
      <vt:lpstr>'Naphthalene '!prounit</vt:lpstr>
      <vt:lpstr>Ozone!prounit</vt:lpstr>
      <vt:lpstr>Styrene!prounit</vt:lpstr>
      <vt:lpstr>Toluene!prounit</vt:lpstr>
      <vt:lpstr>'Xylenes-total'!prounit</vt:lpstr>
      <vt:lpstr>prounit</vt:lpstr>
      <vt:lpstr>RangeCount</vt:lpstr>
      <vt:lpstr>RangeCountVOC</vt:lpstr>
      <vt:lpstr>Acetaldehyde!ReadingTable</vt:lpstr>
      <vt:lpstr>'Atmospheric Particulate Matter'!ReadingTable</vt:lpstr>
      <vt:lpstr>Benzene!ReadingTable</vt:lpstr>
      <vt:lpstr>'Carbon Monoxide'!ReadingTable</vt:lpstr>
      <vt:lpstr>Dichlorobenzene!ReadingTable</vt:lpstr>
      <vt:lpstr>Formaldehyde!ReadingTable</vt:lpstr>
      <vt:lpstr>'Naphthalene '!ReadingTable</vt:lpstr>
      <vt:lpstr>Ozone!ReadingTable</vt:lpstr>
      <vt:lpstr>Styrene!ReadingTable</vt:lpstr>
      <vt:lpstr>Toluene!ReadingTable</vt:lpstr>
      <vt:lpstr>'Xylenes-total'!ReadingTable</vt:lpstr>
      <vt:lpstr>ReadingTable</vt:lpstr>
      <vt:lpstr>Acetaldehyde!ReadingTableVOC</vt:lpstr>
      <vt:lpstr>'Atmospheric Particulate Matter'!ReadingTableVOC</vt:lpstr>
      <vt:lpstr>Benzene!ReadingTableVOC</vt:lpstr>
      <vt:lpstr>'Carbon Monoxide'!ReadingTableVOC</vt:lpstr>
      <vt:lpstr>Dichlorobenzene!ReadingTableVOC</vt:lpstr>
      <vt:lpstr>Formaldehyde!ReadingTableVOC</vt:lpstr>
      <vt:lpstr>'Naphthalene '!ReadingTableVOC</vt:lpstr>
      <vt:lpstr>Ozone!ReadingTableVOC</vt:lpstr>
      <vt:lpstr>Styrene!ReadingTableVOC</vt:lpstr>
      <vt:lpstr>Toluene!ReadingTableVOC</vt:lpstr>
      <vt:lpstr>'Xylenes-total'!ReadingTableVOC</vt:lpstr>
      <vt:lpstr>ReadingTableVOC</vt:lpstr>
      <vt:lpstr>Acetaldehyde!spacetype</vt:lpstr>
      <vt:lpstr>'Atmospheric Particulate Matter'!spacetype</vt:lpstr>
      <vt:lpstr>Benzene!spacetype</vt:lpstr>
      <vt:lpstr>'Carbon Monoxide'!spacetype</vt:lpstr>
      <vt:lpstr>Dichlorobenzene!spacetype</vt:lpstr>
      <vt:lpstr>Formaldehyde!spacetype</vt:lpstr>
      <vt:lpstr>'Naphthalene '!spacetype</vt:lpstr>
      <vt:lpstr>Ozone!spacetype</vt:lpstr>
      <vt:lpstr>Styrene!spacetype</vt:lpstr>
      <vt:lpstr>Toluene!spacetype</vt:lpstr>
      <vt:lpstr>'Xylenes-total'!spacetype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'AnalyticsWater meter via upload'!water_meter_type</vt:lpstr>
      <vt:lpstr>water_meter_type</vt:lpstr>
      <vt:lpstr>'AnalyticsWater meter via upload'!water_type</vt:lpstr>
      <vt:lpstr>water_type</vt:lpstr>
      <vt:lpstr>'AnalyticsWater meter via upload'!water_units</vt:lpstr>
      <vt:lpstr>water_units</vt:lpstr>
      <vt:lpstr>Acetaldehyde!WaterDrp</vt:lpstr>
      <vt:lpstr>'AnalyticsWater meter via upload'!WaterDrp</vt:lpstr>
      <vt:lpstr>'Atmospheric Particulate Matter'!WaterDrp</vt:lpstr>
      <vt:lpstr>Benzene!WaterDrp</vt:lpstr>
      <vt:lpstr>'Carbon Monoxide'!WaterDrp</vt:lpstr>
      <vt:lpstr>Dichlorobenzene!WaterDrp</vt:lpstr>
      <vt:lpstr>Formaldehyde!WaterDrp</vt:lpstr>
      <vt:lpstr>'Naphthalene '!WaterDrp</vt:lpstr>
      <vt:lpstr>Ozone!WaterDrp</vt:lpstr>
      <vt:lpstr>Styrene!WaterDrp</vt:lpstr>
      <vt:lpstr>Toluene!WaterDrp</vt:lpstr>
      <vt:lpstr>'Xylenes-total'!WaterDrp</vt:lpstr>
      <vt:lpstr>WaterDrp</vt:lpstr>
      <vt:lpstr>'AnalyticsWater meter via upload'!waterType</vt:lpstr>
      <vt:lpstr>waterType</vt:lpstr>
      <vt:lpstr>'AnalyticsWater meter via upload'!waterUnits</vt:lpstr>
      <vt:lpstr>waterUnits</vt:lpstr>
      <vt:lpstr>'AnalyticsWater meter via upload'!watUn</vt:lpstr>
      <vt:lpstr>watUn</vt:lpstr>
      <vt:lpstr>Acetaldehyde!watUni</vt:lpstr>
      <vt:lpstr>'AnalyticsWater meter via upload'!watUni</vt:lpstr>
      <vt:lpstr>'Atmospheric Particulate Matter'!watUni</vt:lpstr>
      <vt:lpstr>Benzene!watUni</vt:lpstr>
      <vt:lpstr>'Carbon Monoxide'!watUni</vt:lpstr>
      <vt:lpstr>Dichlorobenzene!watUni</vt:lpstr>
      <vt:lpstr>Formaldehyde!watUni</vt:lpstr>
      <vt:lpstr>'Naphthalene '!watUni</vt:lpstr>
      <vt:lpstr>Ozone!watUni</vt:lpstr>
      <vt:lpstr>Styrene!watUni</vt:lpstr>
      <vt:lpstr>Toluene!watUni</vt:lpstr>
      <vt:lpstr>'Xylenes-total'!watUni</vt:lpstr>
      <vt:lpstr>watUni</vt:lpstr>
      <vt:lpstr>waUn</vt:lpstr>
      <vt:lpstr>waunit</vt:lpstr>
      <vt:lpstr>Acetaldehyde!Wood</vt:lpstr>
      <vt:lpstr>'Atmospheric Particulate Matter'!Wood</vt:lpstr>
      <vt:lpstr>Benzene!Wood</vt:lpstr>
      <vt:lpstr>'Carbon Monoxide'!Wood</vt:lpstr>
      <vt:lpstr>Dichlorobenzene!Wood</vt:lpstr>
      <vt:lpstr>Formaldehyde!Wood</vt:lpstr>
      <vt:lpstr>'Naphthalene '!Wood</vt:lpstr>
      <vt:lpstr>Ozone!Wood</vt:lpstr>
      <vt:lpstr>Styrene!Wood</vt:lpstr>
      <vt:lpstr>Toluene!Wood</vt:lpstr>
      <vt:lpstr>'Xylenes-total'!Wood</vt:lpstr>
      <vt:lpstr>Wood</vt:lpstr>
      <vt:lpstr>Acetaldehyde!woods</vt:lpstr>
      <vt:lpstr>'Atmospheric Particulate Matter'!woods</vt:lpstr>
      <vt:lpstr>Benzene!woods</vt:lpstr>
      <vt:lpstr>'Carbon Monoxide'!woods</vt:lpstr>
      <vt:lpstr>Dichlorobenzene!woods</vt:lpstr>
      <vt:lpstr>Formaldehyde!woods</vt:lpstr>
      <vt:lpstr>'Naphthalene '!woods</vt:lpstr>
      <vt:lpstr>Ozone!woods</vt:lpstr>
      <vt:lpstr>Styrene!woods</vt:lpstr>
      <vt:lpstr>Toluene!woods</vt:lpstr>
      <vt:lpstr>'Xylenes-total'!woods</vt:lpstr>
      <vt:lpstr>woods</vt:lpstr>
      <vt:lpstr>Acetaldehyde!woodunit</vt:lpstr>
      <vt:lpstr>'Atmospheric Particulate Matter'!woodunit</vt:lpstr>
      <vt:lpstr>Benzene!woodunit</vt:lpstr>
      <vt:lpstr>'Carbon Monoxide'!woodunit</vt:lpstr>
      <vt:lpstr>Dichlorobenzene!woodunit</vt:lpstr>
      <vt:lpstr>Formaldehyde!woodunit</vt:lpstr>
      <vt:lpstr>'Naphthalene '!woodunit</vt:lpstr>
      <vt:lpstr>Ozone!woodunit</vt:lpstr>
      <vt:lpstr>Styrene!woodunit</vt:lpstr>
      <vt:lpstr>Toluene!woodunit</vt:lpstr>
      <vt:lpstr>'Xylenes-total'!woodunit</vt:lpstr>
      <vt:lpstr>woodunit</vt:lpstr>
      <vt:lpstr>'AnalyticsWater meter via upload'!zep</vt:lpstr>
      <vt:lpstr>zep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Abhishek kumar</cp:lastModifiedBy>
  <cp:lastPrinted>2017-09-22T06:24:12Z</cp:lastPrinted>
  <dcterms:created xsi:type="dcterms:W3CDTF">2014-11-12T06:32:08Z</dcterms:created>
  <dcterms:modified xsi:type="dcterms:W3CDTF">2019-06-28T05:20:50Z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