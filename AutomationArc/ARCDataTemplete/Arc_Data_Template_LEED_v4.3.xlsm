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1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2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2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22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2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utomationArc\ARCDataTemplete\"/>
    </mc:Choice>
  </mc:AlternateContent>
  <xr:revisionPtr revIDLastSave="0" documentId="13_ncr:1_{EDFF074D-0C8C-4405-9BD5-C1B94F648832}" xr6:coauthVersionLast="43" xr6:coauthVersionMax="43" xr10:uidLastSave="{00000000-0000-0000-0000-000000000000}"/>
  <bookViews>
    <workbookView xWindow="-120" yWindow="-120" windowWidth="20730" windowHeight="11310" activeTab="1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AnalyticsEnergy Meter via up..." sheetId="28" r:id="rId5"/>
    <sheet name="AnalyticsWater meter via upload" sheetId="29" r:id="rId6"/>
    <sheet name="base_f" sheetId="8" state="hidden" r:id="rId7"/>
    <sheet name="CO2 Reading for Upload" sheetId="12" r:id="rId8"/>
    <sheet name="CO2 Readings" sheetId="14" r:id="rId9"/>
    <sheet name="TVOC Reading for Upload" sheetId="13" r:id="rId10"/>
    <sheet name="TVOC Readings" sheetId="15" r:id="rId11"/>
    <sheet name="Waste Stream" sheetId="11" state="hidden" r:id="rId12"/>
    <sheet name="Carbon Monoxide" sheetId="17" r:id="rId13"/>
    <sheet name="Ozone" sheetId="18" r:id="rId14"/>
    <sheet name="Atmospheric Particulate Matter" sheetId="19" r:id="rId15"/>
    <sheet name="Acetaldehyde" sheetId="20" r:id="rId16"/>
    <sheet name="Benzene" sheetId="21" r:id="rId17"/>
    <sheet name="Styrene" sheetId="22" r:id="rId18"/>
    <sheet name="Toluene" sheetId="23" r:id="rId19"/>
    <sheet name="Naphthalene " sheetId="24" r:id="rId20"/>
    <sheet name="Dichlorobenzene" sheetId="25" r:id="rId21"/>
    <sheet name="Xylenes-total" sheetId="26" r:id="rId22"/>
    <sheet name="Formaldehyde" sheetId="27" r:id="rId23"/>
    <sheet name="base_summary" sheetId="3" state="hidden" r:id="rId24"/>
  </sheets>
  <definedNames>
    <definedName name="_xlnm._FilterDatabase" localSheetId="8" hidden="1">'CO2 Readings'!$B$2:$F$4</definedName>
    <definedName name="_xlnm._FilterDatabase" localSheetId="10" hidden="1">'TVOC Readings'!$B$2:$G$4</definedName>
    <definedName name="columnDelete">'CO2 Readings'!$6:$6</definedName>
    <definedName name="columnDeleteVOC">'TVOC Readings'!$6:$6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Readings'!$A$18:$E$18</definedName>
    <definedName name="DataCopyVOC">'TVOC Readings'!$A$17:$E$17</definedName>
    <definedName name="Dates" localSheetId="15">'CO2 Readings'!$14:$14</definedName>
    <definedName name="Dates" localSheetId="14">'CO2 Readings'!$14:$14</definedName>
    <definedName name="Dates" localSheetId="16">'CO2 Readings'!$14:$14</definedName>
    <definedName name="Dates" localSheetId="12">'CO2 Readings'!$14:$14</definedName>
    <definedName name="Dates" localSheetId="20">'CO2 Readings'!$14:$14</definedName>
    <definedName name="Dates" localSheetId="22">'CO2 Readings'!$14:$14</definedName>
    <definedName name="Dates" localSheetId="19">'CO2 Readings'!$14:$14</definedName>
    <definedName name="Dates" localSheetId="13">'CO2 Readings'!$14:$14</definedName>
    <definedName name="Dates" localSheetId="17">'CO2 Readings'!$14:$14</definedName>
    <definedName name="Dates" localSheetId="18">'CO2 Readings'!$14:$14</definedName>
    <definedName name="Dates" localSheetId="21">'CO2 Readings'!$14:$14</definedName>
    <definedName name="Dates">'CO2 Readings'!$14:$14</definedName>
    <definedName name="DatesVOC" localSheetId="15">'TVOC Readings'!$13:$13</definedName>
    <definedName name="DatesVOC" localSheetId="14">'TVOC Readings'!$13:$13</definedName>
    <definedName name="DatesVOC" localSheetId="16">'TVOC Readings'!$13:$13</definedName>
    <definedName name="DatesVOC" localSheetId="12">'TVOC Readings'!$13:$13</definedName>
    <definedName name="DatesVOC" localSheetId="20">'TVOC Readings'!$13:$13</definedName>
    <definedName name="DatesVOC" localSheetId="22">'TVOC Readings'!$13:$13</definedName>
    <definedName name="DatesVOC" localSheetId="19">'TVOC Readings'!$13:$13</definedName>
    <definedName name="DatesVOC" localSheetId="13">'TVOC Readings'!$13:$13</definedName>
    <definedName name="DatesVOC" localSheetId="17">'TVOC Readings'!$13:$13</definedName>
    <definedName name="DatesVOC" localSheetId="18">'TVOC Readings'!$13:$13</definedName>
    <definedName name="DatesVOC" localSheetId="21">'TVOC Readings'!$13:$13</definedName>
    <definedName name="DatesVOC">'TVOC Readings'!$13:$13</definedName>
    <definedName name="DelRwNmEnd">'CO2 Reading for Upload'!$A$11:$E$11</definedName>
    <definedName name="DelRwNmEndVOC">'TVOC Reading for Upload'!$A$10:$E$10</definedName>
    <definedName name="DelRwNmStart">'CO2 Reading for Upload'!$A$6:$E$6</definedName>
    <definedName name="DelRwNmStartVOC">'TVOC Reading for Upload'!$A$6:$E$6</definedName>
    <definedName name="elecName" localSheetId="15">base_e!$G$15:$G$19</definedName>
    <definedName name="elecName" localSheetId="4">'AnalyticsEnergy Meter via up...'!$G$15:$G$19</definedName>
    <definedName name="elecName" localSheetId="14">base_e!$G$15:$G$19</definedName>
    <definedName name="elecName" localSheetId="16">base_e!$G$15:$G$19</definedName>
    <definedName name="elecName" localSheetId="12">base_e!$G$15:$G$19</definedName>
    <definedName name="elecName" localSheetId="20">base_e!$G$15:$G$19</definedName>
    <definedName name="elecName" localSheetId="22">base_e!$G$15:$G$19</definedName>
    <definedName name="elecName" localSheetId="19">base_e!$G$15:$G$19</definedName>
    <definedName name="elecName" localSheetId="13">base_e!$G$15:$G$19</definedName>
    <definedName name="elecName" localSheetId="17">base_e!$G$15:$G$19</definedName>
    <definedName name="elecName" localSheetId="18">base_e!$G$15:$G$19</definedName>
    <definedName name="elecName" localSheetId="21">base_e!$G$15:$G$19</definedName>
    <definedName name="elecName">base_e!$G$15:$G$19</definedName>
    <definedName name="ElectricityDrp" localSheetId="15">base_e!$J$9:$J$10</definedName>
    <definedName name="ElectricityDrp" localSheetId="4">'AnalyticsEnergy Meter via up...'!$J$9:$J$10</definedName>
    <definedName name="ElectricityDrp" localSheetId="14">base_e!$J$9:$J$10</definedName>
    <definedName name="ElectricityDrp" localSheetId="16">base_e!$J$9:$J$10</definedName>
    <definedName name="ElectricityDrp" localSheetId="12">base_e!$J$9:$J$10</definedName>
    <definedName name="ElectricityDrp" localSheetId="20">base_e!$J$9:$J$10</definedName>
    <definedName name="ElectricityDrp" localSheetId="22">base_e!$J$9:$J$10</definedName>
    <definedName name="ElectricityDrp" localSheetId="19">base_e!$J$9:$J$10</definedName>
    <definedName name="ElectricityDrp" localSheetId="13">base_e!$J$9:$J$10</definedName>
    <definedName name="ElectricityDrp" localSheetId="17">base_e!$J$9:$J$10</definedName>
    <definedName name="ElectricityDrp" localSheetId="18">base_e!$J$9:$J$10</definedName>
    <definedName name="ElectricityDrp" localSheetId="21">base_e!$J$9:$J$10</definedName>
    <definedName name="ElectricityDrp">base_e!$J$9:$J$10</definedName>
    <definedName name="fdet" localSheetId="15">Acetaldehyde!$H$1:$H$13</definedName>
    <definedName name="fdet" localSheetId="14">'Atmospheric Particulate Matter'!$H$1:$H$13</definedName>
    <definedName name="fdet" localSheetId="16">Benzene!$H$1:$H$13</definedName>
    <definedName name="fdet" localSheetId="12">'Carbon Monoxide'!$H$1:$H$13</definedName>
    <definedName name="fdet" localSheetId="20">Dichlorobenzene!$H$1:$H$13</definedName>
    <definedName name="fdet" localSheetId="22">Formaldehyde!$H$1:$H$13</definedName>
    <definedName name="fdet" localSheetId="19">'Naphthalene '!$H$1:$H$13</definedName>
    <definedName name="fdet" localSheetId="13">Ozone!$H$1:$H$13</definedName>
    <definedName name="fdet" localSheetId="17">Styrene!$H$1:$H$13</definedName>
    <definedName name="fdet" localSheetId="18">Toluene!$H$1:$H$13</definedName>
    <definedName name="fdet" localSheetId="21">'Xylenes-total'!$H$1:$H$13</definedName>
    <definedName name="fdet">base_f!$H$1:$H$13</definedName>
    <definedName name="fude" localSheetId="15">Acetaldehyde!$D$14:$D$31</definedName>
    <definedName name="fude" localSheetId="14">'Atmospheric Particulate Matter'!$D$14:$D$31</definedName>
    <definedName name="fude" localSheetId="16">Benzene!$D$14:$D$31</definedName>
    <definedName name="fude" localSheetId="12">'Carbon Monoxide'!$D$14:$D$31</definedName>
    <definedName name="fude" localSheetId="20">Dichlorobenzene!$D$14:$D$31</definedName>
    <definedName name="fude" localSheetId="22">Formaldehyde!$D$14:$D$31</definedName>
    <definedName name="fude" localSheetId="19">'Naphthalene '!$D$14:$D$31</definedName>
    <definedName name="fude" localSheetId="13">Ozone!$D$14:$D$31</definedName>
    <definedName name="fude" localSheetId="17">Styrene!$D$14:$D$31</definedName>
    <definedName name="fude" localSheetId="18">Toluene!$D$14:$D$31</definedName>
    <definedName name="fude" localSheetId="21">'Xylenes-total'!$D$14:$D$31</definedName>
    <definedName name="fude">base_f!$D$14:$D$31</definedName>
    <definedName name="fuel1" localSheetId="15">Acetaldehyde!$L$16:$L$23</definedName>
    <definedName name="fuel1" localSheetId="14">'Atmospheric Particulate Matter'!$L$16:$L$23</definedName>
    <definedName name="fuel1" localSheetId="16">Benzene!$L$16:$L$23</definedName>
    <definedName name="fuel1" localSheetId="12">'Carbon Monoxide'!$L$16:$L$23</definedName>
    <definedName name="fuel1" localSheetId="20">Dichlorobenzene!$L$16:$L$23</definedName>
    <definedName name="fuel1" localSheetId="22">Formaldehyde!$L$16:$L$23</definedName>
    <definedName name="fuel1" localSheetId="19">'Naphthalene '!$L$16:$L$23</definedName>
    <definedName name="fuel1" localSheetId="13">Ozone!$L$16:$L$23</definedName>
    <definedName name="fuel1" localSheetId="17">Styrene!$L$16:$L$23</definedName>
    <definedName name="fuel1" localSheetId="18">Toluene!$L$16:$L$23</definedName>
    <definedName name="fuel1" localSheetId="21">'Xylenes-total'!$L$16:$L$23</definedName>
    <definedName name="fuel1">base_f!$L$16:$L$23</definedName>
    <definedName name="fuel2" localSheetId="15">Acetaldehyde!$M$16:$M$23</definedName>
    <definedName name="fuel2" localSheetId="14">'Atmospheric Particulate Matter'!$M$16:$M$23</definedName>
    <definedName name="fuel2" localSheetId="16">Benzene!$M$16:$M$23</definedName>
    <definedName name="fuel2" localSheetId="12">'Carbon Monoxide'!$M$16:$M$23</definedName>
    <definedName name="fuel2" localSheetId="20">Dichlorobenzene!$M$16:$M$23</definedName>
    <definedName name="fuel2" localSheetId="22">Formaldehyde!$M$16:$M$23</definedName>
    <definedName name="fuel2" localSheetId="19">'Naphthalene '!$M$16:$M$23</definedName>
    <definedName name="fuel2" localSheetId="13">Ozone!$M$16:$M$23</definedName>
    <definedName name="fuel2" localSheetId="17">Styrene!$M$16:$M$23</definedName>
    <definedName name="fuel2" localSheetId="18">Toluene!$M$16:$M$23</definedName>
    <definedName name="fuel2" localSheetId="21">'Xylenes-total'!$M$16:$M$23</definedName>
    <definedName name="fuel2">base_f!$M$16:$M$23</definedName>
    <definedName name="fuelname" localSheetId="15">Acetaldehyde!#REF!</definedName>
    <definedName name="fuelname" localSheetId="4">base_f!#REF!</definedName>
    <definedName name="fuelname" localSheetId="5">base_f!#REF!</definedName>
    <definedName name="fuelname" localSheetId="14">'Atmospheric Particulate Matter'!#REF!</definedName>
    <definedName name="fuelname" localSheetId="16">Benzene!#REF!</definedName>
    <definedName name="fuelname" localSheetId="12">'Carbon Monoxide'!#REF!</definedName>
    <definedName name="fuelname" localSheetId="20">Dichlorobenzene!#REF!</definedName>
    <definedName name="fuelname" localSheetId="22">Formaldehyde!#REF!</definedName>
    <definedName name="fuelname" localSheetId="19">'Naphthalene '!#REF!</definedName>
    <definedName name="fuelname" localSheetId="13">Ozone!#REF!</definedName>
    <definedName name="fuelname" localSheetId="17">Styrene!#REF!</definedName>
    <definedName name="fuelname" localSheetId="18">Toluene!#REF!</definedName>
    <definedName name="fuelname" localSheetId="21">'Xylenes-total'!#REF!</definedName>
    <definedName name="fuelname">base_f!#REF!</definedName>
    <definedName name="kerosene" localSheetId="15">Acetaldehyde!$K$16:$K$23</definedName>
    <definedName name="kerosene" localSheetId="14">'Atmospheric Particulate Matter'!$K$16:$K$23</definedName>
    <definedName name="kerosene" localSheetId="16">Benzene!$K$16:$K$23</definedName>
    <definedName name="kerosene" localSheetId="12">'Carbon Monoxide'!$K$16:$K$23</definedName>
    <definedName name="kerosene" localSheetId="20">Dichlorobenzene!$K$16:$K$23</definedName>
    <definedName name="kerosene" localSheetId="22">Formaldehyde!$K$16:$K$23</definedName>
    <definedName name="kerosene" localSheetId="19">'Naphthalene '!$K$16:$K$23</definedName>
    <definedName name="kerosene" localSheetId="13">Ozone!$K$16:$K$23</definedName>
    <definedName name="kerosene" localSheetId="17">Styrene!$K$16:$K$23</definedName>
    <definedName name="kerosene" localSheetId="18">Toluene!$K$16:$K$23</definedName>
    <definedName name="kerosene" localSheetId="21">'Xylenes-total'!$K$16:$K$23</definedName>
    <definedName name="kerosene">base_f!$K$16:$K$23</definedName>
    <definedName name="liquid" localSheetId="15">Acetaldehyde!$J$16:$J$25</definedName>
    <definedName name="liquid" localSheetId="14">'Atmospheric Particulate Matter'!$J$16:$J$25</definedName>
    <definedName name="liquid" localSheetId="16">Benzene!$J$16:$J$25</definedName>
    <definedName name="liquid" localSheetId="12">'Carbon Monoxide'!$J$16:$J$25</definedName>
    <definedName name="liquid" localSheetId="20">Dichlorobenzene!$J$16:$J$25</definedName>
    <definedName name="liquid" localSheetId="22">Formaldehyde!$J$16:$J$25</definedName>
    <definedName name="liquid" localSheetId="19">'Naphthalene '!$J$16:$J$25</definedName>
    <definedName name="liquid" localSheetId="13">Ozone!$J$16:$J$25</definedName>
    <definedName name="liquid" localSheetId="17">Styrene!$J$16:$J$25</definedName>
    <definedName name="liquid" localSheetId="18">Toluene!$J$16:$J$25</definedName>
    <definedName name="liquid" localSheetId="21">'Xylenes-total'!$J$16:$J$25</definedName>
    <definedName name="liquid">base_f!$J$16:$J$25</definedName>
    <definedName name="Meter" localSheetId="4">Instructions!#REF!</definedName>
    <definedName name="Meter" localSheetId="5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5">Acetaldehyde!$G$19:$G$36</definedName>
    <definedName name="myCategoryH" localSheetId="14">'Atmospheric Particulate Matter'!$G$19:$G$36</definedName>
    <definedName name="myCategoryH" localSheetId="16">Benzene!$G$19:$G$36</definedName>
    <definedName name="myCategoryH" localSheetId="12">'Carbon Monoxide'!$G$19:$G$36</definedName>
    <definedName name="myCategoryH" localSheetId="20">Dichlorobenzene!$G$19:$G$36</definedName>
    <definedName name="myCategoryH" localSheetId="22">Formaldehyde!$G$19:$G$36</definedName>
    <definedName name="myCategoryH" localSheetId="19">'Naphthalene '!$G$19:$G$36</definedName>
    <definedName name="myCategoryH" localSheetId="13">Ozone!$G$19:$G$36</definedName>
    <definedName name="myCategoryH" localSheetId="17">Styrene!$G$19:$G$36</definedName>
    <definedName name="myCategoryH" localSheetId="18">Toluene!$G$19:$G$36</definedName>
    <definedName name="myCategoryH" localSheetId="21">'Xylenes-total'!$G$19:$G$36</definedName>
    <definedName name="myCategoryH">base_f!$G$19:$G$36</definedName>
    <definedName name="myitem" localSheetId="15">OFFSET(myItemList,0,0,1,COUNTA(myItemList))</definedName>
    <definedName name="myitem" localSheetId="4">OFFSET(myItemList,0,0,1,COUNTA(myItemList))</definedName>
    <definedName name="myitem" localSheetId="5">OFFSET(myItemList,0,0,1,COUNTA(myItemList))</definedName>
    <definedName name="myitem" localSheetId="14">OFFSET(myItemList,0,0,1,COUNTA(myItemList))</definedName>
    <definedName name="myitem" localSheetId="16">OFFSET(myItemList,0,0,1,COUNTA(myItemList))</definedName>
    <definedName name="myitem" localSheetId="12">OFFSET(myItemList,0,0,1,COUNTA(myItemList))</definedName>
    <definedName name="myitem" localSheetId="20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 localSheetId="13">OFFSET(myItemList,0,0,1,COUNTA(myItemList))</definedName>
    <definedName name="myitem" localSheetId="17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>OFFSET(myItemList,0,0,1,COUNTA(myItemList))</definedName>
    <definedName name="myItemListH" localSheetId="15">INDEX(Acetaldehyde!myTableH,MATCH(Acetaldehyde!A1048576,Acetaldehyde!myCategoryH,0),0)</definedName>
    <definedName name="myItemListH" localSheetId="14">INDEX('Atmospheric Particulate Matter'!myTableH,MATCH('Atmospheric Particulate Matter'!A1048576,'Atmospheric Particulate Matter'!myCategoryH,0),0)</definedName>
    <definedName name="myItemListH" localSheetId="16">INDEX(Benzene!myTableH,MATCH(Benzene!A1048576,Benzene!myCategoryH,0),0)</definedName>
    <definedName name="myItemListH" localSheetId="12">INDEX('Carbon Monoxide'!myTableH,MATCH('Carbon Monoxide'!A1048576,'Carbon Monoxide'!myCategoryH,0),0)</definedName>
    <definedName name="myItemListH" localSheetId="20">INDEX(Dichlorobenzene!myTableH,MATCH(Dichlorobenzene!A1048576,Dichlorobenzene!myCategoryH,0),0)</definedName>
    <definedName name="myItemListH" localSheetId="22">INDEX(Formaldehyde!myTableH,MATCH(Formaldehyde!A1048576,Formaldehyde!myCategoryH,0),0)</definedName>
    <definedName name="myItemListH" localSheetId="19">INDEX('Naphthalene '!myTableH,MATCH('Naphthalene '!A1048576,'Naphthalene '!myCategoryH,0),0)</definedName>
    <definedName name="myItemListH" localSheetId="13">INDEX(Ozone!myTableH,MATCH(Ozone!A1048576,Ozone!myCategoryH,0),0)</definedName>
    <definedName name="myItemListH" localSheetId="17">INDEX(Styrene!myTableH,MATCH(Styrene!A1048576,Styrene!myCategoryH,0),0)</definedName>
    <definedName name="myItemListH" localSheetId="18">INDEX(Toluene!myTableH,MATCH(Toluene!A1048576,Toluene!myCategoryH,0),0)</definedName>
    <definedName name="myItemListH" localSheetId="21">INDEX('Xylenes-total'!myTableH,MATCH('Xylenes-total'!A1048576,'Xylenes-total'!myCategoryH,0),0)</definedName>
    <definedName name="myItemListH">INDEX(myTableH,MATCH(base_f!A1048576,myCategoryH,0),0)</definedName>
    <definedName name="myTableH" localSheetId="15">Acetaldehyde!$H$19:$V$36</definedName>
    <definedName name="myTableH" localSheetId="14">'Atmospheric Particulate Matter'!$H$19:$V$36</definedName>
    <definedName name="myTableH" localSheetId="16">Benzene!$H$19:$V$36</definedName>
    <definedName name="myTableH" localSheetId="12">'Carbon Monoxide'!$H$19:$V$36</definedName>
    <definedName name="myTableH" localSheetId="20">Dichlorobenzene!$H$19:$V$36</definedName>
    <definedName name="myTableH" localSheetId="22">Formaldehyde!$H$19:$V$36</definedName>
    <definedName name="myTableH" localSheetId="19">'Naphthalene '!$H$19:$V$36</definedName>
    <definedName name="myTableH" localSheetId="13">Ozone!$H$19:$V$36</definedName>
    <definedName name="myTableH" localSheetId="17">Styrene!$H$19:$V$36</definedName>
    <definedName name="myTableH" localSheetId="18">Toluene!$H$19:$V$36</definedName>
    <definedName name="myTableH" localSheetId="21">'Xylenes-total'!$H$19:$V$36</definedName>
    <definedName name="myTableH">base_f!$H$19:$V$36</definedName>
    <definedName name="newMet" localSheetId="15">Instructions!$Q$33:$Q$34</definedName>
    <definedName name="newMet" localSheetId="14">Instructions!$Q$33:$Q$34</definedName>
    <definedName name="newMet" localSheetId="16">Instructions!$Q$33:$Q$34</definedName>
    <definedName name="newMet" localSheetId="12">Instructions!$Q$33:$Q$34</definedName>
    <definedName name="newMet" localSheetId="20">Instructions!$Q$33:$Q$34</definedName>
    <definedName name="newMet" localSheetId="22">Instructions!$Q$33:$Q$34</definedName>
    <definedName name="newMet" localSheetId="19">Instructions!$Q$33:$Q$34</definedName>
    <definedName name="newMet" localSheetId="13">Instructions!$Q$33:$Q$34</definedName>
    <definedName name="newMet" localSheetId="17">Instructions!$Q$33:$Q$34</definedName>
    <definedName name="newMet" localSheetId="18">Instructions!$Q$33:$Q$34</definedName>
    <definedName name="newMet" localSheetId="21">Instructions!$Q$33:$Q$34</definedName>
    <definedName name="newMet">Instructions!$Q$33:$Q$34</definedName>
    <definedName name="newWaUnit" localSheetId="15">'Waste Stream'!$I$12:$I$14</definedName>
    <definedName name="newWaUnit" localSheetId="14">'Waste Stream'!$I$12:$I$14</definedName>
    <definedName name="newWaUnit" localSheetId="16">'Waste Stream'!$I$12:$I$14</definedName>
    <definedName name="newWaUnit" localSheetId="12">'Waste Stream'!$I$12:$I$14</definedName>
    <definedName name="newWaUnit" localSheetId="20">'Waste Stream'!$I$12:$I$14</definedName>
    <definedName name="newWaUnit" localSheetId="22">'Waste Stream'!$I$12:$I$14</definedName>
    <definedName name="newWaUnit" localSheetId="19">'Waste Stream'!$I$12:$I$14</definedName>
    <definedName name="newWaUnit" localSheetId="13">'Waste Stream'!$I$12:$I$14</definedName>
    <definedName name="newWaUnit" localSheetId="17">'Waste Stream'!$I$12:$I$14</definedName>
    <definedName name="newWaUnit" localSheetId="18">'Waste Stream'!$I$12:$I$14</definedName>
    <definedName name="newWaUnit" localSheetId="21">'Waste Stream'!$I$12:$I$14</definedName>
    <definedName name="newWaUnit">'Waste Stream'!$I$12:$I$14</definedName>
    <definedName name="Other_Fuels_Drp" localSheetId="15">Acetaldehyde!$V$10</definedName>
    <definedName name="Other_Fuels_Drp" localSheetId="14">'Atmospheric Particulate Matter'!$V$10</definedName>
    <definedName name="Other_Fuels_Drp" localSheetId="16">Benzene!$V$10</definedName>
    <definedName name="Other_Fuels_Drp" localSheetId="12">'Carbon Monoxide'!$V$10</definedName>
    <definedName name="Other_Fuels_Drp" localSheetId="20">Dichlorobenzene!$V$10</definedName>
    <definedName name="Other_Fuels_Drp" localSheetId="22">Formaldehyde!$V$10</definedName>
    <definedName name="Other_Fuels_Drp" localSheetId="19">'Naphthalene '!$V$10</definedName>
    <definedName name="Other_Fuels_Drp" localSheetId="13">Ozone!$V$10</definedName>
    <definedName name="Other_Fuels_Drp" localSheetId="17">Styrene!$V$10</definedName>
    <definedName name="Other_Fuels_Drp" localSheetId="18">Toluene!$V$10</definedName>
    <definedName name="Other_Fuels_Drp" localSheetId="21">'Xylenes-total'!$V$10</definedName>
    <definedName name="Other_Fuels_Drp">base_f!$V$10</definedName>
    <definedName name="Period__Start_Date" localSheetId="15">COUNTIF(base_w!$B:$B,base_w!A1)=1</definedName>
    <definedName name="Period__Start_Date" localSheetId="5">COUNTIF('AnalyticsWater meter via upload'!$B:$B,'AnalyticsWater meter via upload'!A1)=1</definedName>
    <definedName name="Period__Start_Date" localSheetId="14">COUNTIF(base_w!$B:$B,base_w!A1)=1</definedName>
    <definedName name="Period__Start_Date" localSheetId="16">COUNTIF(base_w!$B:$B,base_w!A1)=1</definedName>
    <definedName name="Period__Start_Date" localSheetId="12">COUNTIF(base_w!$B:$B,base_w!A1)=1</definedName>
    <definedName name="Period__Start_Date" localSheetId="20">COUNTIF(base_w!$B:$B,base_w!A1)=1</definedName>
    <definedName name="Period__Start_Date" localSheetId="22">COUNTIF(base_w!$B:$B,base_w!A1)=1</definedName>
    <definedName name="Period__Start_Date" localSheetId="19">COUNTIF(base_w!$B:$B,base_w!A1)=1</definedName>
    <definedName name="Period__Start_Date" localSheetId="13">COUNTIF(base_w!$B:$B,base_w!A1)=1</definedName>
    <definedName name="Period__Start_Date" localSheetId="17">COUNTIF(base_w!$B:$B,base_w!A1)=1</definedName>
    <definedName name="Period__Start_Date" localSheetId="18">COUNTIF(base_w!$B:$B,base_w!A1)=1</definedName>
    <definedName name="Period__Start_Date" localSheetId="21">COUNTIF(base_w!$B:$B,base_w!A1)=1</definedName>
    <definedName name="Period__Start_Date">COUNTIF(base_w!$B:$B,base_w!A1)=1</definedName>
    <definedName name="Propane" localSheetId="15">Acetaldehyde!$I$16:$I$27</definedName>
    <definedName name="Propane" localSheetId="14">'Atmospheric Particulate Matter'!$I$16:$I$27</definedName>
    <definedName name="Propane" localSheetId="16">Benzene!$I$16:$I$27</definedName>
    <definedName name="Propane" localSheetId="12">'Carbon Monoxide'!$I$16:$I$27</definedName>
    <definedName name="Propane" localSheetId="20">Dichlorobenzene!$I$16:$I$27</definedName>
    <definedName name="Propane" localSheetId="22">Formaldehyde!$I$16:$I$27</definedName>
    <definedName name="Propane" localSheetId="19">'Naphthalene '!$I$16:$I$27</definedName>
    <definedName name="Propane" localSheetId="13">Ozone!$I$16:$I$27</definedName>
    <definedName name="Propane" localSheetId="17">Styrene!$I$16:$I$27</definedName>
    <definedName name="Propane" localSheetId="18">Toluene!$I$16:$I$27</definedName>
    <definedName name="Propane" localSheetId="21">'Xylenes-total'!$I$16:$I$27</definedName>
    <definedName name="Propane">base_f!$I$16:$I$27</definedName>
    <definedName name="propanes" localSheetId="15">Acetaldehyde!$I$16:$I$25</definedName>
    <definedName name="propanes" localSheetId="14">'Atmospheric Particulate Matter'!$I$16:$I$25</definedName>
    <definedName name="propanes" localSheetId="16">Benzene!$I$16:$I$25</definedName>
    <definedName name="propanes" localSheetId="12">'Carbon Monoxide'!$I$16:$I$25</definedName>
    <definedName name="propanes" localSheetId="20">Dichlorobenzene!$I$16:$I$25</definedName>
    <definedName name="propanes" localSheetId="22">Formaldehyde!$I$16:$I$25</definedName>
    <definedName name="propanes" localSheetId="19">'Naphthalene '!$I$16:$I$25</definedName>
    <definedName name="propanes" localSheetId="13">Ozone!$I$16:$I$25</definedName>
    <definedName name="propanes" localSheetId="17">Styrene!$I$16:$I$25</definedName>
    <definedName name="propanes" localSheetId="18">Toluene!$I$16:$I$25</definedName>
    <definedName name="propanes" localSheetId="21">'Xylenes-total'!$I$16:$I$25</definedName>
    <definedName name="propanes">base_f!$I$16:$I$25</definedName>
    <definedName name="prounit" localSheetId="15">Acetaldehyde!$I$16:$I$25</definedName>
    <definedName name="prounit" localSheetId="14">'Atmospheric Particulate Matter'!$I$16:$I$25</definedName>
    <definedName name="prounit" localSheetId="16">Benzene!$I$16:$I$25</definedName>
    <definedName name="prounit" localSheetId="12">'Carbon Monoxide'!$I$16:$I$25</definedName>
    <definedName name="prounit" localSheetId="20">Dichlorobenzene!$I$16:$I$25</definedName>
    <definedName name="prounit" localSheetId="22">Formaldehyde!$I$16:$I$25</definedName>
    <definedName name="prounit" localSheetId="19">'Naphthalene '!$I$16:$I$25</definedName>
    <definedName name="prounit" localSheetId="13">Ozone!$I$16:$I$25</definedName>
    <definedName name="prounit" localSheetId="17">Styrene!$I$16:$I$25</definedName>
    <definedName name="prounit" localSheetId="18">Toluene!$I$16:$I$25</definedName>
    <definedName name="prounit" localSheetId="21">'Xylenes-total'!$I$16:$I$25</definedName>
    <definedName name="prounit">base_f!$I$16:$I$25</definedName>
    <definedName name="RangeCount">'CO2 Reading for Upload'!$B$6:$B$11</definedName>
    <definedName name="RangeCountVOC">'TVOC Reading for Upload'!$B$6:$B$10</definedName>
    <definedName name="ReadingTable" localSheetId="15">'CO2 Readings'!$14:$15</definedName>
    <definedName name="ReadingTable" localSheetId="14">'CO2 Readings'!$14:$15</definedName>
    <definedName name="ReadingTable" localSheetId="16">'CO2 Readings'!$14:$15</definedName>
    <definedName name="ReadingTable" localSheetId="12">'CO2 Readings'!$14:$15</definedName>
    <definedName name="ReadingTable" localSheetId="20">'CO2 Readings'!$14:$15</definedName>
    <definedName name="ReadingTable" localSheetId="22">'CO2 Readings'!$14:$15</definedName>
    <definedName name="ReadingTable" localSheetId="19">'CO2 Readings'!$14:$15</definedName>
    <definedName name="ReadingTable" localSheetId="13">'CO2 Readings'!$14:$15</definedName>
    <definedName name="ReadingTable" localSheetId="17">'CO2 Readings'!$14:$15</definedName>
    <definedName name="ReadingTable" localSheetId="18">'CO2 Readings'!$14:$15</definedName>
    <definedName name="ReadingTable" localSheetId="21">'CO2 Readings'!$14:$15</definedName>
    <definedName name="ReadingTable">'CO2 Readings'!$14:$15</definedName>
    <definedName name="ReadingTableVOC" localSheetId="15">'TVOC Readings'!$13:$14</definedName>
    <definedName name="ReadingTableVOC" localSheetId="14">'TVOC Readings'!$13:$14</definedName>
    <definedName name="ReadingTableVOC" localSheetId="16">'TVOC Readings'!$13:$14</definedName>
    <definedName name="ReadingTableVOC" localSheetId="12">'TVOC Readings'!$13:$14</definedName>
    <definedName name="ReadingTableVOC" localSheetId="20">'TVOC Readings'!$13:$14</definedName>
    <definedName name="ReadingTableVOC" localSheetId="22">'TVOC Readings'!$13:$14</definedName>
    <definedName name="ReadingTableVOC" localSheetId="19">'TVOC Readings'!$13:$14</definedName>
    <definedName name="ReadingTableVOC" localSheetId="13">'TVOC Readings'!$13:$14</definedName>
    <definedName name="ReadingTableVOC" localSheetId="17">'TVOC Readings'!$13:$14</definedName>
    <definedName name="ReadingTableVOC" localSheetId="18">'TVOC Readings'!$13:$14</definedName>
    <definedName name="ReadingTableVOC" localSheetId="21">'TVOC Readings'!$13:$14</definedName>
    <definedName name="ReadingTableVOC">'TVOC Readings'!$13:$14</definedName>
    <definedName name="Sheets">TRANSPOSE(GET.WORKBOOK(1))&amp;T(NOW())</definedName>
    <definedName name="spacetype" localSheetId="15">Instructions!$S$42:$S$104</definedName>
    <definedName name="spacetype" localSheetId="14">Instructions!$S$42:$S$104</definedName>
    <definedName name="spacetype" localSheetId="16">Instructions!$S$42:$S$104</definedName>
    <definedName name="spacetype" localSheetId="12">Instructions!$S$42:$S$104</definedName>
    <definedName name="spacetype" localSheetId="20">Instructions!$S$42:$S$104</definedName>
    <definedName name="spacetype" localSheetId="22">Instructions!$S$42:$S$104</definedName>
    <definedName name="spacetype" localSheetId="19">Instructions!$S$42:$S$104</definedName>
    <definedName name="spacetype" localSheetId="13">Instructions!$S$42:$S$104</definedName>
    <definedName name="spacetype" localSheetId="17">Instructions!$S$42:$S$104</definedName>
    <definedName name="spacetype" localSheetId="18">Instructions!$S$42:$S$104</definedName>
    <definedName name="spacetype" localSheetId="21">Instructions!$S$42:$S$104</definedName>
    <definedName name="spacetype">Instructions!$S$33:$S$88</definedName>
    <definedName name="sumAnchor">'CO2 Readings'!$F$6:$F$15</definedName>
    <definedName name="sumAnchorVOC">'TVOC Readings'!$G$6:$G$14</definedName>
    <definedName name="sumDate">'CO2 Readings'!$G$6:$G$15</definedName>
    <definedName name="sumDateVOC">'TVOC Readings'!$H$6:$H$14</definedName>
    <definedName name="UniqueDate">'CO2 Readings'!$B$21</definedName>
    <definedName name="UniqueDateVOC">'TVOC Readings'!$B$20</definedName>
    <definedName name="UniqueLoc">'CO2 Readings'!$C$21</definedName>
    <definedName name="UniqueLocVOC">'TVOC Readings'!$C$20</definedName>
    <definedName name="Units">Instructions!$M$5:$M$6</definedName>
    <definedName name="UserFormat">'CO2 Readings'!$A$24:$E$24</definedName>
    <definedName name="validUnits">Instructions!$L$307:$L$325</definedName>
    <definedName name="water_meter_type" localSheetId="5">'AnalyticsWater meter via upload'!$H$27:$I$39</definedName>
    <definedName name="water_meter_type">base_w!$H$27:$I$39</definedName>
    <definedName name="water_type" localSheetId="5">'AnalyticsWater meter via upload'!$H$27:$I$39</definedName>
    <definedName name="water_type">base_w!$H$27:$I$39</definedName>
    <definedName name="water_units" localSheetId="5">'AnalyticsWater meter via upload'!$H$15:$H$23</definedName>
    <definedName name="water_units">base_w!$H$15:$H$23</definedName>
    <definedName name="WaterDrp" localSheetId="15">base_w!$I$9:$I$11</definedName>
    <definedName name="WaterDrp" localSheetId="5">'AnalyticsWater meter via upload'!$I$9:$I$11</definedName>
    <definedName name="WaterDrp" localSheetId="14">base_w!$I$9:$I$11</definedName>
    <definedName name="WaterDrp" localSheetId="16">base_w!$I$9:$I$11</definedName>
    <definedName name="WaterDrp" localSheetId="12">base_w!$I$9:$I$11</definedName>
    <definedName name="WaterDrp" localSheetId="20">base_w!$I$9:$I$11</definedName>
    <definedName name="WaterDrp" localSheetId="22">base_w!$I$9:$I$11</definedName>
    <definedName name="WaterDrp" localSheetId="19">base_w!$I$9:$I$11</definedName>
    <definedName name="WaterDrp" localSheetId="13">base_w!$I$9:$I$11</definedName>
    <definedName name="WaterDrp" localSheetId="17">base_w!$I$9:$I$11</definedName>
    <definedName name="WaterDrp" localSheetId="18">base_w!$I$9:$I$11</definedName>
    <definedName name="WaterDrp" localSheetId="21">base_w!$I$9:$I$11</definedName>
    <definedName name="WaterDrp">base_w!$I$9:$I$11</definedName>
    <definedName name="waterType" localSheetId="5">'AnalyticsWater meter via upload'!$H$27:$H$39</definedName>
    <definedName name="waterType">base_w!$H$27:$H$39</definedName>
    <definedName name="waterUnits" localSheetId="5">'AnalyticsWater meter via upload'!$J$10:$J$14</definedName>
    <definedName name="waterUnits">base_w!$J$10:$J$14</definedName>
    <definedName name="watUn" localSheetId="5">'AnalyticsWater meter via upload'!$H$15:$H$23</definedName>
    <definedName name="watUn">base_w!$H$15:$H$23</definedName>
    <definedName name="watUni" localSheetId="15">base_w!$H$15:$H$29</definedName>
    <definedName name="watUni" localSheetId="5">'AnalyticsWater meter via upload'!$H$15:$H$29</definedName>
    <definedName name="watUni" localSheetId="14">base_w!$H$15:$H$29</definedName>
    <definedName name="watUni" localSheetId="16">base_w!$H$15:$H$29</definedName>
    <definedName name="watUni" localSheetId="12">base_w!$H$15:$H$29</definedName>
    <definedName name="watUni" localSheetId="20">base_w!$H$15:$H$29</definedName>
    <definedName name="watUni" localSheetId="22">base_w!$H$15:$H$29</definedName>
    <definedName name="watUni" localSheetId="19">base_w!$H$15:$H$29</definedName>
    <definedName name="watUni" localSheetId="13">base_w!$H$15:$H$29</definedName>
    <definedName name="watUni" localSheetId="17">base_w!$H$15:$H$29</definedName>
    <definedName name="watUni" localSheetId="18">base_w!$H$15:$H$29</definedName>
    <definedName name="watUni" localSheetId="21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5">Acetaldehyde!$H$16:$H$27</definedName>
    <definedName name="Wood" localSheetId="14">'Atmospheric Particulate Matter'!$H$16:$H$27</definedName>
    <definedName name="Wood" localSheetId="16">Benzene!$H$16:$H$27</definedName>
    <definedName name="Wood" localSheetId="12">'Carbon Monoxide'!$H$16:$H$27</definedName>
    <definedName name="Wood" localSheetId="20">Dichlorobenzene!$H$16:$H$27</definedName>
    <definedName name="Wood" localSheetId="22">Formaldehyde!$H$16:$H$27</definedName>
    <definedName name="Wood" localSheetId="19">'Naphthalene '!$H$16:$H$27</definedName>
    <definedName name="Wood" localSheetId="13">Ozone!$H$16:$H$27</definedName>
    <definedName name="Wood" localSheetId="17">Styrene!$H$16:$H$27</definedName>
    <definedName name="Wood" localSheetId="18">Toluene!$H$16:$H$27</definedName>
    <definedName name="Wood" localSheetId="21">'Xylenes-total'!$H$16:$H$27</definedName>
    <definedName name="Wood">base_f!$H$16:$H$27</definedName>
    <definedName name="woods" localSheetId="15">Acetaldehyde!$H$16:$H$22</definedName>
    <definedName name="woods" localSheetId="14">'Atmospheric Particulate Matter'!$H$16:$H$22</definedName>
    <definedName name="woods" localSheetId="16">Benzene!$H$16:$H$22</definedName>
    <definedName name="woods" localSheetId="12">'Carbon Monoxide'!$H$16:$H$22</definedName>
    <definedName name="woods" localSheetId="20">Dichlorobenzene!$H$16:$H$22</definedName>
    <definedName name="woods" localSheetId="22">Formaldehyde!$H$16:$H$22</definedName>
    <definedName name="woods" localSheetId="19">'Naphthalene '!$H$16:$H$22</definedName>
    <definedName name="woods" localSheetId="13">Ozone!$H$16:$H$22</definedName>
    <definedName name="woods" localSheetId="17">Styrene!$H$16:$H$22</definedName>
    <definedName name="woods" localSheetId="18">Toluene!$H$16:$H$22</definedName>
    <definedName name="woods" localSheetId="21">'Xylenes-total'!$H$16:$H$22</definedName>
    <definedName name="woods">base_f!$H$16:$H$22</definedName>
    <definedName name="woodunit" localSheetId="15">Acetaldehyde!$H$16:$H$22</definedName>
    <definedName name="woodunit" localSheetId="14">'Atmospheric Particulate Matter'!$H$16:$H$22</definedName>
    <definedName name="woodunit" localSheetId="16">Benzene!$H$16:$H$22</definedName>
    <definedName name="woodunit" localSheetId="12">'Carbon Monoxide'!$H$16:$H$22</definedName>
    <definedName name="woodunit" localSheetId="20">Dichlorobenzene!$H$16:$H$22</definedName>
    <definedName name="woodunit" localSheetId="22">Formaldehyde!$H$16:$H$22</definedName>
    <definedName name="woodunit" localSheetId="19">'Naphthalene '!$H$16:$H$22</definedName>
    <definedName name="woodunit" localSheetId="13">Ozone!$H$16:$H$22</definedName>
    <definedName name="woodunit" localSheetId="17">Styrene!$H$16:$H$22</definedName>
    <definedName name="woodunit" localSheetId="18">Toluene!$H$16:$H$22</definedName>
    <definedName name="woodunit" localSheetId="21">'Xylenes-total'!$H$16:$H$22</definedName>
    <definedName name="woodunit">base_f!$H$16:$H$22</definedName>
    <definedName name="zep" localSheetId="5">'AnalyticsWater meter via upload'!$J$8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13" l="1"/>
  <c r="B7" i="13"/>
  <c r="C7" i="13" s="1"/>
  <c r="E7" i="12"/>
  <c r="E8" i="12"/>
  <c r="B8" i="12"/>
  <c r="D8" i="12"/>
  <c r="A8" i="12" s="1"/>
  <c r="C8" i="12"/>
  <c r="B7" i="12"/>
  <c r="C7" i="12" s="1"/>
  <c r="D7" i="12"/>
  <c r="A7" i="12"/>
  <c r="H8" i="14" a="1"/>
  <c r="H8" i="14"/>
  <c r="H10" i="14" a="1"/>
  <c r="H10" i="14"/>
  <c r="H11" i="14" a="1"/>
  <c r="H11" i="14"/>
  <c r="H15" i="14"/>
  <c r="H14" i="14"/>
  <c r="H6" i="14"/>
  <c r="B10" i="14" a="1"/>
  <c r="B10" i="14"/>
  <c r="B11" i="14" a="1"/>
  <c r="B11" i="14"/>
  <c r="D6" i="29"/>
  <c r="B1" i="29"/>
  <c r="D1" i="29" s="1"/>
  <c r="D6" i="28"/>
  <c r="B1" i="28"/>
  <c r="D1" i="28" s="1"/>
  <c r="J8" i="16"/>
  <c r="J9" i="16"/>
  <c r="J10" i="16"/>
  <c r="J11" i="16"/>
  <c r="J12" i="16"/>
  <c r="J13" i="16"/>
  <c r="J14" i="16"/>
  <c r="J15" i="16"/>
  <c r="J16" i="16"/>
  <c r="J17" i="16"/>
  <c r="J18" i="16"/>
  <c r="I19" i="16"/>
  <c r="F19" i="16"/>
  <c r="D26" i="16" s="1"/>
  <c r="K8" i="16"/>
  <c r="K9" i="16"/>
  <c r="K10" i="16"/>
  <c r="K11" i="16"/>
  <c r="K12" i="16"/>
  <c r="K13" i="16"/>
  <c r="K14" i="16"/>
  <c r="K15" i="16"/>
  <c r="K16" i="16"/>
  <c r="K17" i="16"/>
  <c r="K18" i="16"/>
  <c r="K7" i="16"/>
  <c r="J7" i="16" s="1"/>
  <c r="G19" i="16"/>
  <c r="B50" i="16"/>
  <c r="B44" i="16"/>
  <c r="B38" i="16"/>
  <c r="D6" i="27" a="1"/>
  <c r="D6" i="27"/>
  <c r="B1" i="27"/>
  <c r="D1" i="27" s="1"/>
  <c r="D6" i="26" a="1"/>
  <c r="D6" i="26"/>
  <c r="B1" i="26"/>
  <c r="D1" i="26" s="1"/>
  <c r="D6" i="25" a="1"/>
  <c r="D6" i="25"/>
  <c r="B1" i="25"/>
  <c r="D1" i="25" s="1"/>
  <c r="D6" i="24" a="1"/>
  <c r="D6" i="24"/>
  <c r="B1" i="24"/>
  <c r="D1" i="24" s="1"/>
  <c r="D6" i="23" a="1"/>
  <c r="D6" i="23"/>
  <c r="B1" i="23"/>
  <c r="D1" i="23" s="1"/>
  <c r="D6" i="22" a="1"/>
  <c r="D6" i="22"/>
  <c r="B1" i="22"/>
  <c r="D1" i="22" s="1"/>
  <c r="D6" i="21"/>
  <c r="D6" i="21" a="1"/>
  <c r="B1" i="21"/>
  <c r="D1" i="21" s="1"/>
  <c r="D6" i="20" a="1"/>
  <c r="D6" i="20"/>
  <c r="B1" i="20"/>
  <c r="D1" i="20" s="1"/>
  <c r="D6" i="19" a="1"/>
  <c r="D6" i="19"/>
  <c r="B1" i="19"/>
  <c r="D1" i="19" s="1"/>
  <c r="D6" i="18" a="1"/>
  <c r="D6" i="18"/>
  <c r="B1" i="18"/>
  <c r="D1" i="18" s="1"/>
  <c r="D6" i="17" a="1"/>
  <c r="D6" i="17"/>
  <c r="B1" i="17"/>
  <c r="D1" i="17" s="1"/>
  <c r="D19" i="16"/>
  <c r="G8" i="14" a="1"/>
  <c r="G8" i="14"/>
  <c r="G14" i="14"/>
  <c r="L8" i="16"/>
  <c r="L9" i="16"/>
  <c r="L10" i="16"/>
  <c r="L11" i="16"/>
  <c r="L12" i="16"/>
  <c r="L13" i="16"/>
  <c r="L14" i="16"/>
  <c r="L15" i="16"/>
  <c r="L16" i="16"/>
  <c r="L7" i="16"/>
  <c r="H19" i="16"/>
  <c r="H8" i="15" a="1"/>
  <c r="H8" i="15"/>
  <c r="E19" i="16"/>
  <c r="L17" i="16"/>
  <c r="L18" i="16"/>
  <c r="B10" i="15" a="1"/>
  <c r="B10" i="15"/>
  <c r="B24" i="16"/>
  <c r="D6" i="16"/>
  <c r="D6" i="13"/>
  <c r="D6" i="12"/>
  <c r="E17" i="15"/>
  <c r="C20" i="15" a="1"/>
  <c r="C20" i="15"/>
  <c r="B20" i="15" a="1"/>
  <c r="B20" i="15"/>
  <c r="C21" i="14" a="1"/>
  <c r="C21" i="14"/>
  <c r="B21" i="14" a="1"/>
  <c r="B21" i="14"/>
  <c r="E18" i="14"/>
  <c r="B1" i="6"/>
  <c r="D1" i="6" s="1"/>
  <c r="B1" i="8"/>
  <c r="D1" i="8" s="1"/>
  <c r="B1" i="4"/>
  <c r="D1" i="4" s="1"/>
  <c r="D6" i="8"/>
  <c r="D6" i="6"/>
  <c r="D6" i="4"/>
  <c r="E6" i="11"/>
  <c r="D6" i="11"/>
  <c r="A10" i="15"/>
  <c r="H10" i="15" a="1"/>
  <c r="H10" i="15"/>
  <c r="H6" i="15"/>
  <c r="H13" i="15"/>
  <c r="G6" i="14"/>
  <c r="A10" i="14"/>
  <c r="G10" i="14" a="1"/>
  <c r="G10" i="14"/>
  <c r="B17" i="15"/>
  <c r="C17" i="15" s="1"/>
  <c r="G11" i="14" a="1"/>
  <c r="G11" i="14"/>
  <c r="A11" i="14"/>
  <c r="H14" i="15"/>
  <c r="B18" i="14"/>
  <c r="C18" i="14" s="1"/>
  <c r="G15" i="14"/>
  <c r="D18" i="14"/>
  <c r="A18" i="14" s="1"/>
  <c r="J19" i="16" l="1"/>
  <c r="D28" i="16" s="1"/>
  <c r="D25" i="16"/>
  <c r="D24" i="16"/>
  <c r="D7" i="13" a="1"/>
  <c r="D7" i="13" s="1"/>
  <c r="A7" i="13" s="1"/>
  <c r="D17" i="15" a="1"/>
  <c r="D17" i="15" s="1"/>
  <c r="A17" i="15" s="1"/>
  <c r="D27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<sst xmlns="http://schemas.openxmlformats.org/spreadsheetml/2006/main" count="3878" uniqueCount="743">
  <si>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</si>
  <si>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</si>
  <si>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</si>
  <si>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</si>
  <si>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</si>
  <si>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</si>
  <si>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</si>
  <si>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</si>
  <si>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</si>
  <si>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</si>
  <si>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</si>
  <si>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</si>
  <si>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</si>
  <si>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</si>
  <si>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</si>
  <si>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</si>
  <si>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</si>
  <si>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</si>
  <si>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</si>
  <si>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</si>
  <si>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</si>
  <si>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</si>
  <si>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</si>
  <si>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</si>
  <si>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</si>
  <si>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</si>
  <si>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</si>
  <si>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</si>
  <si>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</si>
  <si>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</si>
  <si>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</si>
  <si>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</si>
  <si>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</si>
  <si>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</si>
  <si>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</si>
  <si>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</si>
  <si>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</si>
  <si>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</si>
  <si>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</si>
  <si>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</si>
  <si>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</si>
  <si>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</si>
  <si>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</si>
  <si>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</si>
  <si>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</si>
  <si>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</si>
  <si>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</si>
  <si>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</si>
  <si>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</si>
  <si>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</si>
  <si>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</si>
  <si>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</si>
  <si>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</si>
  <si>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</si>
  <si>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</si>
  <si>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</si>
  <si>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</si>
  <si>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</si>
  <si>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</si>
  <si>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</si>
  <si>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</si>
  <si>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</si>
  <si>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</si>
  <si>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</si>
  <si>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</si>
  <si>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</si>
  <si>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</si>
  <si>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</si>
  <si>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</si>
  <si>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</si>
  <si>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</si>
  <si>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</si>
  <si>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</si>
  <si>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</si>
  <si>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</si>
  <si>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</si>
  <si>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</si>
  <si>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</si>
  <si>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</si>
  <si>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</si>
  <si>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</si>
  <si>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</si>
  <si>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</si>
  <si>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</si>
  <si>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</si>
  <si>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</si>
  <si>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</si>
  <si>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</si>
  <si>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</si>
  <si>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</si>
  <si>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</si>
  <si>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</si>
  <si>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</si>
  <si>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</si>
  <si>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</si>
  <si>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</si>
  <si>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</si>
  <si>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</si>
  <si>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</si>
  <si>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</si>
  <si>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</si>
  <si>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</si>
  <si>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</si>
  <si>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</si>
  <si>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</si>
  <si>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</si>
  <si>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</si>
  <si>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</si>
  <si>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</si>
  <si>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</si>
  <si>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</si>
  <si>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</si>
  <si>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</si>
  <si>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</si>
  <si>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</si>
  <si>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</si>
  <si>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</si>
  <si>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</si>
  <si>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</si>
  <si>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</si>
  <si>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</si>
  <si>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</si>
  <si>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</si>
  <si>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</si>
  <si>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</si>
  <si>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</si>
  <si>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</si>
  <si>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</si>
  <si>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</si>
  <si>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</si>
  <si>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</si>
  <si>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</si>
  <si>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</si>
  <si>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</si>
  <si>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</si>
  <si>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</si>
  <si>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</si>
  <si>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</si>
  <si>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</si>
  <si>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</si>
  <si>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</si>
  <si>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</si>
  <si>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</si>
  <si>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</si>
  <si>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</si>
  <si>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</si>
  <si>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</si>
  <si>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</si>
  <si>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</si>
  <si>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</si>
  <si>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</si>
  <si>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</si>
  <si>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</si>
  <si>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</si>
  <si>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</si>
  <si>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</si>
  <si>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</si>
  <si>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</si>
  <si>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</si>
  <si>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</si>
  <si>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</si>
  <si>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</si>
  <si>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</si>
  <si>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</si>
  <si>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</si>
  <si>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</si>
  <si>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</si>
  <si>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</si>
  <si>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</si>
  <si>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</si>
  <si>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</si>
  <si>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</si>
  <si>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</si>
  <si>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</si>
  <si>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</si>
  <si>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</si>
  <si>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</si>
  <si>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</si>
  <si>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</si>
  <si>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</si>
  <si>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</si>
  <si>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</si>
  <si>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</si>
  <si>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</si>
  <si>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</si>
  <si>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</si>
  <si>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</si>
  <si>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</si>
  <si>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</si>
  <si>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</si>
  <si>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</si>
  <si>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</si>
  <si>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</si>
  <si>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</si>
  <si>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</si>
  <si>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</si>
  <si>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</si>
  <si>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</si>
  <si>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</si>
  <si>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</si>
  <si>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</si>
  <si>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</si>
  <si>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</si>
  <si>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</si>
  <si>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</si>
  <si>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</si>
  <si>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</si>
  <si>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</si>
  <si>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</si>
  <si>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</si>
  <si>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</si>
  <si>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</si>
  <si>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</si>
  <si>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</si>
  <si>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</si>
  <si>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</si>
  <si>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</si>
  <si>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</si>
  <si>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</si>
  <si>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</si>
  <si>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</si>
  <si>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</si>
  <si>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</si>
  <si>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</si>
  <si>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</si>
  <si>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</si>
  <si>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</si>
  <si>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</si>
  <si>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</si>
  <si>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</si>
  <si>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</si>
  <si>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</si>
  <si>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</si>
  <si>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</si>
  <si>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</si>
  <si>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</si>
  <si>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</si>
  <si>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</si>
  <si>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</si>
  <si>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</si>
  <si>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</si>
  <si>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</si>
  <si>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</si>
  <si>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</si>
  <si>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</si>
  <si>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</si>
  <si>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</si>
  <si>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</si>
  <si>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</si>
  <si>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</si>
  <si>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</si>
  <si>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</si>
  <si>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</si>
  <si>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</si>
  <si>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</si>
  <si>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</si>
  <si>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</si>
  <si>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</si>
  <si>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</si>
  <si>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</si>
  <si>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</si>
  <si>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</si>
  <si>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</si>
  <si>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</si>
  <si>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</si>
  <si>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</si>
  <si>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</si>
  <si>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</si>
  <si>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</si>
  <si>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</si>
  <si>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</si>
  <si>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</si>
  <si>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</si>
  <si>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</si>
  <si>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</si>
  <si>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</si>
  <si>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</si>
  <si>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</si>
  <si>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</si>
  <si>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</si>
  <si>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</si>
  <si>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</si>
  <si>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</si>
  <si>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</si>
  <si>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</si>
  <si>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</si>
  <si>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</si>
  <si>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</si>
  <si>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</si>
  <si>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</si>
  <si>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</si>
  <si>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</si>
  <si>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</si>
  <si>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</si>
  <si>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</si>
  <si>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</si>
  <si>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</si>
  <si>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</si>
  <si>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</si>
  <si>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</si>
  <si>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</si>
  <si>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</si>
  <si>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</si>
  <si>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</si>
  <si>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</si>
  <si>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</si>
  <si>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</si>
  <si>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</si>
  <si>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</si>
  <si>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</si>
  <si>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</si>
  <si>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</si>
  <si>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</si>
  <si>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</si>
  <si>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</si>
  <si>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</si>
  <si>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</si>
  <si>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</si>
  <si>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</si>
  <si>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</si>
  <si>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</si>
  <si>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</si>
  <si>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</si>
  <si>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</si>
  <si>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</si>
  <si>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</si>
  <si>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</si>
  <si>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</si>
  <si>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</si>
  <si>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</si>
  <si>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</si>
  <si>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</si>
  <si>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</si>
  <si>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</si>
  <si>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</si>
  <si>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</si>
  <si>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</si>
  <si>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</si>
  <si>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</si>
  <si>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</si>
  <si>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</si>
  <si>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</si>
  <si>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</si>
  <si>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</si>
  <si>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</si>
  <si>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</si>
  <si>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</si>
  <si>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</si>
  <si>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</si>
  <si>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</si>
  <si>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</si>
  <si>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</si>
  <si>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</si>
  <si>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</si>
  <si>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</si>
  <si>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</si>
  <si>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</si>
  <si>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</si>
  <si>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</si>
  <si>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</si>
  <si>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</si>
  <si>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</si>
  <si>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</si>
  <si>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</si>
  <si>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</si>
  <si>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</si>
  <si>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</si>
  <si>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</si>
  <si>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</si>
  <si>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</si>
  <si>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</si>
  <si>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</si>
  <si>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</si>
  <si>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</si>
  <si>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</si>
  <si>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</si>
  <si>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</si>
  <si>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</si>
  <si>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</si>
  <si>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</si>
  <si>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</si>
  <si>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</si>
  <si>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</si>
  <si>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</si>
  <si>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</si>
  <si>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</si>
  <si>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</si>
  <si>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</si>
  <si>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</si>
  <si>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</si>
  <si>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</si>
  <si>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</si>
  <si>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</si>
  <si>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</si>
  <si>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</si>
  <si>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</si>
  <si>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</si>
  <si>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</si>
  <si>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</si>
  <si>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</si>
  <si>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</si>
  <si>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</si>
  <si>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</si>
  <si>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</si>
  <si>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</si>
  <si>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</si>
  <si>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</si>
  <si>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</si>
  <si>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</si>
  <si>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</si>
  <si>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</si>
  <si>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</si>
  <si>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</si>
  <si>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</si>
  <si>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</si>
  <si>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</si>
  <si>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</si>
  <si>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</si>
  <si>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</si>
  <si>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</si>
  <si>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</si>
  <si>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</si>
  <si>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</si>
  <si>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</si>
  <si>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</si>
  <si>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</si>
  <si>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</si>
  <si>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</si>
  <si>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</si>
  <si>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</si>
  <si>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</si>
  <si>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</si>
  <si>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</si>
  <si>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</si>
  <si>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</si>
  <si>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</si>
  <si>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</si>
  <si>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</si>
  <si>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</si>
  <si>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</si>
  <si>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</si>
  <si>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</si>
  <si>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</si>
  <si>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</si>
  <si>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</si>
  <si>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</si>
  <si>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</si>
  <si>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</si>
  <si>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</si>
  <si>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</si>
  <si>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</si>
  <si>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</si>
  <si>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</si>
  <si>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</si>
  <si>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</si>
  <si>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</si>
  <si>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</si>
  <si>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</si>
  <si>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</si>
  <si>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</si>
  <si>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</si>
  <si>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</si>
  <si>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</si>
  <si>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</si>
  <si>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</si>
  <si>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</si>
  <si>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</si>
  <si>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</si>
  <si>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</si>
  <si>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</si>
  <si>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</si>
  <si>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</si>
  <si>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</si>
  <si>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</si>
  <si>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</si>
  <si>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</si>
  <si>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</si>
  <si>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</si>
  <si>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</si>
  <si>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</si>
  <si>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</si>
  <si>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</si>
  <si>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</si>
  <si>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</si>
  <si>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</si>
  <si>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</si>
  <si>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</si>
  <si>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</si>
  <si>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</si>
  <si>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</si>
  <si>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</si>
  <si>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</si>
  <si>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</si>
  <si>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</si>
  <si>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</si>
  <si>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</si>
  <si>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</si>
  <si>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</si>
  <si>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</si>
  <si>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</si>
  <si>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</si>
  <si>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</si>
  <si>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</si>
  <si>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</si>
  <si>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</si>
  <si>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</si>
  <si>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</si>
  <si>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</si>
  <si>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</si>
  <si>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</si>
  <si>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</si>
  <si>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</si>
  <si>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</si>
  <si>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</si>
  <si>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</si>
  <si>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</si>
  <si>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</si>
  <si>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</si>
  <si>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</si>
  <si>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</si>
  <si>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</si>
  <si>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</si>
  <si>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</si>
  <si>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</si>
  <si>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</si>
  <si>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</si>
  <si>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</si>
  <si>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</si>
  <si>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</si>
  <si>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</si>
  <si>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</si>
  <si>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</si>
  <si>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</si>
  <si>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</si>
  <si>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</si>
  <si>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</si>
  <si>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</si>
  <si>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</si>
  <si>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</si>
  <si>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</si>
  <si>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</si>
  <si>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</si>
  <si>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</si>
  <si>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</si>
  <si>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</si>
  <si>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</si>
  <si>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</si>
  <si>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</si>
  <si>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</si>
  <si>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</si>
  <si>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</si>
  <si>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</si>
  <si>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</si>
  <si>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</si>
  <si>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</si>
  <si>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</si>
  <si>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</si>
  <si>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</si>
  <si>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</si>
  <si>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</si>
  <si>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</si>
  <si>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</si>
  <si>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</si>
  <si>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</si>
  <si>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</si>
  <si>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</si>
  <si>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</si>
  <si>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</si>
  <si>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</si>
  <si>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</si>
  <si>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</si>
  <si>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</si>
  <si>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</si>
  <si>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</si>
  <si>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</si>
  <si>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</si>
  <si>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</si>
  <si>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</si>
  <si>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</si>
  <si>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</si>
  <si>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</si>
  <si>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</si>
  <si>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</si>
  <si>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</si>
  <si>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</si>
  <si>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</si>
  <si>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</si>
  <si>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</si>
  <si>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</si>
  <si>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</si>
  <si>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</si>
  <si>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</si>
  <si>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</si>
  <si>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</si>
  <si>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</si>
  <si>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</si>
  <si>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</si>
  <si>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</si>
  <si>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</si>
  <si>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</si>
  <si>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</si>
  <si>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</si>
  <si>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</si>
  <si>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</si>
  <si>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</si>
  <si>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</si>
  <si>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</si>
  <si>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</si>
  <si>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</si>
  <si>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</si>
  <si>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</si>
  <si>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</si>
  <si>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</si>
  <si>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</si>
  <si>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</si>
  <si>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</si>
  <si>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</si>
  <si>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</si>
  <si>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</si>
  <si>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</si>
  <si>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</si>
  <si>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</si>
  <si>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</si>
  <si>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</si>
  <si>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</si>
  <si>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</si>
  <si>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</si>
  <si>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</si>
  <si>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</si>
  <si>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</si>
  <si>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</si>
  <si>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</si>
  <si>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</si>
  <si>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</si>
  <si>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</si>
  <si>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</si>
  <si>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</si>
  <si>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</si>
  <si>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</si>
  <si>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</si>
  <si>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</si>
  <si>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</si>
  <si>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</si>
  <si>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</si>
  <si>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</si>
  <si>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</si>
  <si>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</si>
  <si>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</si>
  <si>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</si>
  <si>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</si>
  <si>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</si>
  <si>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</si>
  <si>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</si>
  <si>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</si>
  <si>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</si>
  <si>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</si>
  <si>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</si>
  <si>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</si>
  <si>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</si>
  <si>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</si>
  <si>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</si>
  <si>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</si>
  <si>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</si>
  <si>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</si>
  <si>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</si>
  <si>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</si>
  <si>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</si>
  <si>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</si>
  <si>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</si>
  <si>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</si>
  <si>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</si>
  <si>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</si>
  <si>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</si>
  <si>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</si>
  <si>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</si>
  <si>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</si>
  <si>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</si>
  <si>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</si>
  <si>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</si>
  <si>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</si>
  <si>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</si>
  <si>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</si>
  <si>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</si>
  <si>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</si>
  <si>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</si>
  <si>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</si>
  <si>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</si>
  <si>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</si>
  <si>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</si>
  <si>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</si>
  <si>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</si>
  <si>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</si>
  <si>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</si>
  <si>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</si>
  <si>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</si>
  <si>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</si>
  <si>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</si>
  <si>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</si>
  <si>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</si>
  <si>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</si>
  <si>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</si>
  <si>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</si>
  <si>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</si>
  <si>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Building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</si>
  <si>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</si>
  <si>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</si>
  <si>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</si>
  <si>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</si>
  <si>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</si>
  <si>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</si>
  <si>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</si>
  <si>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</si>
  <si>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</si>
  <si>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</si>
  <si>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</si>
  <si>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</si>
  <si>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</si>
  <si>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</si>
  <si>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</si>
  <si>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</si>
  <si>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</si>
  <si>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</si>
  <si>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</si>
  <si>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</si>
  <si>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</si>
  <si>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</si>
  <si>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</si>
  <si>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</si>
  <si>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</si>
  <si>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</si>
  <si>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</si>
  <si>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</si>
  <si>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</si>
  <si>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</si>
  <si>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</si>
  <si>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F</t>
  </si>
  <si>
    <t>Totals</t>
  </si>
  <si>
    <t>AnalyticsEnergy Meter via upload</t>
  </si>
  <si>
    <t>AnalyticsWater meter via upload</t>
  </si>
  <si>
    <t>Goa</t>
  </si>
  <si>
    <t>Hyd</t>
  </si>
  <si>
    <t>Test 1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</si>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</sst>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  <numFmt numFmtId="171" formatCode="h:mm;@"/>
    <numFmt numFmtId="172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0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1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2" fontId="4" fillId="0" borderId="52" xfId="8" applyNumberFormat="1" applyFont="1" applyBorder="1" applyAlignment="1" applyProtection="1">
      <alignment horizontal="right" vertical="center" indent="1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65" fontId="2" fillId="3" borderId="12" xfId="0" applyNumberFormat="1" applyFont="1" applyFill="1" applyBorder="1" applyProtection="1">
      <protection locked="0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0" borderId="0" xfId="1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left" vertical="center" indent="1"/>
    </xf>
    <xf numFmtId="0" fontId="2" fillId="6" borderId="58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4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4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4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5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5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8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8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8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4</xdr:row>
          <xdr:rowOff>152400</xdr:rowOff>
        </xdr:from>
        <xdr:to>
          <xdr:col>4</xdr:col>
          <xdr:colOff>962025</xdr:colOff>
          <xdr:row>4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8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28575</xdr:rowOff>
        </xdr:from>
        <xdr:to>
          <xdr:col>2</xdr:col>
          <xdr:colOff>466725</xdr:colOff>
          <xdr:row>9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9</xdr:row>
          <xdr:rowOff>352425</xdr:rowOff>
        </xdr:from>
        <xdr:to>
          <xdr:col>3</xdr:col>
          <xdr:colOff>990600</xdr:colOff>
          <xdr:row>11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A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4</xdr:row>
          <xdr:rowOff>133350</xdr:rowOff>
        </xdr:from>
        <xdr:to>
          <xdr:col>4</xdr:col>
          <xdr:colOff>885825</xdr:colOff>
          <xdr:row>4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A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9</xdr:row>
          <xdr:rowOff>9525</xdr:rowOff>
        </xdr:from>
        <xdr:to>
          <xdr:col>3</xdr:col>
          <xdr:colOff>1200150</xdr:colOff>
          <xdr:row>9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C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C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D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E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E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F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1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1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4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5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5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6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6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topLeftCell="A12" zoomScale="90" zoomScaleNormal="90" workbookViewId="0">
      <selection activeCell="C26" sqref="C26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8" t="s">
        <v>704</v>
      </c>
      <c r="D3" s="199"/>
      <c r="E3" s="199"/>
      <c r="F3" s="199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705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731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706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707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708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200" t="s">
        <v>709</v>
      </c>
      <c r="E23" s="200"/>
      <c r="F23" s="200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200" t="s">
        <v>710</v>
      </c>
      <c r="E24" s="200"/>
      <c r="F24" s="200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711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712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703</v>
      </c>
      <c r="K37" s="90" t="s">
        <v>725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sheetProtection algorithmName="SHA-512" hashValue="hGB6YqUZK3CkyaMXtLuh5SJT86wyp/N8FAFRK9rPeQRj/4kuV5gLRAFs8bjDnfSIFsAvSO9VbUPAOrTGJwXGjA==" saltValue="HH8AE64TzR6wJSWUukh1Lg==" spinCount="100000" sheet="1" objects="1" scenarios="1"/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tabSelected="1" zoomScale="90" zoomScaleNormal="90" workbookViewId="0">
      <pane xSplit="4" topLeftCell="E1" activePane="topRight" state="frozen"/>
      <selection pane="topRight" activeCell="I11" sqref="I11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hidden="1" customWidth="1"/>
    <col min="15" max="17" width="16.140625" style="104" hidden="1" customWidth="1"/>
    <col min="18" max="18" width="33.140625" style="104" hidden="1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01" t="s">
        <v>593</v>
      </c>
      <c r="C4" s="201"/>
      <c r="D4" s="201"/>
      <c r="E4" s="201"/>
      <c r="F4" s="201"/>
      <c r="G4" s="201"/>
      <c r="H4" s="201"/>
      <c r="I4" s="201"/>
      <c r="J4" s="201"/>
      <c r="K4" s="168"/>
    </row>
    <row r="5" spans="1:19" ht="30" customHeight="1" x14ac:dyDescent="0.2">
      <c r="A5" s="142" t="s">
        <v>735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9" t="s">
        <v>732</v>
      </c>
      <c r="O5" s="210"/>
      <c r="P5" s="210"/>
      <c r="Q5" s="210"/>
      <c r="R5" s="211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713</v>
      </c>
      <c r="H6" s="110" t="s">
        <v>599</v>
      </c>
      <c r="I6" s="111" t="s">
        <v>734</v>
      </c>
      <c r="J6" s="112" t="s">
        <v>600</v>
      </c>
      <c r="K6" s="171" t="s">
        <v>714</v>
      </c>
      <c r="L6" s="113" t="s">
        <v>601</v>
      </c>
      <c r="M6" s="187"/>
      <c r="N6" s="171" t="s">
        <v>715</v>
      </c>
      <c r="O6" s="171" t="s">
        <v>716</v>
      </c>
      <c r="P6" s="171" t="s">
        <v>717</v>
      </c>
      <c r="Q6" s="171" t="s">
        <v>718</v>
      </c>
      <c r="R6" s="171" t="s">
        <v>719</v>
      </c>
      <c r="S6" s="139"/>
    </row>
    <row r="7" spans="1:19" ht="15" customHeight="1" x14ac:dyDescent="0.2">
      <c r="A7" s="114"/>
      <c r="B7" s="115" t="s">
        <v>741</v>
      </c>
      <c r="C7" s="118" t="s">
        <v>619</v>
      </c>
      <c r="D7" s="117">
        <v>2500</v>
      </c>
      <c r="E7" s="116">
        <v>30</v>
      </c>
      <c r="F7" s="116">
        <v>5</v>
      </c>
      <c r="G7" s="116">
        <v>2</v>
      </c>
      <c r="H7" s="116">
        <v>3</v>
      </c>
      <c r="I7" s="192">
        <v>6.9444444444444441E-3</v>
      </c>
      <c r="J7" s="190">
        <f>IFERROR((K7/E7)*(I7*24)," ")</f>
        <v>3.3333333333333333E-2</v>
      </c>
      <c r="K7" s="169">
        <f>G7*H7</f>
        <v>6</v>
      </c>
      <c r="L7" s="104">
        <f t="shared" ref="L7" si="0">E7*D7</f>
        <v>75000</v>
      </c>
      <c r="M7" s="186"/>
      <c r="N7" s="182" t="s">
        <v>720</v>
      </c>
      <c r="O7" s="183" t="s">
        <v>720</v>
      </c>
      <c r="P7" s="183" t="s">
        <v>720</v>
      </c>
      <c r="Q7" s="183" t="s">
        <v>720</v>
      </c>
      <c r="R7" s="183" t="s">
        <v>720</v>
      </c>
    </row>
    <row r="8" spans="1:19" ht="15" customHeight="1" x14ac:dyDescent="0.2">
      <c r="A8" s="114">
        <v>0</v>
      </c>
      <c r="B8" s="115" t="s">
        <v>742</v>
      </c>
      <c r="C8" s="118" t="s">
        <v>620</v>
      </c>
      <c r="D8" s="117">
        <v>2500</v>
      </c>
      <c r="E8" s="116">
        <v>30</v>
      </c>
      <c r="F8" s="116">
        <v>4</v>
      </c>
      <c r="G8" s="116">
        <v>5</v>
      </c>
      <c r="H8" s="116">
        <v>2</v>
      </c>
      <c r="I8" s="192">
        <v>1.3888888888888888E-2</v>
      </c>
      <c r="J8" s="190">
        <f t="shared" ref="J8:J18" si="1">IFERROR((K8/E8)*(I8*24)," ")</f>
        <v>0.1111111111111111</v>
      </c>
      <c r="K8" s="169">
        <f t="shared" ref="K8:K18" si="2">G8*H8</f>
        <v>10</v>
      </c>
      <c r="L8" s="104">
        <f t="shared" ref="L8:L16" si="3">E8*D8</f>
        <v>75000</v>
      </c>
      <c r="M8" s="186"/>
      <c r="N8" s="183" t="s">
        <v>720</v>
      </c>
      <c r="O8" s="183" t="s">
        <v>720</v>
      </c>
      <c r="P8" s="183" t="s">
        <v>720</v>
      </c>
      <c r="Q8" s="183" t="s">
        <v>720</v>
      </c>
      <c r="R8" s="183" t="s">
        <v>720</v>
      </c>
    </row>
    <row r="9" spans="1:19" ht="15" customHeight="1" x14ac:dyDescent="0.2">
      <c r="A9" s="114">
        <v>0</v>
      </c>
      <c r="B9" s="115"/>
      <c r="C9" s="118"/>
      <c r="D9" s="117"/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720</v>
      </c>
      <c r="O9" s="183" t="s">
        <v>720</v>
      </c>
      <c r="P9" s="183" t="s">
        <v>720</v>
      </c>
      <c r="Q9" s="183" t="s">
        <v>720</v>
      </c>
      <c r="R9" s="183" t="s">
        <v>720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 t="str">
        <f t="shared" si="1"/>
        <v xml:space="preserve"> </v>
      </c>
      <c r="K10" s="169">
        <f t="shared" si="2"/>
        <v>0</v>
      </c>
      <c r="L10" s="104">
        <f t="shared" si="3"/>
        <v>0</v>
      </c>
      <c r="N10" s="183" t="s">
        <v>720</v>
      </c>
      <c r="O10" s="183" t="s">
        <v>720</v>
      </c>
      <c r="P10" s="183" t="s">
        <v>720</v>
      </c>
      <c r="Q10" s="183" t="s">
        <v>720</v>
      </c>
      <c r="R10" s="183" t="s">
        <v>720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 t="str">
        <f t="shared" si="1"/>
        <v xml:space="preserve"> </v>
      </c>
      <c r="K11" s="169">
        <f t="shared" si="2"/>
        <v>0</v>
      </c>
      <c r="L11" s="104">
        <f t="shared" si="3"/>
        <v>0</v>
      </c>
      <c r="N11" s="183" t="s">
        <v>720</v>
      </c>
      <c r="O11" s="183" t="s">
        <v>720</v>
      </c>
      <c r="P11" s="183" t="s">
        <v>720</v>
      </c>
      <c r="Q11" s="183" t="s">
        <v>720</v>
      </c>
      <c r="R11" s="183" t="s">
        <v>720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720</v>
      </c>
      <c r="O12" s="183" t="s">
        <v>720</v>
      </c>
      <c r="P12" s="183" t="s">
        <v>720</v>
      </c>
      <c r="Q12" s="183" t="s">
        <v>720</v>
      </c>
      <c r="R12" s="183" t="s">
        <v>720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720</v>
      </c>
      <c r="O13" s="183" t="s">
        <v>720</v>
      </c>
      <c r="P13" s="183" t="s">
        <v>720</v>
      </c>
      <c r="Q13" s="183" t="s">
        <v>720</v>
      </c>
      <c r="R13" s="183" t="s">
        <v>720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720</v>
      </c>
      <c r="O14" s="183" t="s">
        <v>720</v>
      </c>
      <c r="P14" s="183" t="s">
        <v>720</v>
      </c>
      <c r="Q14" s="183" t="s">
        <v>720</v>
      </c>
      <c r="R14" s="183" t="s">
        <v>720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720</v>
      </c>
      <c r="O15" s="183" t="s">
        <v>720</v>
      </c>
      <c r="P15" s="183" t="s">
        <v>720</v>
      </c>
      <c r="Q15" s="183" t="s">
        <v>720</v>
      </c>
      <c r="R15" s="183" t="s">
        <v>720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720</v>
      </c>
      <c r="O16" s="183" t="s">
        <v>720</v>
      </c>
      <c r="P16" s="183" t="s">
        <v>720</v>
      </c>
      <c r="Q16" s="183" t="s">
        <v>720</v>
      </c>
      <c r="R16" s="183" t="s">
        <v>720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720</v>
      </c>
      <c r="O17" s="183" t="s">
        <v>720</v>
      </c>
      <c r="P17" s="183" t="s">
        <v>720</v>
      </c>
      <c r="Q17" s="183" t="s">
        <v>720</v>
      </c>
      <c r="R17" s="183" t="s">
        <v>720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720</v>
      </c>
      <c r="O18" s="183" t="s">
        <v>720</v>
      </c>
      <c r="P18" s="183" t="s">
        <v>720</v>
      </c>
      <c r="Q18" s="183" t="s">
        <v>720</v>
      </c>
      <c r="R18" s="183" t="s">
        <v>720</v>
      </c>
    </row>
    <row r="19" spans="1:18" ht="20.25" customHeight="1" x14ac:dyDescent="0.2">
      <c r="A19" s="114" t="s">
        <v>545</v>
      </c>
      <c r="B19" s="202" t="s">
        <v>736</v>
      </c>
      <c r="C19" s="203"/>
      <c r="D19" s="158">
        <f>IFERROR(SUM(D7:D18)," ")</f>
        <v>5000</v>
      </c>
      <c r="E19" s="119">
        <f t="shared" ref="E19:J19" si="5">SUM(E7:E18)</f>
        <v>60</v>
      </c>
      <c r="F19" s="119">
        <f t="shared" si="5"/>
        <v>9</v>
      </c>
      <c r="G19" s="119">
        <f t="shared" si="5"/>
        <v>7</v>
      </c>
      <c r="H19" s="119">
        <f t="shared" si="5"/>
        <v>5</v>
      </c>
      <c r="I19" s="193">
        <f>SUM(I7:I18)</f>
        <v>2.0833333333333332E-2</v>
      </c>
      <c r="J19" s="191">
        <f t="shared" si="5"/>
        <v>0.14444444444444443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733</v>
      </c>
    </row>
    <row r="24" spans="1:18" x14ac:dyDescent="0.2">
      <c r="A24" s="143"/>
      <c r="B24" s="204" t="str">
        <f>CONCATENATE("Gross 
Floor Area 
",IF(Instructions!$F$9="SI Units","(sq m)","(sq ft)"))</f>
        <v>Gross 
Floor Area 
(sq ft)</v>
      </c>
      <c r="C24" s="205"/>
      <c r="D24" s="156">
        <f>IFERROR(D19," ")</f>
        <v>5000</v>
      </c>
      <c r="F24" s="206"/>
      <c r="G24" s="206"/>
      <c r="H24" s="206"/>
      <c r="I24" s="206"/>
      <c r="L24" s="144"/>
    </row>
    <row r="25" spans="1:18" x14ac:dyDescent="0.2">
      <c r="A25" s="143"/>
      <c r="B25" s="207" t="s">
        <v>602</v>
      </c>
      <c r="C25" s="208"/>
      <c r="D25" s="157">
        <f>IFERROR(ROUND(SUM(L7:L18)/D19, 0)," ")</f>
        <v>30</v>
      </c>
      <c r="F25" s="177"/>
      <c r="G25" s="177"/>
      <c r="H25" s="177"/>
      <c r="I25" s="177"/>
    </row>
    <row r="26" spans="1:18" x14ac:dyDescent="0.2">
      <c r="A26" s="143"/>
      <c r="B26" s="174" t="s">
        <v>721</v>
      </c>
      <c r="C26" s="165"/>
      <c r="D26" s="120">
        <f>F19</f>
        <v>9</v>
      </c>
      <c r="F26" s="177"/>
      <c r="G26" s="177"/>
      <c r="H26" s="177"/>
      <c r="I26" s="177"/>
    </row>
    <row r="27" spans="1:18" x14ac:dyDescent="0.2">
      <c r="A27" s="143"/>
      <c r="B27" s="174" t="s">
        <v>722</v>
      </c>
      <c r="C27" s="165"/>
      <c r="D27" s="120">
        <f>ROUND(J19,0)</f>
        <v>0</v>
      </c>
      <c r="F27" s="179"/>
      <c r="G27" s="179"/>
      <c r="H27" s="177"/>
      <c r="I27" s="177"/>
    </row>
    <row r="28" spans="1:18" x14ac:dyDescent="0.2">
      <c r="A28" s="143"/>
      <c r="B28" s="214" t="s">
        <v>603</v>
      </c>
      <c r="C28" s="215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2" t="s">
        <v>723</v>
      </c>
      <c r="C30" s="213"/>
      <c r="D30" s="197">
        <v>43466</v>
      </c>
    </row>
    <row r="32" spans="1:18" hidden="1" x14ac:dyDescent="0.2">
      <c r="B32" s="176" t="s">
        <v>724</v>
      </c>
    </row>
    <row r="33" spans="2:4" hidden="1" x14ac:dyDescent="0.2"/>
    <row r="34" spans="2:4" hidden="1" x14ac:dyDescent="0.2"/>
    <row r="35" spans="2:4" hidden="1" x14ac:dyDescent="0.2"/>
    <row r="36" spans="2:4" hidden="1" x14ac:dyDescent="0.2">
      <c r="B36" s="104" t="s">
        <v>726</v>
      </c>
    </row>
    <row r="37" spans="2:4" hidden="1" x14ac:dyDescent="0.2"/>
    <row r="38" spans="2:4" hidden="1" x14ac:dyDescent="0.2">
      <c r="B38" s="204" t="str">
        <f>CONCATENATE("Gross 
Floor Area 
",IF(Instructions!$F$9="SI Units","(sq m)","(sq ft)"))</f>
        <v>Gross 
Floor Area 
(sq ft)</v>
      </c>
      <c r="C38" s="205"/>
      <c r="D38" s="156">
        <v>0</v>
      </c>
    </row>
    <row r="39" spans="2:4" hidden="1" x14ac:dyDescent="0.2">
      <c r="B39" s="208" t="s">
        <v>602</v>
      </c>
      <c r="C39" s="208"/>
      <c r="D39" s="157">
        <v>0</v>
      </c>
    </row>
    <row r="40" spans="2:4" hidden="1" x14ac:dyDescent="0.2">
      <c r="B40" s="214" t="s">
        <v>603</v>
      </c>
      <c r="C40" s="215"/>
      <c r="D40" s="157">
        <v>0</v>
      </c>
    </row>
    <row r="41" spans="2:4" hidden="1" x14ac:dyDescent="0.2"/>
    <row r="42" spans="2:4" hidden="1" x14ac:dyDescent="0.2">
      <c r="B42" s="104" t="s">
        <v>727</v>
      </c>
    </row>
    <row r="43" spans="2:4" hidden="1" x14ac:dyDescent="0.2"/>
    <row r="44" spans="2:4" hidden="1" x14ac:dyDescent="0.2">
      <c r="B44" s="204" t="str">
        <f>CONCATENATE("Gross 
Floor Area 
",IF(Instructions!$F$9="SI Units","(sq m)","(sq ft)"))</f>
        <v>Gross 
Floor Area 
(sq ft)</v>
      </c>
      <c r="C44" s="205"/>
      <c r="D44" s="156">
        <v>0</v>
      </c>
    </row>
    <row r="45" spans="2:4" hidden="1" x14ac:dyDescent="0.2">
      <c r="B45" s="208" t="s">
        <v>602</v>
      </c>
      <c r="C45" s="208"/>
      <c r="D45" s="157">
        <v>0</v>
      </c>
    </row>
    <row r="46" spans="2:4" hidden="1" x14ac:dyDescent="0.2">
      <c r="B46" s="214" t="s">
        <v>603</v>
      </c>
      <c r="C46" s="215"/>
      <c r="D46" s="157">
        <v>0</v>
      </c>
    </row>
    <row r="47" spans="2:4" hidden="1" x14ac:dyDescent="0.2"/>
    <row r="48" spans="2:4" hidden="1" x14ac:dyDescent="0.2">
      <c r="B48" s="104" t="s">
        <v>728</v>
      </c>
    </row>
    <row r="49" spans="2:4" hidden="1" x14ac:dyDescent="0.2"/>
    <row r="50" spans="2:4" hidden="1" x14ac:dyDescent="0.2">
      <c r="B50" s="204" t="str">
        <f>CONCATENATE("Gross 
Floor Area 
",IF(Instructions!$F$9="SI Units","(sq m)","(sq ft)"))</f>
        <v>Gross 
Floor Area 
(sq ft)</v>
      </c>
      <c r="C50" s="205"/>
      <c r="D50" s="156">
        <v>0</v>
      </c>
    </row>
    <row r="51" spans="2:4" hidden="1" x14ac:dyDescent="0.2">
      <c r="B51" s="208" t="s">
        <v>602</v>
      </c>
      <c r="C51" s="208"/>
      <c r="D51" s="157">
        <v>0</v>
      </c>
    </row>
    <row r="52" spans="2:4" hidden="1" x14ac:dyDescent="0.2">
      <c r="B52" s="214" t="s">
        <v>603</v>
      </c>
      <c r="C52" s="215"/>
      <c r="D52" s="157">
        <v>0</v>
      </c>
    </row>
    <row r="53" spans="2:4" hidden="1" x14ac:dyDescent="0.2"/>
    <row r="54" spans="2:4" hidden="1" x14ac:dyDescent="0.2">
      <c r="B54" s="104" t="s">
        <v>729</v>
      </c>
    </row>
    <row r="55" spans="2:4" hidden="1" x14ac:dyDescent="0.2"/>
    <row r="56" spans="2:4" hidden="1" x14ac:dyDescent="0.2">
      <c r="B56" s="181" t="s">
        <v>721</v>
      </c>
      <c r="C56" s="165"/>
      <c r="D56" s="120">
        <v>0</v>
      </c>
    </row>
    <row r="57" spans="2:4" hidden="1" x14ac:dyDescent="0.2">
      <c r="B57" s="181" t="s">
        <v>722</v>
      </c>
      <c r="C57" s="165"/>
      <c r="D57" s="120">
        <v>0</v>
      </c>
    </row>
    <row r="58" spans="2:4" hidden="1" x14ac:dyDescent="0.2">
      <c r="B58" s="214" t="s">
        <v>603</v>
      </c>
      <c r="C58" s="215"/>
      <c r="D58" s="157">
        <v>0</v>
      </c>
    </row>
    <row r="59" spans="2:4" hidden="1" x14ac:dyDescent="0.2"/>
    <row r="60" spans="2:4" hidden="1" x14ac:dyDescent="0.2">
      <c r="B60" s="104" t="s">
        <v>730</v>
      </c>
    </row>
    <row r="61" spans="2:4" hidden="1" x14ac:dyDescent="0.2"/>
    <row r="62" spans="2:4" hidden="1" x14ac:dyDescent="0.2">
      <c r="B62" s="181" t="s">
        <v>721</v>
      </c>
      <c r="C62" s="165"/>
      <c r="D62" s="120">
        <v>0</v>
      </c>
    </row>
    <row r="63" spans="2:4" hidden="1" x14ac:dyDescent="0.2">
      <c r="B63" s="181" t="s">
        <v>722</v>
      </c>
      <c r="C63" s="165"/>
      <c r="D63" s="120">
        <v>0</v>
      </c>
    </row>
    <row r="64" spans="2:4" hidden="1" x14ac:dyDescent="0.2">
      <c r="B64" s="214" t="s">
        <v>603</v>
      </c>
      <c r="C64" s="215"/>
      <c r="D64" s="157">
        <v>0</v>
      </c>
    </row>
  </sheetData>
  <mergeCells count="20"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  <mergeCell ref="N5:R5"/>
    <mergeCell ref="F24:G24"/>
    <mergeCell ref="B30:C30"/>
    <mergeCell ref="B38:C38"/>
    <mergeCell ref="B39:C39"/>
    <mergeCell ref="B28:C28"/>
    <mergeCell ref="B4:J4"/>
    <mergeCell ref="B19:C19"/>
    <mergeCell ref="B24:C24"/>
    <mergeCell ref="H24:I24"/>
    <mergeCell ref="B25:C25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errorTitle="Error" error="Please enter a valid date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F8A6-622C-49D4-B61A-B2AA6E94C80B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AnalyticsEnergy Meter via up...</v>
      </c>
      <c r="C1" s="1"/>
      <c r="D1" s="4" t="str">
        <f ca="1">B1</f>
        <v>AnalyticsEnergy Meter via up...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737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textLength" allowBlank="1" showInputMessage="1" showErrorMessage="1" errorTitle="Data Source" error="It can only accept 40 characters." sqref="D5" xr:uid="{F24C1477-03EA-4F15-9ECF-74BFDF6E84DE}">
      <formula1>0</formula1>
      <formula2>40</formula2>
    </dataValidation>
    <dataValidation type="decimal" allowBlank="1" showInputMessage="1" showErrorMessage="1" error="Please enter a valid reading." sqref="D7" xr:uid="{89A59300-CC32-40DD-943D-7CF6DECE4CA9}">
      <formula1>0</formula1>
      <formula2>9999999999</formula2>
    </dataValidation>
    <dataValidation type="date" allowBlank="1" showInputMessage="1" showErrorMessage="1" error="Please enter a valid date in mm/dd/yyyy format." sqref="B7:C7" xr:uid="{255AD2E2-5E9F-4805-98D4-6DEF8BDF8BC3}">
      <formula1>1</formula1>
      <formula2>73415</formula2>
    </dataValidation>
    <dataValidation allowBlank="1" showInputMessage="1" showErrorMessage="1" error="Please enter a valid date in mm/dd/yyyy format." sqref="B8:D10" xr:uid="{B588D12D-795C-470B-804B-F67ADCABDF00}"/>
    <dataValidation type="list" allowBlank="1" showInputMessage="1" showErrorMessage="1" sqref="D3" xr:uid="{4E8309F1-83BF-43E0-8231-763A574E39ED}">
      <formula1>ElectricityDrp</formula1>
    </dataValidation>
    <dataValidation type="list" allowBlank="1" showInputMessage="1" showErrorMessage="1" error="Units cannot edit." sqref="D4" xr:uid="{1A8E4421-0B0A-46CF-80B7-527CCA00B914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D0DF3-50D1-4F5B-865F-AC077EA485AA}">
  <sheetPr codeName="Sheet2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25" sqref="D2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AnalyticsWater meter via upload</v>
      </c>
      <c r="C1" s="1"/>
      <c r="D1" s="155" t="str">
        <f ca="1">B1</f>
        <v>AnalyticsWater meter via upload</v>
      </c>
      <c r="E1" s="1"/>
    </row>
    <row r="2" spans="1:9" x14ac:dyDescent="0.25">
      <c r="A2" s="4" t="s">
        <v>590</v>
      </c>
      <c r="B2" s="196" t="s">
        <v>563</v>
      </c>
      <c r="C2" s="152"/>
      <c r="D2" s="148" t="s">
        <v>738</v>
      </c>
      <c r="E2" s="1"/>
    </row>
    <row r="3" spans="1:9" x14ac:dyDescent="0.25">
      <c r="A3" s="4" t="s">
        <v>590</v>
      </c>
      <c r="B3" s="195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95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>
        <v>43435</v>
      </c>
      <c r="C7" s="35">
        <v>43496</v>
      </c>
      <c r="D7" s="21">
        <v>5.46</v>
      </c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textLength" allowBlank="1" showInputMessage="1" showErrorMessage="1" errorTitle="Data Source" error="It can only accept 40 characters." sqref="D5" xr:uid="{4FBABA03-C68A-46C3-8705-F59B60A4D5D9}">
      <formula1>0</formula1>
      <formula2>40</formula2>
    </dataValidation>
    <dataValidation type="decimal" allowBlank="1" showInputMessage="1" showErrorMessage="1" error="Please enter a valid reading." sqref="D7" xr:uid="{058F2144-7AD1-4591-A282-3D719AF4D131}">
      <formula1>0</formula1>
      <formula2>9999999999</formula2>
    </dataValidation>
    <dataValidation type="date" allowBlank="1" showInputMessage="1" showErrorMessage="1" error="Please enter a valid date in mm/dd/yyyy format." sqref="B7:C7" xr:uid="{F18B46B2-4FC2-49AF-83A7-73896E9AFECA}">
      <formula1>1</formula1>
      <formula2>73415</formula2>
    </dataValidation>
    <dataValidation allowBlank="1" showInputMessage="1" showErrorMessage="1" error="Please enter a valid date in mm/dd/yyyy format." sqref="B8:D10" xr:uid="{467B6239-3A1D-447D-8ADE-710FBA7914AB}"/>
    <dataValidation type="list" allowBlank="1" showInputMessage="1" showErrorMessage="1" sqref="D3" xr:uid="{F63E54E6-FFB8-4E0B-AB2A-8DD79030BA3B}">
      <formula1>WaterDrp</formula1>
    </dataValidation>
    <dataValidation type="list" allowBlank="1" showInputMessage="1" showErrorMessage="1" error="Units cannot edit." sqref="D4" xr:uid="{97616E7C-2ABF-4086-BBFB-1ED3C496ADA6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"/>
  <sheetViews>
    <sheetView zoomScaleNormal="100"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8" t="s">
        <v>563</v>
      </c>
      <c r="C2" s="219"/>
      <c r="D2" s="32" t="s">
        <v>592</v>
      </c>
      <c r="E2" s="1"/>
    </row>
    <row r="3" spans="1:6" x14ac:dyDescent="0.25">
      <c r="A3" s="4" t="s">
        <v>590</v>
      </c>
      <c r="B3" s="216" t="s">
        <v>679</v>
      </c>
      <c r="C3" s="217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11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>INDEX(Dates,1,E7)</f>
        <v>43343</v>
      </c>
      <c r="C7" s="52">
        <f t="shared" ref="C7" si="0">B7</f>
        <v>43343</v>
      </c>
      <c r="D7" s="53">
        <f>HLOOKUP(B7,ReadingTable,2,FALSE)</f>
        <v>100.11</v>
      </c>
      <c r="E7" s="68">
        <f>IF(E6="",7,E6+1)</f>
        <v>7</v>
      </c>
    </row>
    <row r="8" spans="1:6" x14ac:dyDescent="0.25">
      <c r="A8" s="37">
        <f t="shared" ref="A8" si="1">IFERROR(IF(D8="",1,0),1)</f>
        <v>0</v>
      </c>
      <c r="B8" s="52">
        <f>INDEX(Dates,1,E8)</f>
        <v>43313</v>
      </c>
      <c r="C8" s="52">
        <f t="shared" ref="C8" si="2">B8</f>
        <v>43313</v>
      </c>
      <c r="D8" s="53">
        <f>HLOOKUP(B8,ReadingTable,2,FALSE)</f>
        <v>50.11</v>
      </c>
      <c r="E8" s="68">
        <f t="shared" ref="E8" si="3">IF(E7="",7,E7+1)</f>
        <v>8</v>
      </c>
    </row>
    <row r="9" spans="1:6" x14ac:dyDescent="0.25">
      <c r="A9" s="4" t="s">
        <v>545</v>
      </c>
      <c r="B9" s="1"/>
      <c r="C9" s="1"/>
      <c r="D9" s="1"/>
      <c r="E9" s="1"/>
    </row>
    <row r="10" spans="1:6" x14ac:dyDescent="0.25">
      <c r="A10" s="4"/>
      <c r="B10" s="1"/>
      <c r="C10" s="1"/>
      <c r="D10" s="1"/>
      <c r="E10" s="1"/>
    </row>
    <row r="11" spans="1:6" ht="36.6" customHeight="1" x14ac:dyDescent="0.25">
      <c r="A11" s="4" t="s">
        <v>545</v>
      </c>
      <c r="B11" s="24"/>
      <c r="C11" s="24"/>
      <c r="D11" s="24"/>
      <c r="E11" s="1"/>
    </row>
  </sheetData>
  <sheetProtection algorithmName="SHA-512" hashValue="8Q8pr0wqxaEpGsGMyO9eWx6Nedily2SHZxy8cQilpgk0Ncrfy8Oj8eloep5zALIm7fPIBAkGIinDciBm4kmtTA==" saltValue="r51xLDJzp4sfRX0OUKiHJ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500-000001000000}">
      <formula1>1</formula1>
      <formula2>73051</formula2>
    </dataValidation>
    <dataValidation type="decimal" allowBlank="1" showInputMessage="1" showErrorMessage="1" error="Please enter a valid reading." sqref="D7:D8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612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8" x14ac:dyDescent="0.25">
      <c r="B3" s="75" t="s">
        <v>739</v>
      </c>
      <c r="C3" s="76">
        <v>223</v>
      </c>
      <c r="D3" s="91">
        <v>43343</v>
      </c>
      <c r="E3" s="97">
        <v>0.375</v>
      </c>
      <c r="F3" s="92">
        <v>100.11</v>
      </c>
    </row>
    <row r="4" spans="1:8" x14ac:dyDescent="0.25">
      <c r="B4" s="75" t="s">
        <v>740</v>
      </c>
      <c r="C4" s="76">
        <v>224</v>
      </c>
      <c r="D4" s="91">
        <v>43313</v>
      </c>
      <c r="E4" s="97">
        <v>0.41666666666666669</v>
      </c>
      <c r="F4" s="92">
        <v>50.11</v>
      </c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F6" s="60"/>
      <c r="G6" s="69">
        <f>IF(G8="",1,0)</f>
        <v>0</v>
      </c>
      <c r="H6" s="69">
        <f>IF(H8="",1,0)</f>
        <v>0</v>
      </c>
    </row>
    <row r="7" spans="1:8" ht="21" customHeight="1" x14ac:dyDescent="0.25">
      <c r="A7" s="38" t="s">
        <v>590</v>
      </c>
      <c r="B7" s="220"/>
      <c r="C7" s="61"/>
      <c r="D7" s="61"/>
      <c r="E7" s="61"/>
      <c r="F7" s="62"/>
      <c r="G7" s="47" t="s">
        <v>576</v>
      </c>
      <c r="H7" s="47" t="s">
        <v>576</v>
      </c>
    </row>
    <row r="8" spans="1:8" ht="15" customHeight="1" x14ac:dyDescent="0.25">
      <c r="A8" s="38" t="s">
        <v>590</v>
      </c>
      <c r="B8" s="221"/>
      <c r="C8" s="63"/>
      <c r="D8" s="63"/>
      <c r="E8" s="63"/>
      <c r="F8" s="64"/>
      <c r="G8" s="145">
        <f t="array" ref="G8">IFERROR(INDEX($D$3:$D$5, MATCH(0,IF(ISBLANK($D$3:$D$5),1,COUNTIF($F$8:F8, $D$3:$D$5)), 0)),"")</f>
        <v>43343</v>
      </c>
      <c r="H8" s="145">
        <f t="array" ref="H8">IFERROR(INDEX($D$3:$D$5, MATCH(0,IF(ISBLANK($D$3:$D$5),1,COUNTIF($F$8:G8, $D$3:$D$5)), 0)),"")</f>
        <v>43313</v>
      </c>
    </row>
    <row r="9" spans="1:8" ht="27.75" customHeight="1" x14ac:dyDescent="0.25">
      <c r="A9" s="38" t="s">
        <v>590</v>
      </c>
      <c r="B9" s="222"/>
      <c r="C9" s="65"/>
      <c r="D9" s="65"/>
      <c r="E9" s="65"/>
      <c r="F9" s="66"/>
      <c r="G9" s="71" t="s">
        <v>582</v>
      </c>
      <c r="H9" s="71" t="s">
        <v>582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Goa</v>
      </c>
      <c r="C10" s="49"/>
      <c r="D10" s="49"/>
      <c r="E10" s="49"/>
      <c r="F10" s="58"/>
      <c r="G10" s="93">
        <f t="array" ref="G10">IFERROR(PERCENTILE(IF($B$3:$B$5=$B10,IF($D$3:$D$5=G$8,IF($F$3:$F$5&lt;&gt;"",$F$3:$F$5))),0.95),"")</f>
        <v>100.11</v>
      </c>
      <c r="H10" s="93" t="str">
        <f t="array" ref="H10">IFERROR(PERCENTILE(IF($B$3:$B$5=$B10,IF($D$3:$D$5=H$8,IF($F$3:$F$5&lt;&gt;"",$F$3:$F$5))),0.95),"")</f>
        <v/>
      </c>
    </row>
    <row r="11" spans="1:8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Hyd</v>
      </c>
      <c r="C11" s="49"/>
      <c r="D11" s="49"/>
      <c r="E11" s="49"/>
      <c r="F11" s="58"/>
      <c r="G11" s="93" t="str">
        <f t="array" ref="G11">IFERROR(PERCENTILE(IF($B$3:$B$5=$B11,IF($D$3:$D$5=G$8,IF($F$3:$F$5&lt;&gt;"",$F$3:$F$5))),0.95),"")</f>
        <v/>
      </c>
      <c r="H11" s="93">
        <f t="array" ref="H11">IFERROR(PERCENTILE(IF($B$3:$B$5=$B11,IF($D$3:$D$5=H$8,IF($F$3:$F$5&lt;&gt;"",$F$3:$F$5))),0.95),"")</f>
        <v>50.11</v>
      </c>
    </row>
    <row r="12" spans="1:8" ht="9" customHeight="1" x14ac:dyDescent="0.25">
      <c r="G12" s="94"/>
      <c r="H12" s="94"/>
    </row>
    <row r="13" spans="1:8" ht="9" customHeight="1" x14ac:dyDescent="0.25">
      <c r="A13" s="38" t="s">
        <v>545</v>
      </c>
      <c r="G13" s="94"/>
      <c r="H13" s="94"/>
    </row>
    <row r="14" spans="1:8" ht="15" hidden="1" customHeight="1" x14ac:dyDescent="0.25">
      <c r="G14" s="72">
        <f>G8</f>
        <v>43343</v>
      </c>
      <c r="H14" s="72">
        <f>H8</f>
        <v>43313</v>
      </c>
    </row>
    <row r="15" spans="1:8" ht="20.25" customHeight="1" x14ac:dyDescent="0.25">
      <c r="B15" s="55" t="s">
        <v>579</v>
      </c>
      <c r="C15" s="56"/>
      <c r="D15" s="56"/>
      <c r="E15" s="56"/>
      <c r="F15" s="57"/>
      <c r="G15" s="95">
        <f>IFERROR(AVERAGE(G10:G13),0)</f>
        <v>100.11</v>
      </c>
      <c r="H15" s="95">
        <f>IFERROR(AVERAGE(H10:H13),0)</f>
        <v>50.11</v>
      </c>
    </row>
    <row r="16" spans="1:8" ht="24.75" customHeight="1" x14ac:dyDescent="0.25"/>
    <row r="17" spans="1:5" ht="28.5" hidden="1" customHeight="1" x14ac:dyDescent="0.25">
      <c r="A17" s="38">
        <v>10</v>
      </c>
      <c r="B17" s="50" t="s">
        <v>580</v>
      </c>
      <c r="C17" s="50"/>
      <c r="D17" s="50"/>
      <c r="E17" s="67"/>
    </row>
    <row r="18" spans="1:5" ht="15" hidden="1" customHeight="1" x14ac:dyDescent="0.25">
      <c r="A18" s="37">
        <f>IFERROR(IF(D18="",1,0),1)</f>
        <v>0</v>
      </c>
      <c r="B18" s="52">
        <f>INDEX(Dates,1,E18)</f>
        <v>43343</v>
      </c>
      <c r="C18" s="52">
        <f t="shared" ref="C18" si="1">B18</f>
        <v>43343</v>
      </c>
      <c r="D18" s="53">
        <f>HLOOKUP(B18,ReadingTable,2,FALSE)</f>
        <v>100.11</v>
      </c>
      <c r="E18" s="68">
        <f>IF(E17="",7,E17+1)</f>
        <v>7</v>
      </c>
    </row>
    <row r="19" spans="1:5" hidden="1" x14ac:dyDescent="0.25"/>
    <row r="20" spans="1:5" hidden="1" x14ac:dyDescent="0.25">
      <c r="B20" s="51" t="s">
        <v>578</v>
      </c>
      <c r="C20" s="51"/>
    </row>
    <row r="21" spans="1:5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0" t="s">
        <v>584</v>
      </c>
    </row>
    <row r="24" spans="1:5" ht="15" hidden="1" x14ac:dyDescent="0.25">
      <c r="A24" s="4"/>
      <c r="B24" s="35"/>
      <c r="C24" s="35"/>
      <c r="D24" s="70"/>
      <c r="E24" s="1"/>
    </row>
  </sheetData>
  <sheetProtection algorithmName="SHA-512" hashValue="sJ7hxp5u0YC2kRtg7NIVfnCMfj1ZyUO3uubp1qo3N4W0vF+Ahmf8cASovqqHviQruIJROJaRJn1EuXu7mSQyzg==" saltValue="7MeCFv8OllOCi4YjtQJHzg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4</xdr:row>
                    <xdr:rowOff>152400</xdr:rowOff>
                  </from>
                  <to>
                    <xdr:col>4</xdr:col>
                    <xdr:colOff>962025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0"/>
  <sheetViews>
    <sheetView zoomScaleNormal="100" workbookViewId="0"/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8" t="s">
        <v>563</v>
      </c>
      <c r="C2" s="219"/>
      <c r="D2" s="31" t="s">
        <v>609</v>
      </c>
      <c r="E2" s="1"/>
    </row>
    <row r="3" spans="1:5" x14ac:dyDescent="0.25">
      <c r="A3" s="4" t="s">
        <v>590</v>
      </c>
      <c r="B3" s="216" t="s">
        <v>679</v>
      </c>
      <c r="C3" s="217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10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>INDEX(DatesVOC,1,E7)</f>
        <v>43374</v>
      </c>
      <c r="C7" s="52">
        <f t="shared" ref="C7" si="0">B7</f>
        <v>43374</v>
      </c>
      <c r="D7" s="53">
        <f t="array" ref="D7">HLOOKUP(B7,ReadingTableVOC,2,FALSE)</f>
        <v>100.11</v>
      </c>
      <c r="E7" s="68">
        <f>IF(E6="",8,E6+1)</f>
        <v>8</v>
      </c>
    </row>
    <row r="8" spans="1:5" ht="15" customHeight="1" x14ac:dyDescent="0.25">
      <c r="A8" s="4" t="s">
        <v>545</v>
      </c>
      <c r="B8" s="34"/>
      <c r="C8" s="34"/>
      <c r="D8" s="34"/>
      <c r="E8" s="1"/>
    </row>
    <row r="9" spans="1:5" ht="15" hidden="1" customHeight="1" x14ac:dyDescent="0.25">
      <c r="A9" s="4"/>
      <c r="B9" s="34"/>
      <c r="C9" s="34"/>
      <c r="D9" s="34"/>
      <c r="E9" s="1"/>
    </row>
    <row r="10" spans="1:5" ht="33.6" customHeight="1" x14ac:dyDescent="0.25">
      <c r="A10" s="4" t="s">
        <v>545</v>
      </c>
      <c r="B10" s="34"/>
      <c r="C10" s="34"/>
      <c r="D10" s="34"/>
      <c r="E10" s="1"/>
    </row>
  </sheetData>
  <sheetProtection algorithmName="SHA-512" hashValue="NCuhh6pUZ4CqXYd++yg2icAVl6AnGGtGUDJrvR99THS7Vm9U5sNo9wnyEmw+5d7/ch6H4hXmNVlTyH2VG4GKKg==" saltValue="2edP4g9PctHCEmjoJ9J8c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8:D10" xr:uid="{00000000-0002-0000-0700-000000000000}"/>
    <dataValidation type="decimal" allowBlank="1" showInputMessage="1" showErrorMessage="1" error="Please enter a valid reading." sqref="D7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7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9</xdr:row>
                    <xdr:rowOff>28575</xdr:rowOff>
                  </from>
                  <to>
                    <xdr:col>2</xdr:col>
                    <xdr:colOff>466725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9</xdr:row>
                    <xdr:rowOff>352425</xdr:rowOff>
                  </from>
                  <to>
                    <xdr:col>3</xdr:col>
                    <xdr:colOff>990600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21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613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8" x14ac:dyDescent="0.25">
      <c r="B3" s="75" t="s">
        <v>739</v>
      </c>
      <c r="C3" s="76">
        <v>223</v>
      </c>
      <c r="D3" s="91">
        <v>43374</v>
      </c>
      <c r="E3" s="97">
        <v>0.375</v>
      </c>
      <c r="F3" s="98">
        <v>0.5</v>
      </c>
      <c r="G3" s="92">
        <v>100.11</v>
      </c>
    </row>
    <row r="4" spans="1:8" x14ac:dyDescent="0.25">
      <c r="B4" s="75"/>
      <c r="C4" s="76"/>
      <c r="D4" s="91"/>
      <c r="E4" s="97"/>
      <c r="F4" s="98"/>
      <c r="G4" s="92"/>
      <c r="H4" s="46"/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G6" s="60"/>
      <c r="H6" s="69">
        <f>IF(H8="",1,0)</f>
        <v>0</v>
      </c>
    </row>
    <row r="7" spans="1:8" ht="21" customHeight="1" x14ac:dyDescent="0.25">
      <c r="A7" s="38" t="s">
        <v>590</v>
      </c>
      <c r="B7" s="220"/>
      <c r="C7" s="61"/>
      <c r="D7" s="61"/>
      <c r="E7" s="61"/>
      <c r="F7" s="61"/>
      <c r="G7" s="62"/>
      <c r="H7" s="47" t="s">
        <v>576</v>
      </c>
    </row>
    <row r="8" spans="1:8" ht="15" customHeight="1" x14ac:dyDescent="0.25">
      <c r="A8" s="38" t="s">
        <v>590</v>
      </c>
      <c r="B8" s="221"/>
      <c r="C8" s="63"/>
      <c r="D8" s="63"/>
      <c r="E8" s="63"/>
      <c r="F8" s="63"/>
      <c r="G8" s="64"/>
      <c r="H8" s="145">
        <f t="array" ref="H8">IFERROR(INDEX($D$3:$D$5, MATCH(0,IF(ISBLANK($D$3:$D$5),1,COUNTIF($G$8:G8, $D$3:$D$5)), 0)),"")</f>
        <v>43374</v>
      </c>
    </row>
    <row r="9" spans="1:8" ht="27.75" customHeight="1" x14ac:dyDescent="0.25">
      <c r="A9" s="38" t="s">
        <v>590</v>
      </c>
      <c r="B9" s="222"/>
      <c r="C9" s="65"/>
      <c r="D9" s="65"/>
      <c r="E9" s="65"/>
      <c r="F9" s="65"/>
      <c r="G9" s="66"/>
      <c r="H9" s="74" t="s">
        <v>587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Goa</v>
      </c>
      <c r="C10" s="49"/>
      <c r="D10" s="49"/>
      <c r="E10" s="49"/>
      <c r="F10" s="49"/>
      <c r="G10" s="58"/>
      <c r="H10" s="93">
        <f t="array" ref="H10">IFERROR(AVERAGE(IF($B$3:$B$5=$B10,IF($D$3:$D$5=H$8,IF($G$3:$G$5&lt;&gt;"",$G$3:$G$5)))),"")</f>
        <v>100.11</v>
      </c>
    </row>
    <row r="11" spans="1:8" ht="9" customHeight="1" x14ac:dyDescent="0.25">
      <c r="H11" s="94"/>
    </row>
    <row r="12" spans="1:8" ht="9" customHeight="1" x14ac:dyDescent="0.25">
      <c r="A12" s="38" t="s">
        <v>545</v>
      </c>
      <c r="H12" s="94"/>
    </row>
    <row r="13" spans="1:8" ht="15" hidden="1" customHeight="1" x14ac:dyDescent="0.25">
      <c r="H13" s="96">
        <f>H8</f>
        <v>43374</v>
      </c>
    </row>
    <row r="14" spans="1:8" ht="20.25" customHeight="1" x14ac:dyDescent="0.25">
      <c r="B14" s="55" t="s">
        <v>588</v>
      </c>
      <c r="C14" s="56"/>
      <c r="D14" s="56"/>
      <c r="E14" s="56"/>
      <c r="F14" s="56"/>
      <c r="G14" s="57"/>
      <c r="H14" s="95">
        <f>IFERROR(MAX(H10:H12),0)</f>
        <v>100.11</v>
      </c>
    </row>
    <row r="15" spans="1:8" ht="24.75" customHeight="1" x14ac:dyDescent="0.25"/>
    <row r="16" spans="1:8" ht="28.5" hidden="1" customHeight="1" x14ac:dyDescent="0.25">
      <c r="A16" s="38">
        <v>10</v>
      </c>
      <c r="B16" s="50" t="s">
        <v>580</v>
      </c>
      <c r="C16" s="50"/>
      <c r="D16" s="50"/>
      <c r="E16" s="67"/>
      <c r="F16" s="67"/>
    </row>
    <row r="17" spans="1:6" ht="15" hidden="1" customHeight="1" x14ac:dyDescent="0.25">
      <c r="A17" s="37">
        <f>IFERROR(IF(D17="",1,0),1)</f>
        <v>0</v>
      </c>
      <c r="B17" s="52">
        <f>INDEX(DatesVOC,1,E17)</f>
        <v>43374</v>
      </c>
      <c r="C17" s="52">
        <f t="shared" ref="C17" si="0">B17</f>
        <v>43374</v>
      </c>
      <c r="D17" s="53">
        <f t="array" ref="D17">HLOOKUP(B17,ReadingTableVOC,2,FALSE)</f>
        <v>100.11</v>
      </c>
      <c r="E17" s="68">
        <f>IF(E16="",8,E16+1)</f>
        <v>8</v>
      </c>
      <c r="F17" s="68"/>
    </row>
    <row r="18" spans="1:6" hidden="1" x14ac:dyDescent="0.25"/>
    <row r="19" spans="1:6" hidden="1" x14ac:dyDescent="0.25">
      <c r="B19" s="51" t="s">
        <v>578</v>
      </c>
      <c r="C19" s="51"/>
    </row>
    <row r="20" spans="1:6" hidden="1" x14ac:dyDescent="0.25">
      <c r="B20" s="54">
        <f t="array" ref="B20">SUM(IF($D$3:$D$5&lt;&gt;"",1/COUNTIF($D$3:$D$5, $D$3:$D$5), 0))</f>
        <v>1</v>
      </c>
      <c r="C20" s="54">
        <f t="array" ref="C20">SUM(IF($B$3:$B$5&lt;&gt;"",1/COUNTIF($B$3:$B$5, $B$3:$B$5), 0))</f>
        <v>1</v>
      </c>
    </row>
    <row r="21" spans="1:6" hidden="1" x14ac:dyDescent="0.25"/>
  </sheetData>
  <sheetProtection algorithmName="SHA-512" hashValue="/ojzKxM//Ous5iqjgoz2dWDqb0dIJweQglenlPjtrqnQvveZWGZS5P1f7tyNMqfbRpn7kSdFBzYiTTJbUHtioA==" saltValue="/LdHzqt9PnHt4I1C3fxKdg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4</xdr:row>
                    <xdr:rowOff>133350</xdr:rowOff>
                  </from>
                  <to>
                    <xdr:col>4</xdr:col>
                    <xdr:colOff>885825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E14" sqref="E14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590</v>
      </c>
      <c r="B1" s="1"/>
      <c r="C1" s="1"/>
      <c r="D1" s="1"/>
      <c r="E1" s="1"/>
      <c r="F1" s="1"/>
    </row>
    <row r="2" spans="1:9" x14ac:dyDescent="0.25">
      <c r="A2" s="4" t="s">
        <v>590</v>
      </c>
      <c r="B2" s="218" t="s">
        <v>563</v>
      </c>
      <c r="C2" s="223"/>
      <c r="D2" s="219"/>
      <c r="E2" s="33" t="s">
        <v>569</v>
      </c>
      <c r="F2" s="1"/>
    </row>
    <row r="3" spans="1:9" ht="15" customHeight="1" x14ac:dyDescent="0.25">
      <c r="A3" s="4" t="s">
        <v>590</v>
      </c>
      <c r="B3" s="216" t="s">
        <v>679</v>
      </c>
      <c r="C3" s="224"/>
      <c r="D3" s="217"/>
      <c r="E3" s="33" t="s">
        <v>555</v>
      </c>
      <c r="F3" s="1"/>
    </row>
    <row r="4" spans="1:9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9" x14ac:dyDescent="0.25">
      <c r="A5" s="4" t="s">
        <v>590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5"/>
      <c r="C7" s="35"/>
      <c r="D7" s="21"/>
      <c r="E7" s="21"/>
      <c r="F7" s="1"/>
    </row>
    <row r="8" spans="1:9" x14ac:dyDescent="0.25">
      <c r="A8" s="4"/>
      <c r="B8" s="23"/>
      <c r="C8" s="23"/>
      <c r="D8" s="26"/>
      <c r="E8" s="27"/>
      <c r="F8" s="1"/>
    </row>
    <row r="9" spans="1:9" hidden="1" x14ac:dyDescent="0.25">
      <c r="A9" s="5">
        <v>0</v>
      </c>
      <c r="B9" s="25"/>
      <c r="C9" s="25"/>
      <c r="D9" s="28"/>
      <c r="E9" s="29"/>
      <c r="F9" s="1"/>
    </row>
    <row r="10" spans="1:9" ht="25.5" customHeight="1" x14ac:dyDescent="0.25">
      <c r="A10" s="4" t="s">
        <v>545</v>
      </c>
      <c r="B10" s="24"/>
      <c r="C10" s="24"/>
      <c r="D10" s="24"/>
      <c r="E10" s="30"/>
      <c r="F10" s="1"/>
    </row>
    <row r="12" spans="1:9" x14ac:dyDescent="0.25">
      <c r="I12" s="2" t="s">
        <v>559</v>
      </c>
    </row>
    <row r="13" spans="1:9" x14ac:dyDescent="0.25">
      <c r="I13" s="2" t="s">
        <v>554</v>
      </c>
    </row>
    <row r="14" spans="1:9" x14ac:dyDescent="0.25">
      <c r="I14" s="2" t="s">
        <v>539</v>
      </c>
    </row>
  </sheetData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9</xdr:row>
                    <xdr:rowOff>9525</xdr:rowOff>
                  </from>
                  <to>
                    <xdr:col>3</xdr:col>
                    <xdr:colOff>1200150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/o8ym0pk7R/v343UoKUS9sGdtuRjKWgjcTMZ6Usu8i8OWdlH8m4rDKhlCKnIJjSAOBMLgRgO7mWY0hnERCbJDw==" saltValue="hXQ2zX0xht5JbjuMbrKUUw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2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bc/YLJu5jZcNacQ9TIXhj3A2n3nIuDe3NO36K8VSTD1gM0s5TZMqviw4NlEbpkJvVK93mZwgBqmW+lynL2Yhg==" saltValue="eFkAAC/HRiJhSW8fxuFWUQ==" spinCount="100000" sheet="1" objects="1" scenarios="1"/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28" sqref="D2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DibvrZc9LPwIzDASUCFq9cWIWxOnN5slfACMmxOdCXI7NCF75Y+6za866OPXrc8rSFVinZRJf5fQ6QyziIBog==" saltValue="pbmFlHRXRc2P6Z/T0FexHA==" spinCount="100000" sheet="1" objects="1" scenarios="1"/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tiatX+TJyBTyIK/w6EuzsX94gyMD+yVzCpxaIh6tjNbC3BQCkV63vt8iH9oJIMhyZ1HfErp0Pm+qtoM7ozHRA==" saltValue="kArCs/PiHy+zvqjuHpXa5Q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jqAta7qx9fMLfhDaXuDByBh0YglQrM5xAWZR1Ss6hrXDctdKLWaAalqMO8F/LxYi3KNIEXReCpqh+7j/yaY5Cw==" saltValue="cSi5oYoqNI51+bLV1VCa2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cNhwfIH2waOSqYZ88V0HAqVdkI4DLNhPA5iJ0fJAJxG41Q7IPu0UwA82jcqhJLGYPIGsE1XDHoTP68umyY6Sw==" saltValue="16wIOwKMUlj009PuBCpLmA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Tp8HR8vYkpHYshcIvMilrJeTYGc/O3i5rYqoZTkgawB+7S99aFVrDCuS8tDZq7NXTGG5D8F1KtSzjfZXM/X2w==" saltValue="RUOkvn2IvOJAdiZ5sZ3SIQ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PadXV5K0OqRLoFvPhFxjE62ounnGRalNNKn3MPXbcOZKqU1c51CBdgSm+msPm2luJ48T7+8lchnQEIqpw3oGYg==" saltValue="psiUNbBcu8+HG8nSTy6KpA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ZHuyEUqavyROCMWqJt9DTFOx5lGcgEqCtw4I7C6A/C6ZGyslTsuxu6YlElaq2wYLBjbwYmC4WIg9P+BmHcBzXg==" saltValue="noWxFERV5XNnB3baj9+wcQ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45zFcFprn0LJTIQrCo6kzvoNCflPFjZhHZyJytNAJUcXXZpRmQUdQkhDq87c77OfZ/8Mke4I/5FC4j3zZry2g==" saltValue="GBGzsMhXKqtUC92ZWRZXVg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C22" sqref="C2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mEkSZoUDdZLTiyjtR2W4ym/fHf2P0Rx2LRu+m+IYuUwHPH4gsk4CO2wtNxS4d95Vs9SwPYToW/37r2Eud6cLQ==" saltValue="IPYVLUII7NKQGzM1PD6asg==" spinCount="100000" sheet="1" objects="1" scenarios="1"/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358</vt:i4>
      </vt:variant>
    </vt:vector>
  </HeadingPairs>
  <TitlesOfParts>
    <vt:vector size="382" baseType="lpstr">
      <vt:lpstr>Instructions</vt:lpstr>
      <vt:lpstr>Building Settings</vt:lpstr>
      <vt:lpstr>base_w</vt:lpstr>
      <vt:lpstr>base_e</vt:lpstr>
      <vt:lpstr>AnalyticsEnergy Meter via up...</vt:lpstr>
      <vt:lpstr>AnalyticsWater meter via upload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'AnalyticsEnergy Meter via up...'!elecName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'AnalyticsEnergy Meter via up...'!ElectricityDrp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Acetaldehyde!WaterDrp</vt:lpstr>
      <vt:lpstr>'AnalyticsWater meter via upload'!WaterDrp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Acetaldehyde!watUni</vt:lpstr>
      <vt:lpstr>'AnalyticsWater meter via upload'!watUni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Abhishek Kumar</cp:lastModifiedBy>
  <cp:lastPrinted>2017-09-22T06:24:12Z</cp:lastPrinted>
  <dcterms:created xsi:type="dcterms:W3CDTF">2014-11-12T06:32:08Z</dcterms:created>
  <dcterms:modified xsi:type="dcterms:W3CDTF">2019-07-09T07:34:13Z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