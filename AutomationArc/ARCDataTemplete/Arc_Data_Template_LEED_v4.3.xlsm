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2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C5864B1D-F6E2-460E-B8C4-3AE9A96601FB}" xr6:coauthVersionLast="36" xr6:coauthVersionMax="43" xr10:uidLastSave="{00000000-0000-0000-0000-000000000000}"/>
  <workbookProtection workbookAlgorithmName="SHA-512" workbookHashValue="xmMVM7EWEdJwCjB2rwpQ5I3RC4NoqY3iQ2gK8HcnBJVBVEuxz5eOxfvNsSStIoJzdhOiOG6S7lCTNuQKqbHYXw==" workbookSaltValue="mLy05xxHfsPNN3hYmlYrqg==" workbookSpinCount="100000" lockStructure="1"/>
  <bookViews>
    <workbookView xWindow="0" yWindow="0" windowWidth="20490" windowHeight="8790" firstSheet="9" activeTab="9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AnalyticsWater meter via upload" sheetId="29" r:id="rId22"/>
    <sheet name="AnalyticsEnergy Meter via up...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Setup!$L$28:$M$271</definedName>
    <definedName name="CountriesDetails">Setup!$L$28:$L$271</definedName>
    <definedName name="countryName">Setup!$L$27:$L$271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22">'AnalyticsEnergy Meter via up...'!$G$15:$G$19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22">'AnalyticsEnergy Meter via up...'!$J$9:$J$10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22">base_f!#REF!</definedName>
    <definedName name="fuelname" localSheetId="21">base_f!#REF!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Setup!$M$24:$M$25</definedName>
    <definedName name="meterName">Setup!$O$28:$O$33</definedName>
    <definedName name="MeterTypes">Setup!$L$274:$L$300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22">OFFSET(myItemList,0,0,1,COUNTA(myItemList))</definedName>
    <definedName name="myitem" localSheetId="21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Setup!$Q$28:$Q$30</definedName>
    <definedName name="newMet" localSheetId="12">Setup!$Q$28:$Q$30</definedName>
    <definedName name="newMet" localSheetId="14">Setup!$Q$28:$Q$30</definedName>
    <definedName name="newMet" localSheetId="10">Setup!$Q$28:$Q$30</definedName>
    <definedName name="newMet" localSheetId="18">Setup!$Q$28:$Q$30</definedName>
    <definedName name="newMet" localSheetId="20">Setup!$Q$28:$Q$30</definedName>
    <definedName name="newMet" localSheetId="17">Setup!$Q$28:$Q$30</definedName>
    <definedName name="newMet" localSheetId="11">Setup!$Q$28:$Q$30</definedName>
    <definedName name="newMet" localSheetId="15">Setup!$Q$28:$Q$30</definedName>
    <definedName name="newMet" localSheetId="16">Setup!$Q$28:$Q$30</definedName>
    <definedName name="newMet" localSheetId="19">Setup!$Q$28:$Q$30</definedName>
    <definedName name="newMet">Setup!$Q$28:$Q$30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21">COUNTIF('AnalyticsWater meter via upload'!$B:$B,'AnalyticsWater meter via upload'!A1)=1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Setup!$S$38:$S$100</definedName>
    <definedName name="spacetype" localSheetId="12">Setup!$S$38:$S$100</definedName>
    <definedName name="spacetype" localSheetId="14">Setup!$S$38:$S$100</definedName>
    <definedName name="spacetype" localSheetId="10">Setup!$S$38:$S$100</definedName>
    <definedName name="spacetype" localSheetId="18">Setup!$S$38:$S$100</definedName>
    <definedName name="spacetype" localSheetId="20">Setup!$S$38:$S$100</definedName>
    <definedName name="spacetype" localSheetId="17">Setup!$S$38:$S$100</definedName>
    <definedName name="spacetype" localSheetId="11">Setup!$S$38:$S$100</definedName>
    <definedName name="spacetype" localSheetId="15">Setup!$S$38:$S$100</definedName>
    <definedName name="spacetype" localSheetId="16">Setup!$S$38:$S$100</definedName>
    <definedName name="spacetype" localSheetId="19">Setup!$S$38:$S$100</definedName>
    <definedName name="spacetype">Setup!$S$29:$S$84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Setup!$L$303:$L$321</definedName>
    <definedName name="water_meter_type" localSheetId="21">'AnalyticsWater meter via upload'!$H$51:$I$63</definedName>
    <definedName name="water_meter_type">base_w!$H$27:$I$39</definedName>
    <definedName name="water_type" localSheetId="21">'AnalyticsWater meter via upload'!$H$51:$I$63</definedName>
    <definedName name="water_type">base_w!$H$27:$I$39</definedName>
    <definedName name="water_units" localSheetId="21">'AnalyticsWater meter via upload'!$H$39:$H$47</definedName>
    <definedName name="water_units">base_w!$H$15:$H$23</definedName>
    <definedName name="WaterDrp" localSheetId="13">base_w!$I$9:$I$11</definedName>
    <definedName name="WaterDrp" localSheetId="21">'AnalyticsWater meter via upload'!$I$33:$I$35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19">base_w!$I$9:$I$11</definedName>
    <definedName name="WaterDrp">base_w!$I$9:$I$11</definedName>
    <definedName name="waterType" localSheetId="21">'AnalyticsWater meter via upload'!$H$51:$H$63</definedName>
    <definedName name="waterType">base_w!$H$27:$H$39</definedName>
    <definedName name="waterUnits" localSheetId="21">'AnalyticsWater meter via upload'!$J$34:$J$38</definedName>
    <definedName name="waterUnits">base_w!$J$10:$J$14</definedName>
    <definedName name="watUn" localSheetId="21">'AnalyticsWater meter via upload'!$H$39:$H$47</definedName>
    <definedName name="watUn">base_w!$H$15:$H$23</definedName>
    <definedName name="watUni" localSheetId="13">base_w!$H$15:$H$29</definedName>
    <definedName name="watUni" localSheetId="21">'AnalyticsWater meter via upload'!$H$39:$H$53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1">'AnalyticsWater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30" l="1"/>
  <c r="B1" i="30"/>
  <c r="D1" i="30" s="1"/>
  <c r="AF31" i="15" l="1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3"/>
  <c r="E8" i="13" s="1"/>
  <c r="E9" i="13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D6" i="29"/>
  <c r="B1" i="29"/>
  <c r="D1" i="29" s="1"/>
  <c r="AF29" i="15" l="1"/>
  <c r="AF37" i="15" a="1"/>
  <c r="AF37" i="15" s="1"/>
  <c r="AF45" i="15"/>
  <c r="AF41" i="15" a="1"/>
  <c r="AF41" i="15" s="1"/>
  <c r="AF39" i="15" a="1"/>
  <c r="AF39" i="15" s="1"/>
  <c r="AF35" i="15" a="1"/>
  <c r="AF35" i="15" s="1"/>
  <c r="AF33" i="15" a="1"/>
  <c r="AF33" i="15" s="1"/>
  <c r="AF38" i="15" a="1"/>
  <c r="AF38" i="15" s="1"/>
  <c r="AF42" i="15" a="1"/>
  <c r="AF42" i="15" s="1"/>
  <c r="AF40" i="15" a="1"/>
  <c r="AF40" i="15" s="1"/>
  <c r="AF36" i="15" a="1"/>
  <c r="AF36" i="15" s="1"/>
  <c r="AF34" i="15" a="1"/>
  <c r="AF34" i="15" s="1"/>
  <c r="AE29" i="15"/>
  <c r="AE45" i="15"/>
  <c r="AE41" i="15" a="1"/>
  <c r="AE41" i="15" s="1"/>
  <c r="AE39" i="15" a="1"/>
  <c r="AE39" i="15" s="1"/>
  <c r="AE37" i="15" a="1"/>
  <c r="AE37" i="15" s="1"/>
  <c r="AE35" i="15" a="1"/>
  <c r="AE35" i="15" s="1"/>
  <c r="AE33" i="15" a="1"/>
  <c r="AE33" i="15" s="1"/>
  <c r="AE42" i="15" a="1"/>
  <c r="AE42" i="15" s="1"/>
  <c r="AE40" i="15" a="1"/>
  <c r="AE40" i="15" s="1"/>
  <c r="AE38" i="15" a="1"/>
  <c r="AE38" i="15" s="1"/>
  <c r="AE36" i="15" a="1"/>
  <c r="AE36" i="15" s="1"/>
  <c r="AE34" i="15" a="1"/>
  <c r="AE34" i="15" s="1"/>
  <c r="AD29" i="15"/>
  <c r="AD37" i="15" a="1"/>
  <c r="AD37" i="15" s="1"/>
  <c r="AD33" i="15" a="1"/>
  <c r="AD33" i="15" s="1"/>
  <c r="AD45" i="15"/>
  <c r="AD41" i="15" a="1"/>
  <c r="AD41" i="15" s="1"/>
  <c r="AD39" i="15" a="1"/>
  <c r="AD39" i="15" s="1"/>
  <c r="AD35" i="15" a="1"/>
  <c r="AD35" i="15" s="1"/>
  <c r="AD38" i="15" a="1"/>
  <c r="AD38" i="15" s="1"/>
  <c r="AD34" i="15" a="1"/>
  <c r="AD34" i="15" s="1"/>
  <c r="AD42" i="15" a="1"/>
  <c r="AD42" i="15" s="1"/>
  <c r="AD40" i="15" a="1"/>
  <c r="AD40" i="15" s="1"/>
  <c r="AD36" i="15" a="1"/>
  <c r="AD36" i="15" s="1"/>
  <c r="AC29" i="15"/>
  <c r="AC45" i="15"/>
  <c r="AC41" i="15" a="1"/>
  <c r="AC41" i="15" s="1"/>
  <c r="AC39" i="15" a="1"/>
  <c r="AC39" i="15" s="1"/>
  <c r="AC37" i="15" a="1"/>
  <c r="AC37" i="15" s="1"/>
  <c r="AC35" i="15" a="1"/>
  <c r="AC35" i="15" s="1"/>
  <c r="AC33" i="15" a="1"/>
  <c r="AC33" i="15" s="1"/>
  <c r="AC42" i="15" a="1"/>
  <c r="AC42" i="15" s="1"/>
  <c r="AC40" i="15" a="1"/>
  <c r="AC40" i="15" s="1"/>
  <c r="AC38" i="15" a="1"/>
  <c r="AC38" i="15" s="1"/>
  <c r="AC36" i="15" a="1"/>
  <c r="AC36" i="15" s="1"/>
  <c r="AC34" i="15" a="1"/>
  <c r="AC34" i="15" s="1"/>
  <c r="AB29" i="15"/>
  <c r="AB39" i="15" a="1"/>
  <c r="AB39" i="15" s="1"/>
  <c r="AB33" i="15" a="1"/>
  <c r="AB33" i="15" s="1"/>
  <c r="AB40" i="15" a="1"/>
  <c r="AB40" i="15" s="1"/>
  <c r="AB36" i="15" a="1"/>
  <c r="AB36" i="15" s="1"/>
  <c r="AB45" i="15"/>
  <c r="AB41" i="15" a="1"/>
  <c r="AB41" i="15" s="1"/>
  <c r="AB37" i="15" a="1"/>
  <c r="AB37" i="15" s="1"/>
  <c r="AB35" i="15" a="1"/>
  <c r="AB35" i="15" s="1"/>
  <c r="AB42" i="15" a="1"/>
  <c r="AB42" i="15" s="1"/>
  <c r="AB38" i="15" a="1"/>
  <c r="AB38" i="15" s="1"/>
  <c r="AB34" i="15" a="1"/>
  <c r="AB34" i="15" s="1"/>
  <c r="AA29" i="15"/>
  <c r="AA45" i="15"/>
  <c r="AA41" i="15" a="1"/>
  <c r="AA41" i="15" s="1"/>
  <c r="AA39" i="15" a="1"/>
  <c r="AA39" i="15" s="1"/>
  <c r="AA37" i="15" a="1"/>
  <c r="AA37" i="15" s="1"/>
  <c r="AA35" i="15" a="1"/>
  <c r="AA35" i="15" s="1"/>
  <c r="AA33" i="15" a="1"/>
  <c r="AA33" i="15" s="1"/>
  <c r="AA42" i="15" a="1"/>
  <c r="AA42" i="15" s="1"/>
  <c r="AA40" i="15" a="1"/>
  <c r="AA40" i="15" s="1"/>
  <c r="AA38" i="15" a="1"/>
  <c r="AA38" i="15" s="1"/>
  <c r="AA36" i="15" a="1"/>
  <c r="AA36" i="15" s="1"/>
  <c r="AA34" i="15" a="1"/>
  <c r="AA34" i="15" s="1"/>
  <c r="Z29" i="15"/>
  <c r="Z39" i="15" a="1"/>
  <c r="Z39" i="15" s="1"/>
  <c r="Z33" i="15" a="1"/>
  <c r="Z33" i="15" s="1"/>
  <c r="Z45" i="15"/>
  <c r="Z41" i="15" a="1"/>
  <c r="Z41" i="15" s="1"/>
  <c r="Z37" i="15" a="1"/>
  <c r="Z37" i="15" s="1"/>
  <c r="Z35" i="15" a="1"/>
  <c r="Z35" i="15" s="1"/>
  <c r="Z40" i="15" a="1"/>
  <c r="Z40" i="15" s="1"/>
  <c r="Z34" i="15" a="1"/>
  <c r="Z34" i="15" s="1"/>
  <c r="Z42" i="15" a="1"/>
  <c r="Z42" i="15" s="1"/>
  <c r="Z38" i="15" a="1"/>
  <c r="Z38" i="15" s="1"/>
  <c r="Z36" i="15" a="1"/>
  <c r="Z36" i="15" s="1"/>
  <c r="Y29" i="15"/>
  <c r="Y45" i="15"/>
  <c r="Y41" i="15" a="1"/>
  <c r="Y41" i="15" s="1"/>
  <c r="Y39" i="15" a="1"/>
  <c r="Y39" i="15" s="1"/>
  <c r="Y37" i="15" a="1"/>
  <c r="Y37" i="15" s="1"/>
  <c r="Y35" i="15" a="1"/>
  <c r="Y35" i="15" s="1"/>
  <c r="Y33" i="15" a="1"/>
  <c r="Y33" i="15" s="1"/>
  <c r="Y42" i="15" a="1"/>
  <c r="Y42" i="15" s="1"/>
  <c r="Y40" i="15" a="1"/>
  <c r="Y40" i="15" s="1"/>
  <c r="Y38" i="15" a="1"/>
  <c r="Y38" i="15" s="1"/>
  <c r="Y36" i="15" a="1"/>
  <c r="Y36" i="15" s="1"/>
  <c r="Y34" i="15" a="1"/>
  <c r="Y34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29" i="15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36" i="15" a="1"/>
  <c r="V36" i="15" s="1"/>
  <c r="V42" i="15" a="1"/>
  <c r="V42" i="15" s="1"/>
  <c r="V40" i="15" a="1"/>
  <c r="V40" i="15" s="1"/>
  <c r="V38" i="15" a="1"/>
  <c r="V38" i="15" s="1"/>
  <c r="V34" i="15" a="1"/>
  <c r="V34" i="15" s="1"/>
  <c r="U29" i="15"/>
  <c r="U33" i="15" a="1"/>
  <c r="U33" i="15" s="1"/>
  <c r="U34" i="15" a="1"/>
  <c r="U34" i="15" s="1"/>
  <c r="U45" i="15"/>
  <c r="U41" i="15" a="1"/>
  <c r="U41" i="15" s="1"/>
  <c r="U39" i="15" a="1"/>
  <c r="U39" i="15" s="1"/>
  <c r="U37" i="15" a="1"/>
  <c r="U37" i="15" s="1"/>
  <c r="U35" i="15" a="1"/>
  <c r="U35" i="15" s="1"/>
  <c r="U40" i="15" a="1"/>
  <c r="U40" i="15" s="1"/>
  <c r="U36" i="15" a="1"/>
  <c r="U36" i="15" s="1"/>
  <c r="U42" i="15" a="1"/>
  <c r="U42" i="15" s="1"/>
  <c r="U38" i="15" a="1"/>
  <c r="U38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42" i="15" a="1"/>
  <c r="T42" i="15" s="1"/>
  <c r="T38" i="15" a="1"/>
  <c r="T38" i="15" s="1"/>
  <c r="T36" i="15" a="1"/>
  <c r="T36" i="15" s="1"/>
  <c r="T40" i="15" a="1"/>
  <c r="T40" i="15" s="1"/>
  <c r="T34" i="15" a="1"/>
  <c r="T34" i="15" s="1"/>
  <c r="S29" i="15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29" i="15"/>
  <c r="R37" i="15" a="1"/>
  <c r="R37" i="15" s="1"/>
  <c r="R33" i="15" a="1"/>
  <c r="R33" i="15" s="1"/>
  <c r="R45" i="15"/>
  <c r="R41" i="15" a="1"/>
  <c r="R41" i="15" s="1"/>
  <c r="R39" i="15" a="1"/>
  <c r="R39" i="15" s="1"/>
  <c r="R35" i="15" a="1"/>
  <c r="R35" i="15" s="1"/>
  <c r="R38" i="15" a="1"/>
  <c r="R38" i="15" s="1"/>
  <c r="R34" i="15" a="1"/>
  <c r="R34" i="15" s="1"/>
  <c r="R42" i="15" a="1"/>
  <c r="R42" i="15" s="1"/>
  <c r="R40" i="15" a="1"/>
  <c r="R40" i="15" s="1"/>
  <c r="R36" i="15" a="1"/>
  <c r="R36" i="15" s="1"/>
  <c r="Q29" i="15"/>
  <c r="Q33" i="15" a="1"/>
  <c r="Q33" i="15" s="1"/>
  <c r="Q36" i="15" a="1"/>
  <c r="Q36" i="15" s="1"/>
  <c r="Q45" i="15"/>
  <c r="Q41" i="15" a="1"/>
  <c r="Q41" i="15" s="1"/>
  <c r="Q39" i="15" a="1"/>
  <c r="Q39" i="15" s="1"/>
  <c r="Q37" i="15" a="1"/>
  <c r="Q37" i="15" s="1"/>
  <c r="Q35" i="15" a="1"/>
  <c r="Q35" i="15" s="1"/>
  <c r="Q40" i="15" a="1"/>
  <c r="Q40" i="15" s="1"/>
  <c r="Q34" i="15" a="1"/>
  <c r="Q34" i="15" s="1"/>
  <c r="Q42" i="15" a="1"/>
  <c r="Q42" i="15" s="1"/>
  <c r="Q38" i="15" a="1"/>
  <c r="Q38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34" i="15" a="1"/>
  <c r="P34" i="15" s="1"/>
  <c r="P42" i="15" a="1"/>
  <c r="P42" i="15" s="1"/>
  <c r="P40" i="15" a="1"/>
  <c r="P40" i="15" s="1"/>
  <c r="P38" i="15" a="1"/>
  <c r="P38" i="15" s="1"/>
  <c r="P36" i="15" a="1"/>
  <c r="P36" i="15" s="1"/>
  <c r="O29" i="15"/>
  <c r="O33" i="15" a="1"/>
  <c r="O33" i="15" s="1"/>
  <c r="O36" i="15" a="1"/>
  <c r="O36" i="15" s="1"/>
  <c r="O45" i="15"/>
  <c r="O41" i="15" a="1"/>
  <c r="O41" i="15" s="1"/>
  <c r="O39" i="15" a="1"/>
  <c r="O39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34" i="15" a="1"/>
  <c r="N34" i="15" s="1"/>
  <c r="N42" i="15" a="1"/>
  <c r="N42" i="15" s="1"/>
  <c r="N40" i="15" a="1"/>
  <c r="N40" i="15" s="1"/>
  <c r="N38" i="15" a="1"/>
  <c r="N38" i="15" s="1"/>
  <c r="N36" i="15" a="1"/>
  <c r="N36" i="15" s="1"/>
  <c r="M29" i="15"/>
  <c r="M40" i="15" a="1"/>
  <c r="M40" i="15" s="1"/>
  <c r="M45" i="15"/>
  <c r="M41" i="15" a="1"/>
  <c r="M41" i="15" s="1"/>
  <c r="M39" i="15" a="1"/>
  <c r="M39" i="15" s="1"/>
  <c r="M37" i="15" a="1"/>
  <c r="M37" i="15" s="1"/>
  <c r="M35" i="15" a="1"/>
  <c r="M35" i="15" s="1"/>
  <c r="M33" i="15" a="1"/>
  <c r="M33" i="15" s="1"/>
  <c r="M38" i="15" a="1"/>
  <c r="M38" i="15" s="1"/>
  <c r="M34" i="15" a="1"/>
  <c r="M34" i="15" s="1"/>
  <c r="M42" i="15" a="1"/>
  <c r="M42" i="15" s="1"/>
  <c r="M36" i="15" a="1"/>
  <c r="M36" i="15" s="1"/>
  <c r="L29" i="15"/>
  <c r="L39" i="15" a="1"/>
  <c r="L39" i="15" s="1"/>
  <c r="L35" i="15" a="1"/>
  <c r="L35" i="15" s="1"/>
  <c r="L45" i="15"/>
  <c r="L41" i="15" a="1"/>
  <c r="L41" i="15" s="1"/>
  <c r="L37" i="15" a="1"/>
  <c r="L37" i="15" s="1"/>
  <c r="L33" i="15" a="1"/>
  <c r="L33" i="15" s="1"/>
  <c r="L34" i="15" a="1"/>
  <c r="L34" i="15" s="1"/>
  <c r="L42" i="15" a="1"/>
  <c r="L42" i="15" s="1"/>
  <c r="L40" i="15" a="1"/>
  <c r="L40" i="15" s="1"/>
  <c r="L38" i="15" a="1"/>
  <c r="L38" i="15" s="1"/>
  <c r="L36" i="15" a="1"/>
  <c r="L36" i="15" s="1"/>
  <c r="K29" i="15"/>
  <c r="K45" i="15"/>
  <c r="K41" i="15" a="1"/>
  <c r="K41" i="15" s="1"/>
  <c r="K39" i="15" a="1"/>
  <c r="K39" i="15" s="1"/>
  <c r="K37" i="15" a="1"/>
  <c r="K37" i="15" s="1"/>
  <c r="K35" i="15" a="1"/>
  <c r="K35" i="15" s="1"/>
  <c r="K33" i="15" a="1"/>
  <c r="K33" i="15" s="1"/>
  <c r="K42" i="15" a="1"/>
  <c r="K42" i="15" s="1"/>
  <c r="K40" i="15" a="1"/>
  <c r="K40" i="15" s="1"/>
  <c r="K38" i="15" a="1"/>
  <c r="K38" i="15" s="1"/>
  <c r="K36" i="15" a="1"/>
  <c r="K36" i="15" s="1"/>
  <c r="K34" i="15" a="1"/>
  <c r="K34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34" i="15" a="1"/>
  <c r="J34" i="15" s="1"/>
  <c r="J42" i="15" a="1"/>
  <c r="J42" i="15" s="1"/>
  <c r="J40" i="15" a="1"/>
  <c r="J40" i="15" s="1"/>
  <c r="J38" i="15" a="1"/>
  <c r="J38" i="15" s="1"/>
  <c r="J36" i="15" a="1"/>
  <c r="J36" i="15" s="1"/>
  <c r="I29" i="15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I45" i="15"/>
  <c r="I41" i="15" a="1"/>
  <c r="I41" i="15" s="1"/>
  <c r="I39" i="15" a="1"/>
  <c r="I39" i="15" s="1"/>
  <c r="I37" i="15" a="1"/>
  <c r="I37" i="15" s="1"/>
  <c r="I35" i="15" a="1"/>
  <c r="I35" i="15" s="1"/>
  <c r="I33" i="15" a="1"/>
  <c r="I33" i="15" s="1"/>
  <c r="E10" i="13"/>
  <c r="E8" i="12"/>
  <c r="B8" i="12" s="1"/>
  <c r="C8" i="12" s="1"/>
  <c r="D7" i="12"/>
  <c r="A7" i="12" s="1"/>
  <c r="C7" i="12"/>
  <c r="AE29" i="14"/>
  <c r="AE39" i="14" a="1"/>
  <c r="AE39" i="14" s="1"/>
  <c r="AE37" i="14" a="1"/>
  <c r="AE37" i="14" s="1"/>
  <c r="AE33" i="14" a="1"/>
  <c r="AE33" i="14" s="1"/>
  <c r="AE34" i="14" a="1"/>
  <c r="AE34" i="14" s="1"/>
  <c r="AE45" i="14"/>
  <c r="AE41" i="14" a="1"/>
  <c r="AE41" i="14" s="1"/>
  <c r="AE35" i="14" a="1"/>
  <c r="AE35" i="14" s="1"/>
  <c r="AE42" i="14" a="1"/>
  <c r="AE42" i="14" s="1"/>
  <c r="AE40" i="14" a="1"/>
  <c r="AE40" i="14" s="1"/>
  <c r="AE38" i="14" a="1"/>
  <c r="AE38" i="14" s="1"/>
  <c r="AE36" i="14" a="1"/>
  <c r="AE36" i="14" s="1"/>
  <c r="AD29" i="14"/>
  <c r="AD45" i="14"/>
  <c r="AD41" i="14" a="1"/>
  <c r="AD41" i="14" s="1"/>
  <c r="AD39" i="14" a="1"/>
  <c r="AD39" i="14" s="1"/>
  <c r="AD37" i="14" a="1"/>
  <c r="AD37" i="14" s="1"/>
  <c r="AD35" i="14" a="1"/>
  <c r="AD35" i="14" s="1"/>
  <c r="AD33" i="14" a="1"/>
  <c r="AD33" i="14" s="1"/>
  <c r="AD34" i="14" a="1"/>
  <c r="AD34" i="14" s="1"/>
  <c r="AD42" i="14" a="1"/>
  <c r="AD42" i="14" s="1"/>
  <c r="AD40" i="14" a="1"/>
  <c r="AD40" i="14" s="1"/>
  <c r="AD38" i="14" a="1"/>
  <c r="AD38" i="14" s="1"/>
  <c r="AD36" i="14" a="1"/>
  <c r="AD36" i="14" s="1"/>
  <c r="AC29" i="14"/>
  <c r="AC39" i="14" a="1"/>
  <c r="AC39" i="14" s="1"/>
  <c r="AC35" i="14" a="1"/>
  <c r="AC35" i="14" s="1"/>
  <c r="AC34" i="14" a="1"/>
  <c r="AC34" i="14" s="1"/>
  <c r="AC45" i="14"/>
  <c r="AC41" i="14" a="1"/>
  <c r="AC41" i="14" s="1"/>
  <c r="AC37" i="14" a="1"/>
  <c r="AC37" i="14" s="1"/>
  <c r="AC33" i="14" a="1"/>
  <c r="AC33" i="14" s="1"/>
  <c r="AC42" i="14" a="1"/>
  <c r="AC42" i="14" s="1"/>
  <c r="AC40" i="14" a="1"/>
  <c r="AC40" i="14" s="1"/>
  <c r="AC38" i="14" a="1"/>
  <c r="AC38" i="14" s="1"/>
  <c r="AC36" i="14" a="1"/>
  <c r="AC36" i="14" s="1"/>
  <c r="AB29" i="14"/>
  <c r="AB45" i="14"/>
  <c r="AB41" i="14" a="1"/>
  <c r="AB41" i="14" s="1"/>
  <c r="AB39" i="14" a="1"/>
  <c r="AB39" i="14" s="1"/>
  <c r="AB37" i="14" a="1"/>
  <c r="AB37" i="14" s="1"/>
  <c r="AB35" i="14" a="1"/>
  <c r="AB35" i="14" s="1"/>
  <c r="AB33" i="14" a="1"/>
  <c r="AB33" i="14" s="1"/>
  <c r="AB42" i="14" a="1"/>
  <c r="AB42" i="14" s="1"/>
  <c r="AB40" i="14" a="1"/>
  <c r="AB40" i="14" s="1"/>
  <c r="AB38" i="14" a="1"/>
  <c r="AB38" i="14" s="1"/>
  <c r="AB36" i="14" a="1"/>
  <c r="AB36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4" i="14" a="1"/>
  <c r="AA34" i="14" s="1"/>
  <c r="AA42" i="14" a="1"/>
  <c r="AA42" i="14" s="1"/>
  <c r="AA38" i="14" a="1"/>
  <c r="AA38" i="14" s="1"/>
  <c r="AA36" i="14" a="1"/>
  <c r="AA36" i="14" s="1"/>
  <c r="Z29" i="14"/>
  <c r="Z33" i="14" a="1"/>
  <c r="Z33" i="14" s="1"/>
  <c r="Z45" i="14"/>
  <c r="Z41" i="14" a="1"/>
  <c r="Z41" i="14" s="1"/>
  <c r="Z39" i="14" a="1"/>
  <c r="Z39" i="14" s="1"/>
  <c r="Z37" i="14" a="1"/>
  <c r="Z37" i="14" s="1"/>
  <c r="Z35" i="14" a="1"/>
  <c r="Z35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45" i="14"/>
  <c r="X41" i="14" a="1"/>
  <c r="X41" i="14" s="1"/>
  <c r="X39" i="14" a="1"/>
  <c r="X39" i="14" s="1"/>
  <c r="X37" i="14" a="1"/>
  <c r="X37" i="14" s="1"/>
  <c r="X35" i="14" a="1"/>
  <c r="X35" i="14" s="1"/>
  <c r="X33" i="14" a="1"/>
  <c r="X33" i="14" s="1"/>
  <c r="X42" i="14" a="1"/>
  <c r="X42" i="14" s="1"/>
  <c r="X40" i="14" a="1"/>
  <c r="X40" i="14" s="1"/>
  <c r="X38" i="14" a="1"/>
  <c r="X38" i="14" s="1"/>
  <c r="X36" i="14" a="1"/>
  <c r="X36" i="14" s="1"/>
  <c r="X34" i="14" a="1"/>
  <c r="X34" i="14" s="1"/>
  <c r="W29" i="14"/>
  <c r="W33" i="14" a="1"/>
  <c r="W33" i="14" s="1"/>
  <c r="W45" i="14"/>
  <c r="W41" i="14" a="1"/>
  <c r="W41" i="14" s="1"/>
  <c r="W39" i="14" a="1"/>
  <c r="W39" i="14" s="1"/>
  <c r="W37" i="14" a="1"/>
  <c r="W37" i="14" s="1"/>
  <c r="W35" i="14" a="1"/>
  <c r="W35" i="14" s="1"/>
  <c r="W40" i="14" a="1"/>
  <c r="W40" i="14" s="1"/>
  <c r="W42" i="14" a="1"/>
  <c r="W42" i="14" s="1"/>
  <c r="W38" i="14" a="1"/>
  <c r="W38" i="14" s="1"/>
  <c r="W36" i="14" a="1"/>
  <c r="W36" i="14" s="1"/>
  <c r="W34" i="14" a="1"/>
  <c r="W34" i="14" s="1"/>
  <c r="V29" i="14"/>
  <c r="V33" i="14" a="1"/>
  <c r="V33" i="14" s="1"/>
  <c r="V45" i="14"/>
  <c r="V41" i="14" a="1"/>
  <c r="V41" i="14" s="1"/>
  <c r="V39" i="14" a="1"/>
  <c r="V39" i="14" s="1"/>
  <c r="V37" i="14" a="1"/>
  <c r="V37" i="14" s="1"/>
  <c r="V35" i="14" a="1"/>
  <c r="V35" i="14" s="1"/>
  <c r="V34" i="14" a="1"/>
  <c r="V34" i="14" s="1"/>
  <c r="V42" i="14" a="1"/>
  <c r="V42" i="14" s="1"/>
  <c r="V40" i="14" a="1"/>
  <c r="V40" i="14" s="1"/>
  <c r="V38" i="14" a="1"/>
  <c r="V38" i="14" s="1"/>
  <c r="V36" i="14" a="1"/>
  <c r="V36" i="14" s="1"/>
  <c r="U29" i="14"/>
  <c r="U39" i="14" a="1"/>
  <c r="U39" i="14" s="1"/>
  <c r="U35" i="14" a="1"/>
  <c r="U35" i="14" s="1"/>
  <c r="U45" i="14"/>
  <c r="U41" i="14" a="1"/>
  <c r="U41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45" i="14"/>
  <c r="T41" i="14" a="1"/>
  <c r="T41" i="14" s="1"/>
  <c r="T39" i="14" a="1"/>
  <c r="T39" i="14" s="1"/>
  <c r="T37" i="14" a="1"/>
  <c r="T37" i="14" s="1"/>
  <c r="T35" i="14" a="1"/>
  <c r="T35" i="14" s="1"/>
  <c r="T33" i="14" a="1"/>
  <c r="T33" i="14" s="1"/>
  <c r="T42" i="14" a="1"/>
  <c r="T42" i="14" s="1"/>
  <c r="T40" i="14" a="1"/>
  <c r="T40" i="14" s="1"/>
  <c r="T38" i="14" a="1"/>
  <c r="T38" i="14" s="1"/>
  <c r="T36" i="14" a="1"/>
  <c r="T36" i="14" s="1"/>
  <c r="T34" i="14" a="1"/>
  <c r="T34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4" i="14" a="1"/>
  <c r="S34" i="14" s="1"/>
  <c r="S42" i="14" a="1"/>
  <c r="S42" i="14" s="1"/>
  <c r="S38" i="14" a="1"/>
  <c r="S38" i="14" s="1"/>
  <c r="S36" i="14" a="1"/>
  <c r="S36" i="14" s="1"/>
  <c r="R29" i="14"/>
  <c r="R45" i="14"/>
  <c r="R41" i="14" a="1"/>
  <c r="R41" i="14" s="1"/>
  <c r="R39" i="14" a="1"/>
  <c r="R39" i="14" s="1"/>
  <c r="R37" i="14" a="1"/>
  <c r="R37" i="14" s="1"/>
  <c r="R35" i="14" a="1"/>
  <c r="R35" i="14" s="1"/>
  <c r="R33" i="14" a="1"/>
  <c r="R33" i="14" s="1"/>
  <c r="R42" i="14" a="1"/>
  <c r="R42" i="14" s="1"/>
  <c r="R40" i="14" a="1"/>
  <c r="R40" i="14" s="1"/>
  <c r="R38" i="14" a="1"/>
  <c r="R38" i="14" s="1"/>
  <c r="R36" i="14" a="1"/>
  <c r="R36" i="14" s="1"/>
  <c r="R34" i="14" a="1"/>
  <c r="R34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4" i="14" a="1"/>
  <c r="Q34" i="14" s="1"/>
  <c r="Q42" i="14" a="1"/>
  <c r="Q42" i="14" s="1"/>
  <c r="Q38" i="14" a="1"/>
  <c r="Q38" i="14" s="1"/>
  <c r="Q36" i="14" a="1"/>
  <c r="Q36" i="14" s="1"/>
  <c r="P29" i="14"/>
  <c r="P45" i="14"/>
  <c r="P41" i="14" a="1"/>
  <c r="P41" i="14" s="1"/>
  <c r="P39" i="14" a="1"/>
  <c r="P39" i="14" s="1"/>
  <c r="P37" i="14" a="1"/>
  <c r="P37" i="14" s="1"/>
  <c r="P35" i="14" a="1"/>
  <c r="P35" i="14" s="1"/>
  <c r="P33" i="14" a="1"/>
  <c r="P33" i="14" s="1"/>
  <c r="P42" i="14" a="1"/>
  <c r="P42" i="14" s="1"/>
  <c r="P40" i="14" a="1"/>
  <c r="P40" i="14" s="1"/>
  <c r="P38" i="14" a="1"/>
  <c r="P38" i="14" s="1"/>
  <c r="P36" i="14" a="1"/>
  <c r="P36" i="14" s="1"/>
  <c r="P34" i="14" a="1"/>
  <c r="P34" i="14" s="1"/>
  <c r="O29" i="14"/>
  <c r="O39" i="14" a="1"/>
  <c r="O39" i="14" s="1"/>
  <c r="O35" i="14" a="1"/>
  <c r="O35" i="14" s="1"/>
  <c r="O45" i="14"/>
  <c r="O41" i="14" a="1"/>
  <c r="O41" i="14" s="1"/>
  <c r="O37" i="14" a="1"/>
  <c r="O37" i="14" s="1"/>
  <c r="O33" i="14" a="1"/>
  <c r="O33" i="14" s="1"/>
  <c r="O40" i="14" a="1"/>
  <c r="O40" i="14" s="1"/>
  <c r="O36" i="14" a="1"/>
  <c r="O36" i="14" s="1"/>
  <c r="O42" i="14" a="1"/>
  <c r="O42" i="14" s="1"/>
  <c r="O38" i="14" a="1"/>
  <c r="O38" i="14" s="1"/>
  <c r="O34" i="14" a="1"/>
  <c r="O34" i="14" s="1"/>
  <c r="N29" i="14"/>
  <c r="N33" i="14" a="1"/>
  <c r="N33" i="14" s="1"/>
  <c r="N45" i="14"/>
  <c r="N41" i="14" a="1"/>
  <c r="N41" i="14" s="1"/>
  <c r="N39" i="14" a="1"/>
  <c r="N39" i="14" s="1"/>
  <c r="N37" i="14" a="1"/>
  <c r="N37" i="14" s="1"/>
  <c r="N35" i="14" a="1"/>
  <c r="N35" i="14" s="1"/>
  <c r="N34" i="14" a="1"/>
  <c r="N34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45" i="14"/>
  <c r="L41" i="14" a="1"/>
  <c r="L41" i="14" s="1"/>
  <c r="L39" i="14" a="1"/>
  <c r="L39" i="14" s="1"/>
  <c r="L37" i="14" a="1"/>
  <c r="L37" i="14" s="1"/>
  <c r="L35" i="14" a="1"/>
  <c r="L35" i="14" s="1"/>
  <c r="L33" i="14" a="1"/>
  <c r="L33" i="14" s="1"/>
  <c r="L42" i="14" a="1"/>
  <c r="L42" i="14" s="1"/>
  <c r="L40" i="14" a="1"/>
  <c r="L40" i="14" s="1"/>
  <c r="L38" i="14" a="1"/>
  <c r="L38" i="14" s="1"/>
  <c r="L36" i="14" a="1"/>
  <c r="L36" i="14" s="1"/>
  <c r="L34" i="14" a="1"/>
  <c r="L34" i="14" s="1"/>
  <c r="K29" i="14"/>
  <c r="K45" i="14"/>
  <c r="K41" i="14" a="1"/>
  <c r="K41" i="14" s="1"/>
  <c r="K39" i="14" a="1"/>
  <c r="K39" i="14" s="1"/>
  <c r="K37" i="14" a="1"/>
  <c r="K37" i="14" s="1"/>
  <c r="K35" i="14" a="1"/>
  <c r="K35" i="14" s="1"/>
  <c r="K33" i="14" a="1"/>
  <c r="K33" i="14" s="1"/>
  <c r="K42" i="14" a="1"/>
  <c r="K42" i="14" s="1"/>
  <c r="K40" i="14" a="1"/>
  <c r="K40" i="14" s="1"/>
  <c r="K38" i="14" a="1"/>
  <c r="K38" i="14" s="1"/>
  <c r="K36" i="14" a="1"/>
  <c r="K36" i="14" s="1"/>
  <c r="K34" i="14" a="1"/>
  <c r="K34" i="14" s="1"/>
  <c r="J29" i="14"/>
  <c r="J37" i="14" a="1"/>
  <c r="J37" i="14" s="1"/>
  <c r="J38" i="14" a="1"/>
  <c r="J38" i="14" s="1"/>
  <c r="J45" i="14"/>
  <c r="J41" i="14" a="1"/>
  <c r="J41" i="14" s="1"/>
  <c r="J39" i="14" a="1"/>
  <c r="J39" i="14" s="1"/>
  <c r="J35" i="14" a="1"/>
  <c r="J35" i="14" s="1"/>
  <c r="J33" i="14" a="1"/>
  <c r="J33" i="14" s="1"/>
  <c r="J36" i="14" a="1"/>
  <c r="J36" i="14" s="1"/>
  <c r="J42" i="14" a="1"/>
  <c r="J42" i="14" s="1"/>
  <c r="J40" i="14" a="1"/>
  <c r="J40" i="14" s="1"/>
  <c r="J34" i="14" a="1"/>
  <c r="J34" i="14" s="1"/>
  <c r="I29" i="14"/>
  <c r="I39" i="14" a="1"/>
  <c r="I39" i="14" s="1"/>
  <c r="I35" i="14" a="1"/>
  <c r="I35" i="14" s="1"/>
  <c r="I45" i="14"/>
  <c r="I41" i="14" a="1"/>
  <c r="I41" i="14" s="1"/>
  <c r="I37" i="14" a="1"/>
  <c r="I37" i="14" s="1"/>
  <c r="I33" i="14" a="1"/>
  <c r="I33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45" i="14"/>
  <c r="H41" i="14" a="1"/>
  <c r="H41" i="14" s="1"/>
  <c r="H39" i="14" a="1"/>
  <c r="H39" i="14" s="1"/>
  <c r="H37" i="14" a="1"/>
  <c r="H37" i="14" s="1"/>
  <c r="H35" i="14" a="1"/>
  <c r="H35" i="14" s="1"/>
  <c r="H33" i="14" a="1"/>
  <c r="H33" i="14" s="1"/>
  <c r="H42" i="14" a="1"/>
  <c r="H42" i="14" s="1"/>
  <c r="H40" i="14" a="1"/>
  <c r="H40" i="14" s="1"/>
  <c r="H38" i="14" a="1"/>
  <c r="H38" i="14" s="1"/>
  <c r="H36" i="14" a="1"/>
  <c r="H36" i="14" s="1"/>
  <c r="H34" i="14" a="1"/>
  <c r="H34" i="14" s="1"/>
  <c r="T18" i="1"/>
  <c r="I46" i="15" l="1"/>
  <c r="M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L46" i="15"/>
  <c r="K46" i="15"/>
  <c r="J46" i="15"/>
  <c r="E11" i="13"/>
  <c r="E9" i="12"/>
  <c r="E10" i="12" s="1"/>
  <c r="D8" i="12"/>
  <c r="A8" i="12" s="1"/>
  <c r="B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E12" i="13" l="1"/>
  <c r="B10" i="12"/>
  <c r="E11" i="12"/>
  <c r="D9" i="12"/>
  <c r="A9" i="12" s="1"/>
  <c r="C9" i="12"/>
  <c r="D19" i="16"/>
  <c r="E13" i="13" l="1"/>
  <c r="C10" i="12"/>
  <c r="D10" i="12"/>
  <c r="A10" i="12" s="1"/>
  <c r="B11" i="12"/>
  <c r="E12" i="12"/>
  <c r="J8" i="16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E14" i="13" l="1"/>
  <c r="C11" i="12"/>
  <c r="D11" i="12"/>
  <c r="A11" i="12" s="1"/>
  <c r="B12" i="12"/>
  <c r="E13" i="12"/>
  <c r="J7" i="16"/>
  <c r="K7" i="16"/>
  <c r="E15" i="13" l="1"/>
  <c r="B13" i="12"/>
  <c r="E14" i="12"/>
  <c r="C12" i="12"/>
  <c r="D12" i="12"/>
  <c r="A12" i="12" s="1"/>
  <c r="H19" i="16"/>
  <c r="G19" i="16"/>
  <c r="E16" i="13" l="1"/>
  <c r="B14" i="12"/>
  <c r="E15" i="12"/>
  <c r="D13" i="12"/>
  <c r="A13" i="12" s="1"/>
  <c r="C13" i="12"/>
  <c r="H31" i="15" a="1"/>
  <c r="H31" i="15" s="1"/>
  <c r="G31" i="14" a="1"/>
  <c r="G31" i="14" s="1"/>
  <c r="E17" i="13" l="1"/>
  <c r="B15" i="12"/>
  <c r="E16" i="12"/>
  <c r="C14" i="12"/>
  <c r="D14" i="12"/>
  <c r="A14" i="12" s="1"/>
  <c r="E19" i="16"/>
  <c r="B8" i="13" l="1"/>
  <c r="C8" i="13" s="1"/>
  <c r="E18" i="13"/>
  <c r="B16" i="12"/>
  <c r="E17" i="12"/>
  <c r="C15" i="12"/>
  <c r="D15" i="12"/>
  <c r="A15" i="12" s="1"/>
  <c r="J17" i="16"/>
  <c r="K17" i="16"/>
  <c r="I17" i="16" s="1"/>
  <c r="J18" i="16"/>
  <c r="K18" i="16"/>
  <c r="I18" i="16" s="1"/>
  <c r="B9" i="13" l="1"/>
  <c r="C9" i="13" s="1"/>
  <c r="E19" i="13"/>
  <c r="B17" i="12"/>
  <c r="E18" i="12"/>
  <c r="C16" i="12"/>
  <c r="D16" i="12"/>
  <c r="A16" i="12" s="1"/>
  <c r="J22" i="16"/>
  <c r="F19" i="16" s="1"/>
  <c r="B33" i="15" a="1"/>
  <c r="B33" i="15" s="1"/>
  <c r="B33" i="14" a="1"/>
  <c r="B33" i="14" s="1"/>
  <c r="D22" i="16"/>
  <c r="B22" i="16"/>
  <c r="D6" i="16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10" i="13" l="1"/>
  <c r="E20" i="13"/>
  <c r="B18" i="12"/>
  <c r="E19" i="12"/>
  <c r="D17" i="12"/>
  <c r="A17" i="12" s="1"/>
  <c r="C17" i="12"/>
  <c r="B34" i="14" a="1"/>
  <c r="B34" i="14" s="1"/>
  <c r="A33" i="15"/>
  <c r="B34" i="15" a="1"/>
  <c r="B34" i="15" s="1"/>
  <c r="H33" i="15" a="1"/>
  <c r="H33" i="15" s="1"/>
  <c r="H29" i="15"/>
  <c r="H45" i="15"/>
  <c r="B7" i="13" s="1"/>
  <c r="C7" i="13" s="1"/>
  <c r="D23" i="16"/>
  <c r="D1" i="8"/>
  <c r="D1" i="6"/>
  <c r="D1" i="4"/>
  <c r="I19" i="16"/>
  <c r="D24" i="16" s="1"/>
  <c r="G29" i="14"/>
  <c r="G45" i="14"/>
  <c r="A33" i="14"/>
  <c r="G33" i="14" a="1"/>
  <c r="G33" i="14" s="1"/>
  <c r="B11" i="13" l="1"/>
  <c r="C10" i="13"/>
  <c r="E21" i="13"/>
  <c r="B35" i="15" a="1"/>
  <c r="B35" i="15" s="1"/>
  <c r="C18" i="12"/>
  <c r="D18" i="12"/>
  <c r="A18" i="12" s="1"/>
  <c r="B19" i="12"/>
  <c r="E20" i="12"/>
  <c r="B35" i="14" a="1"/>
  <c r="B35" i="14" s="1"/>
  <c r="B36" i="14" a="1"/>
  <c r="B36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5" i="15" l="1" a="1"/>
  <c r="H35" i="15" s="1"/>
  <c r="B12" i="13"/>
  <c r="C11" i="13"/>
  <c r="E22" i="13"/>
  <c r="A35" i="15"/>
  <c r="B36" i="15" a="1"/>
  <c r="B36" i="15" s="1"/>
  <c r="C19" i="12"/>
  <c r="D19" i="12"/>
  <c r="A19" i="12" s="1"/>
  <c r="B20" i="12"/>
  <c r="E21" i="12"/>
  <c r="G35" i="14" a="1"/>
  <c r="G35" i="14" s="1"/>
  <c r="A35" i="14"/>
  <c r="G36" i="14" a="1"/>
  <c r="G36" i="14" s="1"/>
  <c r="A36" i="14"/>
  <c r="B37" i="14" a="1"/>
  <c r="B37" i="14" s="1"/>
  <c r="B14" i="13" l="1"/>
  <c r="B13" i="13"/>
  <c r="C12" i="13"/>
  <c r="E23" i="13"/>
  <c r="B37" i="15" a="1"/>
  <c r="B37" i="15" s="1"/>
  <c r="H36" i="15" a="1"/>
  <c r="H36" i="15" s="1"/>
  <c r="A36" i="15"/>
  <c r="B21" i="12"/>
  <c r="E22" i="12"/>
  <c r="C20" i="12"/>
  <c r="D20" i="12"/>
  <c r="A20" i="12" s="1"/>
  <c r="A37" i="14"/>
  <c r="G37" i="14" a="1"/>
  <c r="G37" i="14" s="1"/>
  <c r="B38" i="14" a="1"/>
  <c r="B38" i="14" s="1"/>
  <c r="B15" i="13" l="1"/>
  <c r="C15" i="13" s="1"/>
  <c r="B38" i="15" a="1"/>
  <c r="B38" i="15" s="1"/>
  <c r="H38" i="15" s="1" a="1"/>
  <c r="H38" i="15" s="1"/>
  <c r="C13" i="13"/>
  <c r="C14" i="13"/>
  <c r="E24" i="13"/>
  <c r="A37" i="15"/>
  <c r="H37" i="15" a="1"/>
  <c r="H37" i="15" s="1"/>
  <c r="B22" i="12"/>
  <c r="E23" i="12"/>
  <c r="D21" i="12"/>
  <c r="A21" i="12" s="1"/>
  <c r="C21" i="12"/>
  <c r="B39" i="14" a="1"/>
  <c r="B39" i="14" s="1"/>
  <c r="A38" i="14"/>
  <c r="G38" i="14" a="1"/>
  <c r="G38" i="14" s="1"/>
  <c r="B16" i="13" l="1"/>
  <c r="C16" i="13" s="1"/>
  <c r="A38" i="15"/>
  <c r="B39" i="15" a="1"/>
  <c r="B39" i="15" s="1"/>
  <c r="A39" i="15" s="1"/>
  <c r="E25" i="13"/>
  <c r="C22" i="12"/>
  <c r="D22" i="12"/>
  <c r="A22" i="12" s="1"/>
  <c r="B23" i="12"/>
  <c r="E24" i="12"/>
  <c r="B40" i="14" a="1"/>
  <c r="B40" i="14" s="1"/>
  <c r="B41" i="14" s="1" a="1"/>
  <c r="B41" i="14" s="1"/>
  <c r="A39" i="14"/>
  <c r="G39" i="14" a="1"/>
  <c r="G39" i="14" s="1"/>
  <c r="B17" i="13" l="1"/>
  <c r="C17" i="13" s="1"/>
  <c r="H39" i="15" a="1"/>
  <c r="H39" i="15" s="1"/>
  <c r="B40" i="15" a="1"/>
  <c r="B40" i="15" s="1"/>
  <c r="H40" i="15" s="1" a="1"/>
  <c r="H40" i="15" s="1"/>
  <c r="E26" i="13"/>
  <c r="B24" i="12"/>
  <c r="E25" i="12"/>
  <c r="C23" i="12"/>
  <c r="D23" i="12"/>
  <c r="A23" i="12" s="1"/>
  <c r="A40" i="14"/>
  <c r="G40" i="14" a="1"/>
  <c r="G40" i="14" s="1"/>
  <c r="B42" i="14" a="1"/>
  <c r="B42" i="14" s="1"/>
  <c r="G42" i="14" a="1"/>
  <c r="G42" i="14" s="1"/>
  <c r="A42" i="14"/>
  <c r="G41" i="14" a="1"/>
  <c r="G41" i="14" s="1"/>
  <c r="A41" i="14"/>
  <c r="B18" i="13" l="1"/>
  <c r="C18" i="13" s="1"/>
  <c r="A40" i="15"/>
  <c r="B41" i="15" a="1"/>
  <c r="B41" i="15" s="1"/>
  <c r="E27" i="13"/>
  <c r="A41" i="15"/>
  <c r="H41" i="15" a="1"/>
  <c r="H41" i="15" s="1"/>
  <c r="B42" i="15" a="1"/>
  <c r="B42" i="15" s="1"/>
  <c r="B25" i="12"/>
  <c r="E26" i="12"/>
  <c r="C24" i="12"/>
  <c r="D24" i="12"/>
  <c r="A24" i="12" s="1"/>
  <c r="B19" i="13" l="1"/>
  <c r="C19" i="13" s="1"/>
  <c r="B20" i="13"/>
  <c r="E28" i="13"/>
  <c r="A42" i="15"/>
  <c r="H42" i="15" a="1"/>
  <c r="H42" i="15" s="1"/>
  <c r="B26" i="12"/>
  <c r="E27" i="12"/>
  <c r="D25" i="12"/>
  <c r="A25" i="12" s="1"/>
  <c r="C25" i="12"/>
  <c r="C20" i="13" l="1"/>
  <c r="E29" i="13"/>
  <c r="B27" i="12"/>
  <c r="E28" i="12"/>
  <c r="C26" i="12"/>
  <c r="D26" i="12"/>
  <c r="A26" i="12" s="1"/>
  <c r="B21" i="13" l="1"/>
  <c r="C21" i="13" s="1"/>
  <c r="E30" i="13"/>
  <c r="B28" i="12"/>
  <c r="E29" i="12"/>
  <c r="C27" i="12"/>
  <c r="D27" i="12"/>
  <c r="A27" i="12" s="1"/>
  <c r="B22" i="13" l="1"/>
  <c r="C22" i="13" s="1"/>
  <c r="E31" i="13"/>
  <c r="B29" i="12"/>
  <c r="E30" i="12"/>
  <c r="C28" i="12"/>
  <c r="D28" i="12"/>
  <c r="A28" i="12" s="1"/>
  <c r="B23" i="13" l="1"/>
  <c r="C23" i="13" s="1"/>
  <c r="B30" i="12"/>
  <c r="E31" i="12"/>
  <c r="D29" i="12"/>
  <c r="A29" i="12" s="1"/>
  <c r="C29" i="12"/>
  <c r="B25" i="13" l="1"/>
  <c r="B24" i="13"/>
  <c r="C24" i="13" s="1"/>
  <c r="B31" i="12"/>
  <c r="C30" i="12"/>
  <c r="D30" i="12"/>
  <c r="A30" i="12" s="1"/>
  <c r="C25" i="13" l="1"/>
  <c r="C31" i="12"/>
  <c r="D31" i="12"/>
  <c r="A31" i="12" s="1"/>
  <c r="B27" i="13" l="1"/>
  <c r="B26" i="13"/>
  <c r="C26" i="13" s="1"/>
  <c r="G46" i="14"/>
  <c r="D27" i="13" l="1" a="1"/>
  <c r="D27" i="13" s="1"/>
  <c r="A27" i="13" s="1"/>
  <c r="D15" i="13" a="1"/>
  <c r="D15" i="13" s="1"/>
  <c r="A15" i="13" s="1"/>
  <c r="D23" i="13" a="1"/>
  <c r="D23" i="13" s="1"/>
  <c r="A23" i="13" s="1"/>
  <c r="D14" i="13" a="1"/>
  <c r="D14" i="13" s="1"/>
  <c r="A14" i="13" s="1"/>
  <c r="D8" i="13" a="1"/>
  <c r="D8" i="13" s="1"/>
  <c r="A8" i="13" s="1"/>
  <c r="D20" i="13" a="1"/>
  <c r="D20" i="13" s="1"/>
  <c r="A20" i="13" s="1"/>
  <c r="D9" i="13" a="1"/>
  <c r="D9" i="13" s="1"/>
  <c r="A9" i="13" s="1"/>
  <c r="D22" i="13" a="1"/>
  <c r="D22" i="13" s="1"/>
  <c r="A22" i="13" s="1"/>
  <c r="D11" i="13" a="1"/>
  <c r="D11" i="13" s="1"/>
  <c r="A11" i="13" s="1"/>
  <c r="D19" i="13" a="1"/>
  <c r="D19" i="13" s="1"/>
  <c r="A19" i="13" s="1"/>
  <c r="D18" i="13" a="1"/>
  <c r="D18" i="13" s="1"/>
  <c r="A18" i="13" s="1"/>
  <c r="D24" i="13" a="1"/>
  <c r="D24" i="13" s="1"/>
  <c r="A24" i="13" s="1"/>
  <c r="D17" i="13" a="1"/>
  <c r="D17" i="13" s="1"/>
  <c r="A17" i="13" s="1"/>
  <c r="D10" i="13" a="1"/>
  <c r="D10" i="13" s="1"/>
  <c r="A10" i="13" s="1"/>
  <c r="D16" i="13" a="1"/>
  <c r="D16" i="13" s="1"/>
  <c r="A16" i="13" s="1"/>
  <c r="D13" i="13" a="1"/>
  <c r="D13" i="13" s="1"/>
  <c r="A13" i="13" s="1"/>
  <c r="D21" i="13" a="1"/>
  <c r="D21" i="13" s="1"/>
  <c r="A21" i="13" s="1"/>
  <c r="D26" i="13" a="1"/>
  <c r="D26" i="13" s="1"/>
  <c r="A26" i="13" s="1"/>
  <c r="D12" i="13" a="1"/>
  <c r="D12" i="13" s="1"/>
  <c r="A12" i="13" s="1"/>
  <c r="D25" i="13" a="1"/>
  <c r="D25" i="13" s="1"/>
  <c r="A25" i="13" s="1"/>
  <c r="C27" i="13"/>
  <c r="H46" i="15"/>
  <c r="D7" i="13" s="1" a="1"/>
  <c r="D7" i="13" s="1"/>
  <c r="A7" i="13" s="1"/>
  <c r="D49" i="14"/>
  <c r="A49" i="14" s="1"/>
  <c r="B28" i="13" l="1"/>
  <c r="C28" i="13" s="1"/>
  <c r="D49" i="15" a="1"/>
  <c r="D49" i="15" s="1"/>
  <c r="A49" i="15" s="1"/>
  <c r="D28" i="13" l="1" a="1"/>
  <c r="D28" i="13" s="1"/>
  <c r="A28" i="13" s="1"/>
  <c r="B29" i="13"/>
  <c r="C29" i="13" s="1"/>
  <c r="D29" i="13" l="1" a="1"/>
  <c r="D29" i="13" s="1"/>
  <c r="A29" i="13" s="1"/>
  <c r="B30" i="13"/>
  <c r="C30" i="13" s="1"/>
  <c r="B31" i="13"/>
  <c r="D30" i="13" l="1" a="1"/>
  <c r="D30" i="13" s="1"/>
  <c r="A30" i="13" s="1"/>
  <c r="D31" i="13" a="1"/>
  <c r="D31" i="13" s="1"/>
  <c r="A31" i="13" s="1"/>
  <c r="C3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<sst xmlns="http://schemas.openxmlformats.org/spreadsheetml/2006/main" count="3948" uniqueCount="746">
  <si>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</si>
  <si>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</si>
  <si>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</si>
  <si>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</si>
  <si>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</si>
  <si>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</si>
  <si>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</si>
  <si>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</si>
  <si>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</si>
  <si>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</si>
  <si>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</si>
  <si>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</si>
  <si>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</si>
  <si>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</si>
  <si>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</si>
  <si>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</si>
  <si>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</si>
  <si>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</si>
  <si>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</si>
  <si>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</si>
  <si>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</si>
  <si>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</si>
  <si>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</si>
  <si>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</si>
  <si>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</si>
  <si>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</si>
  <si>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</si>
  <si>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</si>
  <si>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</si>
  <si>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</si>
  <si>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</si>
  <si>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</si>
  <si>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</si>
  <si>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</si>
  <si>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</si>
  <si>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</si>
  <si>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</si>
  <si>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</si>
  <si>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</si>
  <si>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</si>
  <si>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</si>
  <si>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</si>
  <si>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</si>
  <si>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</si>
  <si>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</si>
  <si>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</si>
  <si>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</si>
  <si>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</si>
  <si>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</si>
  <si>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</si>
  <si>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</si>
  <si>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</si>
  <si>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</si>
  <si>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</si>
  <si>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</si>
  <si>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</si>
  <si>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</si>
  <si>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</si>
  <si>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</si>
  <si>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</si>
  <si>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</si>
  <si>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</si>
  <si>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</si>
  <si>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</si>
  <si>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</si>
  <si>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</si>
  <si>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</si>
  <si>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</si>
  <si>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</si>
  <si>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</si>
  <si>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</si>
  <si>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</si>
  <si>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</si>
  <si>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</si>
  <si>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</si>
  <si>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</si>
  <si>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</si>
  <si>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</si>
  <si>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</si>
  <si>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</si>
  <si>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</si>
  <si>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</si>
  <si>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</si>
  <si>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</si>
  <si>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</si>
  <si>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</si>
  <si>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</si>
  <si>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</si>
  <si>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</si>
  <si>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</si>
  <si>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</si>
  <si>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</si>
  <si>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</si>
  <si>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</si>
  <si>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</si>
  <si>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</si>
  <si>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</si>
  <si>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</si>
  <si>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</si>
  <si>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</si>
  <si>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</si>
  <si>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</si>
  <si>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</si>
  <si>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</si>
  <si>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</si>
  <si>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</si>
  <si>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</si>
  <si>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</si>
  <si>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</si>
  <si>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</si>
  <si>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</si>
  <si>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</si>
  <si>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</si>
  <si>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</si>
  <si>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</si>
  <si>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</si>
  <si>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</si>
  <si>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</si>
  <si>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</si>
  <si>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</si>
  <si>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</si>
  <si>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</si>
  <si>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</si>
  <si>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</si>
  <si>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</si>
  <si>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</si>
  <si>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</si>
  <si>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</si>
  <si>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</si>
  <si>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</si>
  <si>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</si>
  <si>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</si>
  <si>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</si>
  <si>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</si>
  <si>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</si>
  <si>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</si>
  <si>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</si>
  <si>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</si>
  <si>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</si>
  <si>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</si>
  <si>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</si>
  <si>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</si>
  <si>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</si>
  <si>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</si>
  <si>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</si>
  <si>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</si>
  <si>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</si>
  <si>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</si>
  <si>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</si>
  <si>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</si>
  <si>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</si>
  <si>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</si>
  <si>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</si>
  <si>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</si>
  <si>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</si>
  <si>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</si>
  <si>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</si>
  <si>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</si>
  <si>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</si>
  <si>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</si>
  <si>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</si>
  <si>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</si>
  <si>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</si>
  <si>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</si>
  <si>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</si>
  <si>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</si>
  <si>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</si>
  <si>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</si>
  <si>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</si>
  <si>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</si>
  <si>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</si>
  <si>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</si>
  <si>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</si>
  <si>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</si>
  <si>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</si>
  <si>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</si>
  <si>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</si>
  <si>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</si>
  <si>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</si>
  <si>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</si>
  <si>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</si>
  <si>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</si>
  <si>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</si>
  <si>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</si>
  <si>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</si>
  <si>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</si>
  <si>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</si>
  <si>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</si>
  <si>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</si>
  <si>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</si>
  <si>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</si>
  <si>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</si>
  <si>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</si>
  <si>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</si>
  <si>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</si>
  <si>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</si>
  <si>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</si>
  <si>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</si>
  <si>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</si>
  <si>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</si>
  <si>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</si>
  <si>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</si>
  <si>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</si>
  <si>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</si>
  <si>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</si>
  <si>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</si>
  <si>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</si>
  <si>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</si>
  <si>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</si>
  <si>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</si>
  <si>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</si>
  <si>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</si>
  <si>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</si>
  <si>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</si>
  <si>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</si>
  <si>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</si>
  <si>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</si>
  <si>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</si>
  <si>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</si>
  <si>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</si>
  <si>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</si>
  <si>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</si>
  <si>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</si>
  <si>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</si>
  <si>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</si>
  <si>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</si>
  <si>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</si>
  <si>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</si>
  <si>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</si>
  <si>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</si>
  <si>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</si>
  <si>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</si>
  <si>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</si>
  <si>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</si>
  <si>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</si>
  <si>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</si>
  <si>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</si>
  <si>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</si>
  <si>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</si>
  <si>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</si>
  <si>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</si>
  <si>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</si>
  <si>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</si>
  <si>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</si>
  <si>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</si>
  <si>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</si>
  <si>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</si>
  <si>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</si>
  <si>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</si>
  <si>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</si>
  <si>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</si>
  <si>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</si>
  <si>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</si>
  <si>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</si>
  <si>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</si>
  <si>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</si>
  <si>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</si>
  <si>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</si>
  <si>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</si>
  <si>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</si>
  <si>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</si>
  <si>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</si>
  <si>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</si>
  <si>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</si>
  <si>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</si>
  <si>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</si>
  <si>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</si>
  <si>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</si>
  <si>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</si>
  <si>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</si>
  <si>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</si>
  <si>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</si>
  <si>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</si>
  <si>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</si>
  <si>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</si>
  <si>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</si>
  <si>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</si>
  <si>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</si>
  <si>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</si>
  <si>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</si>
  <si>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</si>
  <si>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</si>
  <si>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</si>
  <si>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</si>
  <si>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</si>
  <si>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</si>
  <si>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</si>
  <si>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</si>
  <si>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</si>
  <si>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</si>
  <si>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</si>
  <si>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</si>
  <si>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</si>
  <si>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</si>
  <si>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</si>
  <si>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</si>
  <si>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</si>
  <si>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</si>
  <si>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</si>
  <si>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</si>
  <si>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</si>
  <si>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</si>
  <si>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</si>
  <si>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</si>
  <si>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</si>
  <si>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</si>
  <si>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</si>
  <si>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</si>
  <si>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</si>
  <si>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</si>
  <si>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</si>
  <si>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</si>
  <si>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</si>
  <si>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</si>
  <si>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</si>
  <si>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</si>
  <si>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</si>
  <si>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</si>
  <si>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</si>
  <si>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</si>
  <si>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</si>
  <si>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</si>
  <si>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</si>
  <si>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</si>
  <si>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</si>
  <si>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</si>
  <si>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</si>
  <si>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</si>
  <si>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</si>
  <si>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</si>
  <si>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</si>
  <si>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</si>
  <si>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</si>
  <si>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</si>
  <si>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</si>
  <si>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</si>
  <si>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</si>
  <si>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</si>
  <si>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</si>
  <si>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</si>
  <si>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</si>
  <si>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</si>
  <si>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</si>
  <si>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</si>
  <si>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</si>
  <si>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</si>
  <si>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</si>
  <si>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</si>
  <si>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</si>
  <si>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</si>
  <si>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</si>
  <si>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</si>
  <si>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</si>
  <si>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</si>
  <si>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</si>
  <si>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</si>
  <si>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</si>
  <si>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</si>
  <si>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</si>
  <si>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</si>
  <si>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</si>
  <si>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</si>
  <si>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</si>
  <si>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</si>
  <si>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</si>
  <si>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</si>
  <si>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</si>
  <si>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</si>
  <si>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</si>
  <si>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</si>
  <si>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</si>
  <si>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</si>
  <si>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</si>
  <si>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</si>
  <si>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</si>
  <si>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</si>
  <si>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</si>
  <si>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</si>
  <si>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</si>
  <si>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</si>
  <si>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</si>
  <si>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</si>
  <si>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</si>
  <si>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</si>
  <si>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</si>
  <si>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</si>
  <si>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</si>
  <si>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</si>
  <si>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</si>
  <si>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</si>
  <si>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</si>
  <si>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</si>
  <si>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</si>
  <si>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</si>
  <si>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</si>
  <si>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</si>
  <si>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</si>
  <si>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</si>
  <si>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</si>
  <si>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</si>
  <si>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</si>
  <si>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</si>
  <si>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</si>
  <si>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</si>
  <si>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</si>
  <si>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</si>
  <si>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</si>
  <si>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</si>
  <si>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</si>
  <si>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</si>
  <si>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</si>
  <si>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</si>
  <si>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</si>
  <si>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</si>
  <si>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</si>
  <si>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</si>
  <si>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</si>
  <si>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</si>
  <si>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</si>
  <si>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</si>
  <si>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</si>
  <si>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</si>
  <si>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</si>
  <si>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</si>
  <si>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</si>
  <si>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</si>
  <si>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</si>
  <si>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</si>
  <si>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</si>
  <si>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</si>
  <si>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</si>
  <si>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</si>
  <si>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</si>
  <si>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</si>
  <si>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</si>
  <si>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</si>
  <si>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</si>
  <si>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</si>
  <si>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</si>
  <si>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</si>
  <si>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</si>
  <si>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</si>
  <si>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</si>
  <si>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</si>
  <si>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</si>
  <si>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</si>
  <si>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</si>
  <si>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</si>
  <si>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</si>
  <si>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</si>
  <si>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</si>
  <si>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</si>
  <si>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</si>
  <si>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</si>
  <si>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</si>
  <si>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</si>
  <si>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</si>
  <si>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</si>
  <si>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</si>
  <si>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</si>
  <si>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</si>
  <si>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</si>
  <si>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</si>
  <si>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</si>
  <si>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</si>
  <si>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</si>
  <si>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</si>
  <si>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</si>
  <si>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</si>
  <si>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</si>
  <si>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</si>
  <si>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</si>
  <si>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</si>
  <si>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</si>
  <si>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</si>
  <si>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</si>
  <si>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</si>
  <si>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</si>
  <si>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</si>
  <si>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</si>
  <si>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</si>
  <si>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</si>
  <si>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</si>
  <si>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</si>
  <si>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</si>
  <si>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</si>
  <si>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</si>
  <si>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</si>
  <si>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</si>
  <si>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</si>
  <si>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</si>
  <si>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</si>
  <si>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</si>
  <si>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</si>
  <si>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</si>
  <si>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</si>
  <si>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</si>
  <si>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</si>
  <si>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</si>
  <si>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</si>
  <si>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</si>
  <si>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</si>
  <si>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</si>
  <si>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</si>
  <si>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</si>
  <si>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</si>
  <si>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</si>
  <si>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</si>
  <si>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</si>
  <si>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</si>
  <si>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</si>
  <si>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</si>
  <si>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</si>
  <si>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</si>
  <si>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</si>
  <si>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</si>
  <si>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</si>
  <si>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</si>
  <si>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</si>
  <si>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</si>
  <si>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</si>
  <si>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</si>
  <si>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</si>
  <si>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</si>
  <si>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</si>
  <si>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</si>
  <si>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</si>
  <si>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</si>
  <si>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</si>
  <si>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</si>
  <si>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</si>
  <si>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</si>
  <si>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</si>
  <si>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</si>
  <si>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</si>
  <si>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</si>
  <si>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</si>
  <si>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</si>
  <si>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</si>
  <si>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</si>
  <si>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</si>
  <si>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</si>
  <si>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</si>
  <si>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</si>
  <si>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</si>
  <si>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</si>
  <si>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</si>
  <si>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</si>
  <si>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</si>
  <si>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</si>
  <si>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</si>
  <si>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</si>
  <si>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</si>
  <si>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</si>
  <si>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</si>
  <si>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</si>
  <si>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</si>
  <si>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</si>
  <si>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</si>
  <si>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</si>
  <si>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</si>
  <si>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</si>
  <si>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</si>
  <si>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</si>
  <si>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</si>
  <si>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</si>
  <si>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</si>
  <si>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</si>
  <si>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</si>
  <si>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</si>
  <si>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</si>
  <si>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</si>
  <si>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</si>
  <si>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</si>
  <si>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</si>
  <si>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</si>
  <si>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</si>
  <si>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</si>
  <si>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</si>
  <si>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</si>
  <si>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</si>
  <si>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</si>
  <si>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</si>
  <si>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</si>
  <si>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</si>
  <si>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</si>
  <si>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</si>
  <si>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</si>
  <si>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</si>
  <si>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</si>
  <si>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</si>
  <si>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</si>
  <si>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</si>
  <si>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</si>
  <si>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</si>
  <si>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</si>
  <si>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</si>
  <si>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</si>
  <si>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</si>
  <si>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</si>
  <si>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</si>
  <si>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</si>
  <si>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</si>
  <si>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</si>
  <si>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</si>
  <si>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</si>
  <si>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</si>
  <si>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</si>
  <si>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</si>
  <si>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</si>
  <si>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</si>
  <si>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</si>
  <si>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</si>
  <si>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</si>
  <si>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</si>
  <si>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</si>
  <si>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</si>
  <si>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</si>
  <si>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</si>
  <si>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</si>
  <si>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</si>
  <si>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</si>
  <si>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</si>
  <si>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</si>
  <si>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</si>
  <si>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</si>
  <si>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</si>
  <si>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</si>
  <si>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</si>
  <si>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</si>
  <si>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</si>
  <si>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</si>
  <si>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</si>
  <si>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</si>
  <si>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</si>
  <si>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</si>
  <si>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</si>
  <si>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</si>
  <si>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</si>
  <si>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</si>
  <si>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</si>
  <si>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</si>
  <si>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</si>
  <si>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</si>
  <si>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</si>
  <si>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</si>
  <si>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</si>
  <si>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</si>
  <si>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</si>
  <si>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</si>
  <si>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</si>
  <si>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</si>
  <si>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</si>
  <si>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</si>
  <si>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</si>
  <si>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</si>
  <si>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</si>
  <si>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</si>
  <si>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</si>
  <si>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</si>
  <si>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</si>
  <si>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</si>
  <si>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</si>
  <si>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</si>
  <si>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</si>
  <si>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</si>
  <si>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</si>
  <si>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</si>
  <si>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</si>
  <si>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</si>
  <si>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</si>
  <si>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</si>
  <si>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</si>
  <si>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</si>
  <si>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</si>
  <si>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</si>
  <si>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</si>
  <si>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</si>
  <si>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</si>
  <si>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</si>
  <si>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</si>
  <si>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</si>
  <si>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</si>
  <si>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</si>
  <si>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</si>
  <si>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</si>
  <si>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</si>
  <si>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</si>
  <si>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</si>
  <si>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</si>
  <si>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</si>
  <si>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</si>
  <si>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</si>
  <si>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</si>
  <si>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</si>
  <si>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</si>
  <si>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</si>
  <si>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</si>
  <si>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</si>
  <si>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</si>
  <si>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</si>
  <si>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</si>
  <si>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</si>
  <si>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</si>
  <si>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</si>
  <si>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</si>
  <si>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</si>
  <si>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</si>
  <si>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</si>
  <si>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</si>
  <si>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</si>
  <si>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</si>
  <si>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</si>
  <si>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</si>
  <si>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</si>
  <si>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</si>
  <si>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</si>
  <si>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</si>
  <si>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</si>
  <si>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</si>
  <si>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</si>
  <si>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</si>
  <si>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</si>
  <si>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</si>
  <si>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</si>
  <si>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</si>
  <si>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</si>
  <si>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</si>
  <si>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Year Built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</si>
  <si>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</si>
  <si>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</si>
  <si>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</si>
  <si>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</si>
  <si>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</si>
  <si>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</si>
  <si>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</si>
  <si>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</si>
  <si>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</si>
  <si>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</si>
  <si>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</si>
  <si>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</si>
  <si>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</si>
  <si>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</si>
  <si>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</si>
  <si>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AnalyticsEnergy Meter via upload</t>
  </si>
  <si>
    <t>AnalyticsWater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</si>
</sst>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8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4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3" fontId="4" fillId="2" borderId="64" xfId="8" applyNumberFormat="1" applyFont="1" applyFill="1" applyBorder="1" applyAlignment="1" applyProtection="1">
      <alignment horizontal="right" vertical="center" indent="1"/>
      <protection locked="0" hidden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64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2" borderId="77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24</xdr:row>
          <xdr:rowOff>76200</xdr:rowOff>
        </xdr:from>
        <xdr:to>
          <xdr:col>3</xdr:col>
          <xdr:colOff>561975</xdr:colOff>
          <xdr:row>24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24</xdr:row>
          <xdr:rowOff>76200</xdr:rowOff>
        </xdr:from>
        <xdr:to>
          <xdr:col>3</xdr:col>
          <xdr:colOff>1895475</xdr:colOff>
          <xdr:row>24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6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21"/>
  <sheetViews>
    <sheetView showGridLines="0" topLeftCell="A4" zoomScale="90" zoomScaleNormal="90" workbookViewId="0">
      <selection activeCell="F18" sqref="F18"/>
    </sheetView>
  </sheetViews>
  <sheetFormatPr defaultColWidth="9.140625" defaultRowHeight="15" x14ac:dyDescent="0.25"/>
  <cols>
    <col min="1" max="1" width="2.7109375" style="85" customWidth="1"/>
    <col min="2" max="2" width="5.7109375" style="85" customWidth="1"/>
    <col min="3" max="3" width="11.140625" style="85" customWidth="1"/>
    <col min="4" max="4" width="30.85546875" style="85" customWidth="1"/>
    <col min="5" max="5" width="29.140625" style="85" customWidth="1"/>
    <col min="6" max="6" width="21" style="85" customWidth="1"/>
    <col min="7" max="7" width="15.7109375" style="85" hidden="1" customWidth="1"/>
    <col min="8" max="8" width="110.28515625" style="85" hidden="1" customWidth="1"/>
    <col min="9" max="9" width="0.85546875" style="85" hidden="1" customWidth="1"/>
    <col min="10" max="10" width="9.140625" style="85" hidden="1" customWidth="1"/>
    <col min="11" max="11" width="4.5703125" style="85" customWidth="1"/>
    <col min="12" max="12" width="15.5703125" style="85" hidden="1" customWidth="1"/>
    <col min="13" max="18" width="9.140625" style="85" hidden="1" customWidth="1"/>
    <col min="19" max="19" width="5.140625" style="85" hidden="1" customWidth="1"/>
    <col min="20" max="20" width="9.140625" style="85" hidden="1" customWidth="1"/>
    <col min="21" max="16384" width="9.140625" style="85"/>
  </cols>
  <sheetData>
    <row r="2" spans="2:14" x14ac:dyDescent="0.25">
      <c r="B2" s="91"/>
      <c r="C2" s="92" t="s">
        <v>574</v>
      </c>
      <c r="D2" s="93"/>
      <c r="E2" s="93"/>
      <c r="F2" s="93"/>
      <c r="G2" s="93"/>
      <c r="H2" s="93"/>
      <c r="I2" s="94"/>
      <c r="J2" s="93"/>
      <c r="K2" s="95"/>
      <c r="L2" s="84"/>
      <c r="M2" s="84"/>
      <c r="N2" s="84"/>
    </row>
    <row r="3" spans="2:14" ht="49.5" customHeight="1" x14ac:dyDescent="0.25">
      <c r="B3" s="96"/>
      <c r="C3" s="204" t="s">
        <v>703</v>
      </c>
      <c r="D3" s="205"/>
      <c r="E3" s="205"/>
      <c r="F3" s="205"/>
      <c r="G3" s="1"/>
      <c r="H3" s="1"/>
      <c r="I3" s="9"/>
      <c r="J3" s="1"/>
      <c r="K3" s="97"/>
      <c r="L3" s="84"/>
      <c r="M3" s="84"/>
      <c r="N3" s="84"/>
    </row>
    <row r="4" spans="2:14" x14ac:dyDescent="0.25">
      <c r="B4" s="96"/>
      <c r="C4" s="10" t="s">
        <v>0</v>
      </c>
      <c r="D4" s="11"/>
      <c r="E4" s="11"/>
      <c r="F4" s="1"/>
      <c r="G4" s="1"/>
      <c r="H4" s="1"/>
      <c r="I4" s="9"/>
      <c r="J4" s="1"/>
      <c r="K4" s="97"/>
      <c r="L4" s="84"/>
      <c r="M4" s="84"/>
      <c r="N4" s="84"/>
    </row>
    <row r="5" spans="2:14" x14ac:dyDescent="0.25">
      <c r="B5" s="96"/>
      <c r="C5" s="12" t="s">
        <v>1</v>
      </c>
      <c r="D5" s="11"/>
      <c r="E5" s="11"/>
      <c r="F5" s="1"/>
      <c r="G5" s="1"/>
      <c r="H5" s="1"/>
      <c r="I5" s="9"/>
      <c r="J5" s="1"/>
      <c r="K5" s="97"/>
      <c r="L5" s="84"/>
      <c r="M5" s="84" t="s">
        <v>3</v>
      </c>
      <c r="N5" s="84"/>
    </row>
    <row r="6" spans="2:14" x14ac:dyDescent="0.25">
      <c r="B6" s="96"/>
      <c r="C6" s="13" t="s">
        <v>2</v>
      </c>
      <c r="D6" s="13"/>
      <c r="E6" s="14"/>
      <c r="F6" s="1"/>
      <c r="G6" s="1"/>
      <c r="H6" s="1"/>
      <c r="I6" s="9"/>
      <c r="J6" s="1"/>
      <c r="K6" s="97"/>
      <c r="L6" s="84"/>
      <c r="M6" s="84" t="s">
        <v>4</v>
      </c>
      <c r="N6" s="84"/>
    </row>
    <row r="7" spans="2:14" x14ac:dyDescent="0.25">
      <c r="B7" s="96"/>
      <c r="C7" s="13"/>
      <c r="D7" s="13"/>
      <c r="E7" s="14"/>
      <c r="F7" s="1"/>
      <c r="G7" s="1"/>
      <c r="H7" s="1"/>
      <c r="I7" s="9"/>
      <c r="J7" s="1"/>
      <c r="K7" s="97"/>
      <c r="L7" s="84"/>
      <c r="M7" s="84"/>
      <c r="N7" s="84"/>
    </row>
    <row r="8" spans="2:14" x14ac:dyDescent="0.25">
      <c r="B8" s="96"/>
      <c r="C8" s="141" t="s">
        <v>622</v>
      </c>
      <c r="D8" s="142"/>
      <c r="E8" s="143"/>
      <c r="F8" s="144"/>
      <c r="G8" s="1"/>
      <c r="H8" s="1"/>
      <c r="I8" s="9"/>
      <c r="J8" s="1"/>
      <c r="K8" s="97"/>
      <c r="L8" s="84"/>
      <c r="M8" s="84"/>
      <c r="N8" s="84"/>
    </row>
    <row r="9" spans="2:14" ht="15" customHeight="1" x14ac:dyDescent="0.25">
      <c r="B9" s="96"/>
      <c r="C9" s="145" t="s">
        <v>569</v>
      </c>
      <c r="D9" s="142"/>
      <c r="E9" s="143"/>
      <c r="F9" s="146" t="s">
        <v>704</v>
      </c>
      <c r="G9" s="1"/>
      <c r="H9" s="1"/>
      <c r="I9" s="9"/>
      <c r="J9" s="1"/>
      <c r="K9" s="97"/>
      <c r="L9" s="84"/>
      <c r="M9" s="84"/>
      <c r="N9" s="84"/>
    </row>
    <row r="10" spans="2:14" ht="15" customHeight="1" x14ac:dyDescent="0.25">
      <c r="B10" s="96"/>
      <c r="C10" s="147" t="s">
        <v>623</v>
      </c>
      <c r="D10" s="147"/>
      <c r="E10" s="142"/>
      <c r="F10" s="148"/>
      <c r="G10" s="7"/>
      <c r="H10" s="7"/>
      <c r="I10" s="8"/>
      <c r="J10" s="7"/>
      <c r="K10" s="97"/>
      <c r="L10" s="84"/>
      <c r="M10" s="84"/>
      <c r="N10" s="84"/>
    </row>
    <row r="11" spans="2:14" ht="15" customHeight="1" x14ac:dyDescent="0.25">
      <c r="B11" s="96"/>
      <c r="C11" s="1"/>
      <c r="D11" s="1"/>
      <c r="E11" s="19"/>
      <c r="F11" s="1"/>
      <c r="G11" s="7"/>
      <c r="H11" s="7"/>
      <c r="I11" s="8"/>
      <c r="J11" s="7"/>
      <c r="K11" s="97"/>
      <c r="L11" s="84"/>
      <c r="M11" s="84"/>
      <c r="N11" s="84"/>
    </row>
    <row r="12" spans="2:14" ht="15" customHeight="1" x14ac:dyDescent="0.25">
      <c r="B12" s="96"/>
      <c r="C12" s="15" t="s">
        <v>5</v>
      </c>
      <c r="D12" s="1"/>
      <c r="E12" s="1"/>
      <c r="F12" s="1"/>
      <c r="G12" s="7"/>
      <c r="H12" s="7"/>
      <c r="I12" s="8"/>
      <c r="J12" s="7"/>
      <c r="K12" s="97"/>
      <c r="L12" s="84"/>
      <c r="M12" s="84"/>
      <c r="N12" s="84"/>
    </row>
    <row r="13" spans="2:14" ht="15" customHeight="1" x14ac:dyDescent="0.25">
      <c r="B13" s="96"/>
      <c r="C13" s="15" t="s">
        <v>726</v>
      </c>
      <c r="D13" s="1"/>
      <c r="E13" s="1"/>
      <c r="F13" s="1"/>
      <c r="G13" s="7"/>
      <c r="H13" s="7"/>
      <c r="I13" s="8"/>
      <c r="J13" s="7"/>
      <c r="K13" s="97"/>
      <c r="L13" s="84"/>
      <c r="M13" s="84"/>
      <c r="N13" s="84"/>
    </row>
    <row r="14" spans="2:14" ht="21" customHeight="1" x14ac:dyDescent="0.25">
      <c r="B14" s="96"/>
      <c r="C14" s="15" t="s">
        <v>689</v>
      </c>
      <c r="D14" s="1"/>
      <c r="E14" s="1"/>
      <c r="F14" s="1"/>
      <c r="G14" s="7"/>
      <c r="H14" s="7"/>
      <c r="I14" s="8"/>
      <c r="J14" s="7"/>
      <c r="K14" s="97"/>
      <c r="L14" s="84"/>
      <c r="M14" s="84"/>
      <c r="N14" s="84"/>
    </row>
    <row r="15" spans="2:14" x14ac:dyDescent="0.25">
      <c r="B15" s="96"/>
      <c r="C15" s="206" t="s">
        <v>728</v>
      </c>
      <c r="D15" s="208"/>
      <c r="E15" s="207"/>
      <c r="F15" s="198">
        <v>2017</v>
      </c>
      <c r="G15" s="7"/>
      <c r="H15" s="7"/>
      <c r="I15" s="8"/>
      <c r="J15" s="7"/>
      <c r="K15" s="97"/>
      <c r="L15" s="84"/>
      <c r="M15" s="84"/>
      <c r="N15" s="84"/>
    </row>
    <row r="16" spans="2:14" x14ac:dyDescent="0.25">
      <c r="B16" s="96"/>
      <c r="C16" s="195"/>
      <c r="D16" s="195"/>
      <c r="E16" s="196"/>
      <c r="F16" s="197"/>
      <c r="G16" s="7"/>
      <c r="H16" s="7"/>
      <c r="I16" s="8"/>
      <c r="J16" s="7"/>
      <c r="K16" s="97"/>
      <c r="L16" s="84"/>
      <c r="M16" s="84"/>
      <c r="N16" s="84"/>
    </row>
    <row r="17" spans="2:20" x14ac:dyDescent="0.25">
      <c r="B17" s="158"/>
      <c r="C17" s="206"/>
      <c r="D17" s="207"/>
      <c r="E17" s="189" t="s">
        <v>722</v>
      </c>
      <c r="F17" s="191" t="s">
        <v>724</v>
      </c>
      <c r="G17" s="7"/>
      <c r="H17" s="7"/>
      <c r="I17" s="8"/>
      <c r="J17" s="7"/>
      <c r="K17" s="159"/>
      <c r="L17" s="84"/>
      <c r="M17" s="84"/>
      <c r="N17" s="84"/>
    </row>
    <row r="18" spans="2:20" x14ac:dyDescent="0.25">
      <c r="B18" s="158"/>
      <c r="C18" s="189" t="str">
        <f>CONCATENATE("Gross 
Floor Area 
",IF(Setup!$F$9="SI units","(sq m)","(sq ft)"))</f>
        <v>Gross 
Floor Area 
(sq ft)</v>
      </c>
      <c r="D18" s="189"/>
      <c r="E18" s="192">
        <v>42736</v>
      </c>
      <c r="F18" s="193">
        <v>5000</v>
      </c>
      <c r="G18" s="1"/>
      <c r="H18" s="1"/>
      <c r="I18" s="9"/>
      <c r="J18" s="1"/>
      <c r="K18" s="97"/>
      <c r="L18" s="84"/>
      <c r="M18" s="84"/>
      <c r="N18" s="84"/>
      <c r="T18" s="190">
        <f ca="1">TODAY()</f>
        <v>43635</v>
      </c>
    </row>
    <row r="19" spans="2:20" x14ac:dyDescent="0.25">
      <c r="B19" s="158"/>
      <c r="C19" s="189" t="s">
        <v>723</v>
      </c>
      <c r="D19" s="189"/>
      <c r="E19" s="192">
        <v>42736</v>
      </c>
      <c r="F19" s="194">
        <v>30</v>
      </c>
      <c r="G19" s="1"/>
      <c r="H19" s="1"/>
      <c r="I19" s="9"/>
      <c r="J19" s="1"/>
      <c r="K19" s="159"/>
      <c r="L19" s="84"/>
      <c r="M19" s="84"/>
      <c r="N19" s="84"/>
    </row>
    <row r="20" spans="2:20" x14ac:dyDescent="0.25">
      <c r="B20" s="158"/>
      <c r="C20" s="189" t="s">
        <v>494</v>
      </c>
      <c r="D20" s="189"/>
      <c r="E20" s="192">
        <v>42736</v>
      </c>
      <c r="F20" s="194">
        <v>9</v>
      </c>
      <c r="G20" s="1"/>
      <c r="H20" s="1"/>
      <c r="I20" s="9"/>
      <c r="J20" s="1"/>
      <c r="K20" s="159"/>
      <c r="L20" s="84"/>
      <c r="M20" s="84"/>
      <c r="N20" s="84"/>
    </row>
    <row r="21" spans="2:20" ht="24" customHeight="1" x14ac:dyDescent="0.25">
      <c r="B21" s="96"/>
      <c r="C21" s="1"/>
      <c r="D21" s="1"/>
      <c r="E21" s="1"/>
      <c r="F21" s="160"/>
      <c r="G21" s="1"/>
      <c r="H21" s="1"/>
      <c r="I21" s="9"/>
      <c r="J21" s="1"/>
      <c r="K21" s="97"/>
      <c r="L21" s="84"/>
      <c r="M21" s="84"/>
      <c r="N21" s="84"/>
    </row>
    <row r="22" spans="2:20" ht="30" customHeight="1" x14ac:dyDescent="0.25">
      <c r="B22" s="96"/>
      <c r="C22" s="15" t="s">
        <v>624</v>
      </c>
      <c r="D22" s="1"/>
      <c r="E22" s="1"/>
      <c r="F22" s="1"/>
      <c r="G22" s="1"/>
      <c r="H22" s="1"/>
      <c r="I22" s="9"/>
      <c r="J22" s="1"/>
      <c r="K22" s="97"/>
    </row>
    <row r="23" spans="2:20" x14ac:dyDescent="0.25">
      <c r="B23" s="96"/>
      <c r="C23" s="90" t="s">
        <v>567</v>
      </c>
      <c r="D23" s="81"/>
      <c r="E23" s="82"/>
      <c r="F23" s="80" t="s">
        <v>552</v>
      </c>
      <c r="G23" s="7"/>
      <c r="H23" s="7"/>
      <c r="I23" s="8"/>
      <c r="J23" s="7"/>
      <c r="K23" s="97"/>
    </row>
    <row r="24" spans="2:20" x14ac:dyDescent="0.25">
      <c r="B24" s="96"/>
      <c r="C24" s="83" t="s">
        <v>495</v>
      </c>
      <c r="D24" s="16"/>
      <c r="E24" s="17"/>
      <c r="F24" s="1"/>
      <c r="G24" s="7"/>
      <c r="H24" s="7"/>
      <c r="I24" s="8"/>
      <c r="J24" s="7"/>
      <c r="K24" s="97"/>
    </row>
    <row r="25" spans="2:20" ht="42" customHeight="1" x14ac:dyDescent="0.25">
      <c r="B25" s="96"/>
      <c r="C25" s="1"/>
      <c r="D25" s="7"/>
      <c r="E25" s="1"/>
      <c r="F25" s="1"/>
      <c r="G25" s="7"/>
      <c r="H25" s="7"/>
      <c r="I25" s="8"/>
      <c r="J25" s="7"/>
      <c r="K25" s="97"/>
    </row>
    <row r="26" spans="2:20" x14ac:dyDescent="0.25">
      <c r="B26" s="96"/>
      <c r="C26"/>
      <c r="D26"/>
      <c r="E26"/>
      <c r="F26"/>
      <c r="G26" s="149"/>
      <c r="H26" s="149"/>
      <c r="I26" s="150"/>
      <c r="J26" s="149"/>
      <c r="K26" s="97"/>
    </row>
    <row r="27" spans="2:20" ht="21" customHeight="1" x14ac:dyDescent="0.25">
      <c r="B27" s="96"/>
      <c r="C27" s="151" t="s">
        <v>625</v>
      </c>
      <c r="D27" s="152"/>
      <c r="E27"/>
      <c r="F27"/>
      <c r="G27" s="153"/>
      <c r="H27" s="153"/>
      <c r="I27" s="153"/>
      <c r="J27" s="153"/>
      <c r="K27" s="97"/>
    </row>
    <row r="28" spans="2:20" ht="30.6" customHeight="1" x14ac:dyDescent="0.25">
      <c r="B28" s="96"/>
      <c r="C28" s="203" t="s">
        <v>573</v>
      </c>
      <c r="D28" s="203"/>
      <c r="E28" s="203"/>
      <c r="F28" s="203"/>
      <c r="G28" s="153"/>
      <c r="H28" s="153"/>
      <c r="I28" s="153"/>
      <c r="J28" s="153"/>
      <c r="K28" s="97"/>
      <c r="L28" s="87" t="s">
        <v>6</v>
      </c>
      <c r="M28" s="87" t="s">
        <v>7</v>
      </c>
      <c r="O28" s="85" t="s">
        <v>552</v>
      </c>
      <c r="Q28" s="85" t="s">
        <v>552</v>
      </c>
      <c r="S28" s="163" t="s">
        <v>607</v>
      </c>
    </row>
    <row r="29" spans="2:20" ht="11.25" customHeight="1" x14ac:dyDescent="0.25">
      <c r="B29" s="155"/>
      <c r="C29" s="154"/>
      <c r="D29" s="154"/>
      <c r="E29" s="154"/>
      <c r="F29" s="154"/>
      <c r="G29" s="153"/>
      <c r="H29" s="153"/>
      <c r="I29" s="153"/>
      <c r="J29" s="153"/>
      <c r="K29" s="157"/>
      <c r="L29" s="156" t="s">
        <v>8</v>
      </c>
      <c r="M29" s="87" t="s">
        <v>9</v>
      </c>
      <c r="O29" s="85" t="s">
        <v>544</v>
      </c>
      <c r="Q29" s="85" t="s">
        <v>544</v>
      </c>
      <c r="S29" s="87" t="s">
        <v>633</v>
      </c>
    </row>
    <row r="30" spans="2:20" ht="11.25" customHeight="1" x14ac:dyDescent="0.25">
      <c r="F30" s="86"/>
      <c r="G30" s="86"/>
      <c r="H30" s="86"/>
      <c r="I30" s="86"/>
      <c r="J30" s="86"/>
      <c r="L30" s="87" t="s">
        <v>10</v>
      </c>
      <c r="M30" s="87" t="s">
        <v>11</v>
      </c>
      <c r="O30" s="85" t="s">
        <v>562</v>
      </c>
      <c r="Q30" s="85" t="s">
        <v>562</v>
      </c>
      <c r="S30" s="87" t="s">
        <v>634</v>
      </c>
    </row>
    <row r="31" spans="2:20" ht="11.25" customHeight="1" x14ac:dyDescent="0.25">
      <c r="F31" s="86"/>
      <c r="K31" s="89"/>
      <c r="L31" s="87" t="s">
        <v>12</v>
      </c>
      <c r="M31" s="87" t="s">
        <v>13</v>
      </c>
      <c r="O31" s="85" t="s">
        <v>559</v>
      </c>
      <c r="S31" s="87" t="s">
        <v>635</v>
      </c>
    </row>
    <row r="32" spans="2:20" x14ac:dyDescent="0.25">
      <c r="F32" s="86"/>
      <c r="K32" s="89"/>
      <c r="L32" s="87" t="s">
        <v>14</v>
      </c>
      <c r="M32" s="87" t="s">
        <v>15</v>
      </c>
      <c r="O32" s="85" t="s">
        <v>561</v>
      </c>
      <c r="S32" s="87" t="s">
        <v>636</v>
      </c>
    </row>
    <row r="33" spans="6:19" x14ac:dyDescent="0.25">
      <c r="F33" s="98" t="s">
        <v>727</v>
      </c>
      <c r="K33" s="98" t="s">
        <v>725</v>
      </c>
      <c r="L33" s="87" t="s">
        <v>16</v>
      </c>
      <c r="M33" s="87" t="s">
        <v>17</v>
      </c>
      <c r="O33" s="85" t="s">
        <v>560</v>
      </c>
      <c r="S33" s="87" t="s">
        <v>637</v>
      </c>
    </row>
    <row r="34" spans="6:19" x14ac:dyDescent="0.25">
      <c r="K34" s="98" t="s">
        <v>628</v>
      </c>
      <c r="L34" s="87" t="s">
        <v>18</v>
      </c>
      <c r="M34" s="87" t="s">
        <v>19</v>
      </c>
      <c r="S34" s="87" t="s">
        <v>638</v>
      </c>
    </row>
    <row r="35" spans="6:19" x14ac:dyDescent="0.25">
      <c r="K35" s="98" t="s">
        <v>571</v>
      </c>
      <c r="L35" s="87" t="s">
        <v>20</v>
      </c>
      <c r="M35" s="87" t="s">
        <v>21</v>
      </c>
      <c r="S35" s="87" t="s">
        <v>639</v>
      </c>
    </row>
    <row r="36" spans="6:19" x14ac:dyDescent="0.25">
      <c r="K36" s="98" t="s">
        <v>572</v>
      </c>
      <c r="L36" s="87" t="s">
        <v>22</v>
      </c>
      <c r="M36" s="87" t="s">
        <v>23</v>
      </c>
      <c r="S36" s="87" t="s">
        <v>640</v>
      </c>
    </row>
    <row r="37" spans="6:19" x14ac:dyDescent="0.25">
      <c r="L37" s="87" t="s">
        <v>24</v>
      </c>
      <c r="M37" s="87" t="s">
        <v>25</v>
      </c>
      <c r="S37" s="87" t="s">
        <v>641</v>
      </c>
    </row>
    <row r="38" spans="6:19" x14ac:dyDescent="0.25">
      <c r="L38" s="87" t="s">
        <v>26</v>
      </c>
      <c r="M38" s="87" t="s">
        <v>27</v>
      </c>
      <c r="S38" s="87" t="s">
        <v>642</v>
      </c>
    </row>
    <row r="39" spans="6:19" x14ac:dyDescent="0.25">
      <c r="L39" s="87" t="s">
        <v>28</v>
      </c>
      <c r="M39" s="87" t="s">
        <v>29</v>
      </c>
      <c r="S39" s="87" t="s">
        <v>643</v>
      </c>
    </row>
    <row r="40" spans="6:19" x14ac:dyDescent="0.25">
      <c r="L40" s="87" t="s">
        <v>30</v>
      </c>
      <c r="M40" s="87" t="s">
        <v>31</v>
      </c>
      <c r="S40" s="87" t="s">
        <v>644</v>
      </c>
    </row>
    <row r="41" spans="6:19" x14ac:dyDescent="0.25">
      <c r="L41" s="87" t="s">
        <v>32</v>
      </c>
      <c r="M41" s="87" t="s">
        <v>33</v>
      </c>
      <c r="S41" s="87" t="s">
        <v>645</v>
      </c>
    </row>
    <row r="42" spans="6:19" x14ac:dyDescent="0.25">
      <c r="L42" s="87" t="s">
        <v>34</v>
      </c>
      <c r="M42" s="87" t="s">
        <v>35</v>
      </c>
      <c r="S42" s="87" t="s">
        <v>646</v>
      </c>
    </row>
    <row r="43" spans="6:19" x14ac:dyDescent="0.25">
      <c r="L43" s="87" t="s">
        <v>36</v>
      </c>
      <c r="M43" s="87" t="s">
        <v>37</v>
      </c>
      <c r="S43" s="87" t="s">
        <v>647</v>
      </c>
    </row>
    <row r="44" spans="6:19" x14ac:dyDescent="0.25">
      <c r="L44" s="87" t="s">
        <v>38</v>
      </c>
      <c r="M44" s="87" t="s">
        <v>39</v>
      </c>
      <c r="S44" s="87" t="s">
        <v>648</v>
      </c>
    </row>
    <row r="45" spans="6:19" x14ac:dyDescent="0.25">
      <c r="L45" s="87" t="s">
        <v>40</v>
      </c>
      <c r="M45" s="87" t="s">
        <v>41</v>
      </c>
      <c r="S45" s="87" t="s">
        <v>649</v>
      </c>
    </row>
    <row r="46" spans="6:19" x14ac:dyDescent="0.25">
      <c r="L46" s="87" t="s">
        <v>42</v>
      </c>
      <c r="M46" s="87" t="s">
        <v>43</v>
      </c>
      <c r="S46" s="87" t="s">
        <v>650</v>
      </c>
    </row>
    <row r="47" spans="6:19" x14ac:dyDescent="0.25">
      <c r="L47" s="87" t="s">
        <v>44</v>
      </c>
      <c r="M47" s="87" t="s">
        <v>45</v>
      </c>
      <c r="S47" s="87" t="s">
        <v>651</v>
      </c>
    </row>
    <row r="48" spans="6:19" x14ac:dyDescent="0.25">
      <c r="L48" s="87" t="s">
        <v>46</v>
      </c>
      <c r="M48" s="87" t="s">
        <v>47</v>
      </c>
      <c r="S48" s="87" t="s">
        <v>652</v>
      </c>
    </row>
    <row r="49" spans="12:19" x14ac:dyDescent="0.25">
      <c r="L49" s="87" t="s">
        <v>48</v>
      </c>
      <c r="M49" s="87" t="s">
        <v>49</v>
      </c>
      <c r="S49" s="87" t="s">
        <v>653</v>
      </c>
    </row>
    <row r="50" spans="12:19" x14ac:dyDescent="0.25">
      <c r="L50" s="87" t="s">
        <v>50</v>
      </c>
      <c r="M50" s="87" t="s">
        <v>51</v>
      </c>
      <c r="S50" s="87" t="s">
        <v>654</v>
      </c>
    </row>
    <row r="51" spans="12:19" x14ac:dyDescent="0.25">
      <c r="L51" s="87" t="s">
        <v>52</v>
      </c>
      <c r="M51" s="87" t="s">
        <v>53</v>
      </c>
      <c r="S51" s="87" t="s">
        <v>655</v>
      </c>
    </row>
    <row r="52" spans="12:19" x14ac:dyDescent="0.25">
      <c r="L52" s="87" t="s">
        <v>54</v>
      </c>
      <c r="M52" s="87" t="s">
        <v>55</v>
      </c>
      <c r="S52" s="87" t="s">
        <v>656</v>
      </c>
    </row>
    <row r="53" spans="12:19" x14ac:dyDescent="0.25">
      <c r="L53" s="87" t="s">
        <v>56</v>
      </c>
      <c r="M53" s="87" t="s">
        <v>57</v>
      </c>
      <c r="S53" s="87" t="s">
        <v>657</v>
      </c>
    </row>
    <row r="54" spans="12:19" x14ac:dyDescent="0.25">
      <c r="L54" s="87" t="s">
        <v>58</v>
      </c>
      <c r="M54" s="87" t="s">
        <v>59</v>
      </c>
      <c r="S54" s="87" t="s">
        <v>658</v>
      </c>
    </row>
    <row r="55" spans="12:19" x14ac:dyDescent="0.25">
      <c r="L55" s="87" t="s">
        <v>60</v>
      </c>
      <c r="M55" s="87" t="s">
        <v>61</v>
      </c>
      <c r="S55" s="87" t="s">
        <v>659</v>
      </c>
    </row>
    <row r="56" spans="12:19" x14ac:dyDescent="0.25">
      <c r="L56" s="87" t="s">
        <v>62</v>
      </c>
      <c r="M56" s="87" t="s">
        <v>63</v>
      </c>
      <c r="S56" s="87" t="s">
        <v>660</v>
      </c>
    </row>
    <row r="57" spans="12:19" x14ac:dyDescent="0.25">
      <c r="L57" s="87" t="s">
        <v>64</v>
      </c>
      <c r="M57" s="87" t="s">
        <v>65</v>
      </c>
      <c r="S57" s="87" t="s">
        <v>661</v>
      </c>
    </row>
    <row r="58" spans="12:19" x14ac:dyDescent="0.25">
      <c r="L58" s="87" t="s">
        <v>66</v>
      </c>
      <c r="M58" s="87" t="s">
        <v>67</v>
      </c>
      <c r="S58" s="87" t="s">
        <v>662</v>
      </c>
    </row>
    <row r="59" spans="12:19" x14ac:dyDescent="0.25">
      <c r="L59" s="87" t="s">
        <v>68</v>
      </c>
      <c r="M59" s="87" t="s">
        <v>69</v>
      </c>
      <c r="S59" s="87" t="s">
        <v>663</v>
      </c>
    </row>
    <row r="60" spans="12:19" x14ac:dyDescent="0.25">
      <c r="L60" s="87" t="s">
        <v>70</v>
      </c>
      <c r="M60" s="87" t="s">
        <v>71</v>
      </c>
      <c r="S60" s="87" t="s">
        <v>664</v>
      </c>
    </row>
    <row r="61" spans="12:19" x14ac:dyDescent="0.25">
      <c r="L61" s="87" t="s">
        <v>72</v>
      </c>
      <c r="M61" s="87" t="s">
        <v>73</v>
      </c>
      <c r="S61" s="87" t="s">
        <v>665</v>
      </c>
    </row>
    <row r="62" spans="12:19" x14ac:dyDescent="0.25">
      <c r="L62" s="87" t="s">
        <v>74</v>
      </c>
      <c r="M62" s="87" t="s">
        <v>75</v>
      </c>
      <c r="S62" s="87" t="s">
        <v>666</v>
      </c>
    </row>
    <row r="63" spans="12:19" x14ac:dyDescent="0.25">
      <c r="L63" s="87" t="s">
        <v>76</v>
      </c>
      <c r="M63" s="87" t="s">
        <v>77</v>
      </c>
      <c r="S63" s="87" t="s">
        <v>667</v>
      </c>
    </row>
    <row r="64" spans="12:19" x14ac:dyDescent="0.25">
      <c r="L64" s="87" t="s">
        <v>78</v>
      </c>
      <c r="M64" s="87" t="s">
        <v>79</v>
      </c>
      <c r="S64" s="87" t="s">
        <v>668</v>
      </c>
    </row>
    <row r="65" spans="12:19" x14ac:dyDescent="0.25">
      <c r="L65" s="87" t="s">
        <v>80</v>
      </c>
      <c r="M65" s="87" t="s">
        <v>81</v>
      </c>
      <c r="S65" s="87" t="s">
        <v>669</v>
      </c>
    </row>
    <row r="66" spans="12:19" x14ac:dyDescent="0.25">
      <c r="L66" s="87" t="s">
        <v>82</v>
      </c>
      <c r="M66" s="87" t="s">
        <v>83</v>
      </c>
      <c r="S66" s="87" t="s">
        <v>670</v>
      </c>
    </row>
    <row r="67" spans="12:19" x14ac:dyDescent="0.25">
      <c r="L67" s="87" t="s">
        <v>84</v>
      </c>
      <c r="M67" s="87" t="s">
        <v>85</v>
      </c>
      <c r="S67" s="87" t="s">
        <v>671</v>
      </c>
    </row>
    <row r="68" spans="12:19" x14ac:dyDescent="0.25">
      <c r="L68" s="87" t="s">
        <v>86</v>
      </c>
      <c r="M68" s="87" t="s">
        <v>87</v>
      </c>
      <c r="S68" s="87" t="s">
        <v>672</v>
      </c>
    </row>
    <row r="69" spans="12:19" x14ac:dyDescent="0.25">
      <c r="L69" s="87" t="s">
        <v>88</v>
      </c>
      <c r="M69" s="87" t="s">
        <v>89</v>
      </c>
      <c r="S69" s="87" t="s">
        <v>673</v>
      </c>
    </row>
    <row r="70" spans="12:19" x14ac:dyDescent="0.25">
      <c r="L70" s="87" t="s">
        <v>90</v>
      </c>
      <c r="M70" s="87" t="s">
        <v>91</v>
      </c>
      <c r="S70" s="87" t="s">
        <v>674</v>
      </c>
    </row>
    <row r="71" spans="12:19" x14ac:dyDescent="0.25">
      <c r="L71" s="87" t="s">
        <v>92</v>
      </c>
      <c r="M71" s="87" t="s">
        <v>93</v>
      </c>
      <c r="S71" s="87" t="s">
        <v>675</v>
      </c>
    </row>
    <row r="72" spans="12:19" x14ac:dyDescent="0.25">
      <c r="L72" s="87" t="s">
        <v>94</v>
      </c>
      <c r="M72" s="87" t="s">
        <v>95</v>
      </c>
      <c r="S72" s="87" t="s">
        <v>676</v>
      </c>
    </row>
    <row r="73" spans="12:19" x14ac:dyDescent="0.25">
      <c r="L73" s="87" t="s">
        <v>96</v>
      </c>
      <c r="M73" s="87" t="s">
        <v>97</v>
      </c>
      <c r="S73" s="87" t="s">
        <v>677</v>
      </c>
    </row>
    <row r="74" spans="12:19" x14ac:dyDescent="0.25">
      <c r="L74" s="87" t="s">
        <v>98</v>
      </c>
      <c r="M74" s="87" t="s">
        <v>99</v>
      </c>
      <c r="S74" s="87" t="s">
        <v>678</v>
      </c>
    </row>
    <row r="75" spans="12:19" x14ac:dyDescent="0.25">
      <c r="L75" s="87" t="s">
        <v>100</v>
      </c>
      <c r="M75" s="87" t="s">
        <v>101</v>
      </c>
      <c r="S75" s="87" t="s">
        <v>679</v>
      </c>
    </row>
    <row r="76" spans="12:19" x14ac:dyDescent="0.25">
      <c r="L76" s="87" t="s">
        <v>102</v>
      </c>
      <c r="M76" s="87" t="s">
        <v>103</v>
      </c>
      <c r="S76" s="87" t="s">
        <v>680</v>
      </c>
    </row>
    <row r="77" spans="12:19" x14ac:dyDescent="0.25">
      <c r="L77" s="87" t="s">
        <v>104</v>
      </c>
      <c r="M77" s="87" t="s">
        <v>105</v>
      </c>
      <c r="S77" s="87" t="s">
        <v>681</v>
      </c>
    </row>
    <row r="78" spans="12:19" x14ac:dyDescent="0.25">
      <c r="L78" s="87" t="s">
        <v>106</v>
      </c>
      <c r="M78" s="87" t="s">
        <v>107</v>
      </c>
      <c r="S78" s="87" t="s">
        <v>682</v>
      </c>
    </row>
    <row r="79" spans="12:19" x14ac:dyDescent="0.25">
      <c r="L79" s="87" t="s">
        <v>108</v>
      </c>
      <c r="M79" s="87" t="s">
        <v>109</v>
      </c>
      <c r="S79" s="87" t="s">
        <v>683</v>
      </c>
    </row>
    <row r="80" spans="12:19" x14ac:dyDescent="0.25">
      <c r="L80" s="87" t="s">
        <v>110</v>
      </c>
      <c r="M80" s="87" t="s">
        <v>111</v>
      </c>
      <c r="S80" s="87" t="s">
        <v>684</v>
      </c>
    </row>
    <row r="81" spans="12:19" x14ac:dyDescent="0.25">
      <c r="L81" s="87" t="s">
        <v>112</v>
      </c>
      <c r="M81" s="87" t="s">
        <v>113</v>
      </c>
      <c r="S81" s="87" t="s">
        <v>685</v>
      </c>
    </row>
    <row r="82" spans="12:19" x14ac:dyDescent="0.25">
      <c r="L82" s="87" t="s">
        <v>114</v>
      </c>
      <c r="M82" s="87" t="s">
        <v>115</v>
      </c>
      <c r="S82" s="87" t="s">
        <v>686</v>
      </c>
    </row>
    <row r="83" spans="12:19" x14ac:dyDescent="0.25">
      <c r="L83" s="87" t="s">
        <v>116</v>
      </c>
      <c r="M83" s="87" t="s">
        <v>117</v>
      </c>
      <c r="S83" s="87" t="s">
        <v>687</v>
      </c>
    </row>
    <row r="84" spans="12:19" x14ac:dyDescent="0.25">
      <c r="L84" s="87" t="s">
        <v>118</v>
      </c>
      <c r="M84" s="87" t="s">
        <v>119</v>
      </c>
      <c r="S84" s="87" t="s">
        <v>688</v>
      </c>
    </row>
    <row r="85" spans="12:19" x14ac:dyDescent="0.25">
      <c r="L85" s="87" t="s">
        <v>120</v>
      </c>
      <c r="M85" s="87" t="s">
        <v>121</v>
      </c>
    </row>
    <row r="86" spans="12:19" x14ac:dyDescent="0.25">
      <c r="L86" s="87" t="s">
        <v>122</v>
      </c>
      <c r="M86" s="87" t="s">
        <v>123</v>
      </c>
    </row>
    <row r="87" spans="12:19" x14ac:dyDescent="0.25">
      <c r="L87" s="87" t="s">
        <v>124</v>
      </c>
      <c r="M87" s="87" t="s">
        <v>125</v>
      </c>
    </row>
    <row r="88" spans="12:19" x14ac:dyDescent="0.25">
      <c r="L88" s="87" t="s">
        <v>126</v>
      </c>
      <c r="M88" s="87" t="s">
        <v>127</v>
      </c>
    </row>
    <row r="89" spans="12:19" x14ac:dyDescent="0.25">
      <c r="L89" s="87" t="s">
        <v>128</v>
      </c>
      <c r="M89" s="87" t="s">
        <v>129</v>
      </c>
    </row>
    <row r="90" spans="12:19" x14ac:dyDescent="0.25">
      <c r="L90" s="87" t="s">
        <v>130</v>
      </c>
      <c r="M90" s="87" t="s">
        <v>131</v>
      </c>
    </row>
    <row r="91" spans="12:19" x14ac:dyDescent="0.25">
      <c r="L91" s="87" t="s">
        <v>132</v>
      </c>
      <c r="M91" s="87" t="s">
        <v>133</v>
      </c>
    </row>
    <row r="92" spans="12:19" x14ac:dyDescent="0.25">
      <c r="L92" s="87" t="s">
        <v>134</v>
      </c>
      <c r="M92" s="87" t="s">
        <v>135</v>
      </c>
    </row>
    <row r="93" spans="12:19" x14ac:dyDescent="0.25">
      <c r="L93" s="87" t="s">
        <v>136</v>
      </c>
      <c r="M93" s="87" t="s">
        <v>137</v>
      </c>
    </row>
    <row r="94" spans="12:19" x14ac:dyDescent="0.25">
      <c r="L94" s="87" t="s">
        <v>138</v>
      </c>
      <c r="M94" s="87" t="s">
        <v>139</v>
      </c>
    </row>
    <row r="95" spans="12:19" x14ac:dyDescent="0.25">
      <c r="L95" s="87" t="s">
        <v>140</v>
      </c>
      <c r="M95" s="87" t="s">
        <v>141</v>
      </c>
    </row>
    <row r="96" spans="12:19" x14ac:dyDescent="0.25">
      <c r="L96" s="87" t="s">
        <v>142</v>
      </c>
      <c r="M96" s="87" t="s">
        <v>143</v>
      </c>
    </row>
    <row r="97" spans="12:13" x14ac:dyDescent="0.25">
      <c r="L97" s="87" t="s">
        <v>144</v>
      </c>
      <c r="M97" s="87" t="s">
        <v>145</v>
      </c>
    </row>
    <row r="98" spans="12:13" x14ac:dyDescent="0.25">
      <c r="L98" s="87" t="s">
        <v>146</v>
      </c>
      <c r="M98" s="87" t="s">
        <v>147</v>
      </c>
    </row>
    <row r="99" spans="12:13" x14ac:dyDescent="0.25">
      <c r="L99" s="87" t="s">
        <v>148</v>
      </c>
      <c r="M99" s="87" t="s">
        <v>149</v>
      </c>
    </row>
    <row r="100" spans="12:13" x14ac:dyDescent="0.25">
      <c r="L100" s="87" t="s">
        <v>150</v>
      </c>
      <c r="M100" s="87" t="s">
        <v>151</v>
      </c>
    </row>
    <row r="101" spans="12:13" x14ac:dyDescent="0.25">
      <c r="L101" s="87" t="s">
        <v>152</v>
      </c>
      <c r="M101" s="87" t="s">
        <v>153</v>
      </c>
    </row>
    <row r="102" spans="12:13" x14ac:dyDescent="0.25">
      <c r="L102" s="87" t="s">
        <v>154</v>
      </c>
      <c r="M102" s="87" t="s">
        <v>155</v>
      </c>
    </row>
    <row r="103" spans="12:13" x14ac:dyDescent="0.25">
      <c r="L103" s="87" t="s">
        <v>156</v>
      </c>
      <c r="M103" s="87" t="s">
        <v>157</v>
      </c>
    </row>
    <row r="104" spans="12:13" x14ac:dyDescent="0.25">
      <c r="L104" s="87" t="s">
        <v>158</v>
      </c>
      <c r="M104" s="87" t="s">
        <v>159</v>
      </c>
    </row>
    <row r="105" spans="12:13" x14ac:dyDescent="0.25">
      <c r="L105" s="87" t="s">
        <v>160</v>
      </c>
      <c r="M105" s="87" t="s">
        <v>161</v>
      </c>
    </row>
    <row r="106" spans="12:13" x14ac:dyDescent="0.25">
      <c r="L106" s="87" t="s">
        <v>162</v>
      </c>
      <c r="M106" s="87" t="s">
        <v>163</v>
      </c>
    </row>
    <row r="107" spans="12:13" x14ac:dyDescent="0.25">
      <c r="L107" s="87" t="s">
        <v>164</v>
      </c>
      <c r="M107" s="87" t="s">
        <v>165</v>
      </c>
    </row>
    <row r="108" spans="12:13" x14ac:dyDescent="0.25">
      <c r="L108" s="87" t="s">
        <v>166</v>
      </c>
      <c r="M108" s="87" t="s">
        <v>167</v>
      </c>
    </row>
    <row r="109" spans="12:13" x14ac:dyDescent="0.25">
      <c r="L109" s="87" t="s">
        <v>168</v>
      </c>
      <c r="M109" s="87" t="s">
        <v>169</v>
      </c>
    </row>
    <row r="110" spans="12:13" x14ac:dyDescent="0.25">
      <c r="L110" s="87" t="s">
        <v>170</v>
      </c>
      <c r="M110" s="87" t="s">
        <v>171</v>
      </c>
    </row>
    <row r="111" spans="12:13" x14ac:dyDescent="0.25">
      <c r="L111" s="87" t="s">
        <v>172</v>
      </c>
      <c r="M111" s="87" t="s">
        <v>173</v>
      </c>
    </row>
    <row r="112" spans="12:13" x14ac:dyDescent="0.25">
      <c r="L112" s="87" t="s">
        <v>174</v>
      </c>
      <c r="M112" s="87" t="s">
        <v>175</v>
      </c>
    </row>
    <row r="113" spans="12:13" x14ac:dyDescent="0.25">
      <c r="L113" s="87" t="s">
        <v>176</v>
      </c>
      <c r="M113" s="87" t="s">
        <v>177</v>
      </c>
    </row>
    <row r="114" spans="12:13" x14ac:dyDescent="0.25">
      <c r="L114" s="87" t="s">
        <v>178</v>
      </c>
      <c r="M114" s="87" t="s">
        <v>179</v>
      </c>
    </row>
    <row r="115" spans="12:13" x14ac:dyDescent="0.25">
      <c r="L115" s="87" t="s">
        <v>180</v>
      </c>
      <c r="M115" s="87" t="s">
        <v>181</v>
      </c>
    </row>
    <row r="116" spans="12:13" x14ac:dyDescent="0.25">
      <c r="L116" s="87" t="s">
        <v>182</v>
      </c>
      <c r="M116" s="87" t="s">
        <v>183</v>
      </c>
    </row>
    <row r="117" spans="12:13" x14ac:dyDescent="0.25">
      <c r="L117" s="87" t="s">
        <v>184</v>
      </c>
      <c r="M117" s="87" t="s">
        <v>185</v>
      </c>
    </row>
    <row r="118" spans="12:13" x14ac:dyDescent="0.25">
      <c r="L118" s="87" t="s">
        <v>186</v>
      </c>
      <c r="M118" s="87" t="s">
        <v>187</v>
      </c>
    </row>
    <row r="119" spans="12:13" x14ac:dyDescent="0.25">
      <c r="L119" s="87" t="s">
        <v>188</v>
      </c>
      <c r="M119" s="87" t="s">
        <v>189</v>
      </c>
    </row>
    <row r="120" spans="12:13" x14ac:dyDescent="0.25">
      <c r="L120" s="87" t="s">
        <v>190</v>
      </c>
      <c r="M120" s="87" t="s">
        <v>191</v>
      </c>
    </row>
    <row r="121" spans="12:13" x14ac:dyDescent="0.25">
      <c r="L121" s="87" t="s">
        <v>192</v>
      </c>
      <c r="M121" s="87" t="s">
        <v>193</v>
      </c>
    </row>
    <row r="122" spans="12:13" x14ac:dyDescent="0.25">
      <c r="L122" s="87" t="s">
        <v>194</v>
      </c>
      <c r="M122" s="87" t="s">
        <v>195</v>
      </c>
    </row>
    <row r="123" spans="12:13" x14ac:dyDescent="0.25">
      <c r="L123" s="87" t="s">
        <v>196</v>
      </c>
      <c r="M123" s="87" t="s">
        <v>197</v>
      </c>
    </row>
    <row r="124" spans="12:13" x14ac:dyDescent="0.25">
      <c r="L124" s="87" t="s">
        <v>198</v>
      </c>
      <c r="M124" s="87" t="s">
        <v>199</v>
      </c>
    </row>
    <row r="125" spans="12:13" x14ac:dyDescent="0.25">
      <c r="L125" s="87" t="s">
        <v>200</v>
      </c>
      <c r="M125" s="87" t="s">
        <v>201</v>
      </c>
    </row>
    <row r="126" spans="12:13" x14ac:dyDescent="0.25">
      <c r="L126" s="87" t="s">
        <v>202</v>
      </c>
      <c r="M126" s="87" t="s">
        <v>203</v>
      </c>
    </row>
    <row r="127" spans="12:13" x14ac:dyDescent="0.25">
      <c r="L127" s="87" t="s">
        <v>204</v>
      </c>
      <c r="M127" s="87" t="s">
        <v>205</v>
      </c>
    </row>
    <row r="128" spans="12:13" x14ac:dyDescent="0.25">
      <c r="L128" s="87" t="s">
        <v>206</v>
      </c>
      <c r="M128" s="87" t="s">
        <v>207</v>
      </c>
    </row>
    <row r="129" spans="12:13" x14ac:dyDescent="0.25">
      <c r="L129" s="87" t="s">
        <v>208</v>
      </c>
      <c r="M129" s="87" t="s">
        <v>209</v>
      </c>
    </row>
    <row r="130" spans="12:13" x14ac:dyDescent="0.25">
      <c r="L130" s="87" t="s">
        <v>210</v>
      </c>
      <c r="M130" s="87" t="s">
        <v>211</v>
      </c>
    </row>
    <row r="131" spans="12:13" x14ac:dyDescent="0.25">
      <c r="L131" s="87" t="s">
        <v>212</v>
      </c>
      <c r="M131" s="87" t="s">
        <v>213</v>
      </c>
    </row>
    <row r="132" spans="12:13" x14ac:dyDescent="0.25">
      <c r="L132" s="87" t="s">
        <v>214</v>
      </c>
      <c r="M132" s="87" t="s">
        <v>215</v>
      </c>
    </row>
    <row r="133" spans="12:13" x14ac:dyDescent="0.25">
      <c r="L133" s="87" t="s">
        <v>216</v>
      </c>
      <c r="M133" s="87" t="s">
        <v>217</v>
      </c>
    </row>
    <row r="134" spans="12:13" x14ac:dyDescent="0.25">
      <c r="L134" s="87" t="s">
        <v>218</v>
      </c>
      <c r="M134" s="87" t="s">
        <v>219</v>
      </c>
    </row>
    <row r="135" spans="12:13" x14ac:dyDescent="0.25">
      <c r="L135" s="87" t="s">
        <v>220</v>
      </c>
      <c r="M135" s="87" t="s">
        <v>221</v>
      </c>
    </row>
    <row r="136" spans="12:13" x14ac:dyDescent="0.25">
      <c r="L136" s="87" t="s">
        <v>222</v>
      </c>
      <c r="M136" s="87" t="s">
        <v>223</v>
      </c>
    </row>
    <row r="137" spans="12:13" x14ac:dyDescent="0.25">
      <c r="L137" s="87" t="s">
        <v>224</v>
      </c>
      <c r="M137" s="87" t="s">
        <v>225</v>
      </c>
    </row>
    <row r="138" spans="12:13" x14ac:dyDescent="0.25">
      <c r="L138" s="87" t="s">
        <v>226</v>
      </c>
      <c r="M138" s="87" t="s">
        <v>227</v>
      </c>
    </row>
    <row r="139" spans="12:13" x14ac:dyDescent="0.25">
      <c r="L139" s="87" t="s">
        <v>228</v>
      </c>
      <c r="M139" s="87" t="s">
        <v>229</v>
      </c>
    </row>
    <row r="140" spans="12:13" x14ac:dyDescent="0.25">
      <c r="L140" s="87" t="s">
        <v>230</v>
      </c>
      <c r="M140" s="87" t="s">
        <v>231</v>
      </c>
    </row>
    <row r="141" spans="12:13" x14ac:dyDescent="0.25">
      <c r="L141" s="87" t="s">
        <v>232</v>
      </c>
      <c r="M141" s="87" t="s">
        <v>233</v>
      </c>
    </row>
    <row r="142" spans="12:13" x14ac:dyDescent="0.25">
      <c r="L142" s="87" t="s">
        <v>234</v>
      </c>
      <c r="M142" s="87" t="s">
        <v>235</v>
      </c>
    </row>
    <row r="143" spans="12:13" x14ac:dyDescent="0.25">
      <c r="L143" s="87" t="s">
        <v>236</v>
      </c>
      <c r="M143" s="87" t="s">
        <v>237</v>
      </c>
    </row>
    <row r="144" spans="12:13" x14ac:dyDescent="0.25">
      <c r="L144" s="87" t="s">
        <v>238</v>
      </c>
      <c r="M144" s="87" t="s">
        <v>239</v>
      </c>
    </row>
    <row r="145" spans="12:13" x14ac:dyDescent="0.25">
      <c r="L145" s="87" t="s">
        <v>240</v>
      </c>
      <c r="M145" s="87" t="s">
        <v>241</v>
      </c>
    </row>
    <row r="146" spans="12:13" x14ac:dyDescent="0.25">
      <c r="L146" s="87" t="s">
        <v>242</v>
      </c>
      <c r="M146" s="87" t="s">
        <v>243</v>
      </c>
    </row>
    <row r="147" spans="12:13" x14ac:dyDescent="0.25">
      <c r="L147" s="87" t="s">
        <v>244</v>
      </c>
      <c r="M147" s="87" t="s">
        <v>245</v>
      </c>
    </row>
    <row r="148" spans="12:13" x14ac:dyDescent="0.25">
      <c r="L148" s="87" t="s">
        <v>246</v>
      </c>
      <c r="M148" s="87" t="s">
        <v>247</v>
      </c>
    </row>
    <row r="149" spans="12:13" x14ac:dyDescent="0.25">
      <c r="L149" s="87" t="s">
        <v>248</v>
      </c>
      <c r="M149" s="87" t="s">
        <v>249</v>
      </c>
    </row>
    <row r="150" spans="12:13" x14ac:dyDescent="0.25">
      <c r="L150" s="87" t="s">
        <v>250</v>
      </c>
      <c r="M150" s="87" t="s">
        <v>251</v>
      </c>
    </row>
    <row r="151" spans="12:13" x14ac:dyDescent="0.25">
      <c r="L151" s="87" t="s">
        <v>252</v>
      </c>
      <c r="M151" s="87" t="s">
        <v>253</v>
      </c>
    </row>
    <row r="152" spans="12:13" x14ac:dyDescent="0.25">
      <c r="L152" s="87" t="s">
        <v>254</v>
      </c>
      <c r="M152" s="87" t="s">
        <v>255</v>
      </c>
    </row>
    <row r="153" spans="12:13" x14ac:dyDescent="0.25">
      <c r="L153" s="87" t="s">
        <v>256</v>
      </c>
      <c r="M153" s="87" t="s">
        <v>257</v>
      </c>
    </row>
    <row r="154" spans="12:13" x14ac:dyDescent="0.25">
      <c r="L154" s="87" t="s">
        <v>258</v>
      </c>
      <c r="M154" s="87" t="s">
        <v>259</v>
      </c>
    </row>
    <row r="155" spans="12:13" x14ac:dyDescent="0.25">
      <c r="L155" s="87" t="s">
        <v>260</v>
      </c>
      <c r="M155" s="87" t="s">
        <v>261</v>
      </c>
    </row>
    <row r="156" spans="12:13" x14ac:dyDescent="0.25">
      <c r="L156" s="87" t="s">
        <v>262</v>
      </c>
      <c r="M156" s="87" t="s">
        <v>263</v>
      </c>
    </row>
    <row r="157" spans="12:13" x14ac:dyDescent="0.25">
      <c r="L157" s="87" t="s">
        <v>264</v>
      </c>
      <c r="M157" s="87" t="s">
        <v>265</v>
      </c>
    </row>
    <row r="158" spans="12:13" x14ac:dyDescent="0.25">
      <c r="L158" s="87" t="s">
        <v>266</v>
      </c>
      <c r="M158" s="87" t="s">
        <v>267</v>
      </c>
    </row>
    <row r="159" spans="12:13" x14ac:dyDescent="0.25">
      <c r="L159" s="87" t="s">
        <v>268</v>
      </c>
      <c r="M159" s="87" t="s">
        <v>269</v>
      </c>
    </row>
    <row r="160" spans="12:13" x14ac:dyDescent="0.25">
      <c r="L160" s="87" t="s">
        <v>270</v>
      </c>
      <c r="M160" s="87" t="s">
        <v>271</v>
      </c>
    </row>
    <row r="161" spans="12:13" x14ac:dyDescent="0.25">
      <c r="L161" s="87" t="s">
        <v>272</v>
      </c>
      <c r="M161" s="87" t="s">
        <v>273</v>
      </c>
    </row>
    <row r="162" spans="12:13" x14ac:dyDescent="0.25">
      <c r="L162" s="87" t="s">
        <v>274</v>
      </c>
      <c r="M162" s="87" t="s">
        <v>275</v>
      </c>
    </row>
    <row r="163" spans="12:13" x14ac:dyDescent="0.25">
      <c r="L163" s="87" t="s">
        <v>276</v>
      </c>
      <c r="M163" s="87" t="s">
        <v>277</v>
      </c>
    </row>
    <row r="164" spans="12:13" x14ac:dyDescent="0.25">
      <c r="L164" s="87" t="s">
        <v>278</v>
      </c>
      <c r="M164" s="87" t="s">
        <v>279</v>
      </c>
    </row>
    <row r="165" spans="12:13" x14ac:dyDescent="0.25">
      <c r="L165" s="87" t="s">
        <v>280</v>
      </c>
      <c r="M165" s="87" t="s">
        <v>281</v>
      </c>
    </row>
    <row r="166" spans="12:13" x14ac:dyDescent="0.25">
      <c r="L166" s="87" t="s">
        <v>282</v>
      </c>
      <c r="M166" s="87" t="s">
        <v>283</v>
      </c>
    </row>
    <row r="167" spans="12:13" x14ac:dyDescent="0.25">
      <c r="L167" s="87" t="s">
        <v>284</v>
      </c>
      <c r="M167" s="87" t="s">
        <v>285</v>
      </c>
    </row>
    <row r="168" spans="12:13" x14ac:dyDescent="0.25">
      <c r="L168" s="87" t="s">
        <v>286</v>
      </c>
      <c r="M168" s="87" t="s">
        <v>287</v>
      </c>
    </row>
    <row r="169" spans="12:13" x14ac:dyDescent="0.25">
      <c r="L169" s="87" t="s">
        <v>288</v>
      </c>
      <c r="M169" s="87" t="s">
        <v>289</v>
      </c>
    </row>
    <row r="170" spans="12:13" x14ac:dyDescent="0.25">
      <c r="L170" s="87" t="s">
        <v>290</v>
      </c>
      <c r="M170" s="87" t="s">
        <v>291</v>
      </c>
    </row>
    <row r="171" spans="12:13" x14ac:dyDescent="0.25">
      <c r="L171" s="87" t="s">
        <v>292</v>
      </c>
      <c r="M171" s="87" t="s">
        <v>293</v>
      </c>
    </row>
    <row r="172" spans="12:13" x14ac:dyDescent="0.25">
      <c r="L172" s="87" t="s">
        <v>294</v>
      </c>
      <c r="M172" s="87" t="s">
        <v>295</v>
      </c>
    </row>
    <row r="173" spans="12:13" x14ac:dyDescent="0.25">
      <c r="L173" s="87" t="s">
        <v>296</v>
      </c>
      <c r="M173" s="87" t="s">
        <v>297</v>
      </c>
    </row>
    <row r="174" spans="12:13" x14ac:dyDescent="0.25">
      <c r="L174" s="87" t="s">
        <v>298</v>
      </c>
      <c r="M174" s="87" t="s">
        <v>299</v>
      </c>
    </row>
    <row r="175" spans="12:13" x14ac:dyDescent="0.25">
      <c r="L175" s="87" t="s">
        <v>300</v>
      </c>
      <c r="M175" s="87" t="s">
        <v>301</v>
      </c>
    </row>
    <row r="176" spans="12:13" x14ac:dyDescent="0.25">
      <c r="L176" s="87" t="s">
        <v>302</v>
      </c>
      <c r="M176" s="87" t="s">
        <v>303</v>
      </c>
    </row>
    <row r="177" spans="12:13" x14ac:dyDescent="0.25">
      <c r="L177" s="87" t="s">
        <v>304</v>
      </c>
      <c r="M177" s="87" t="s">
        <v>305</v>
      </c>
    </row>
    <row r="178" spans="12:13" x14ac:dyDescent="0.25">
      <c r="L178" s="87" t="s">
        <v>306</v>
      </c>
      <c r="M178" s="87" t="s">
        <v>307</v>
      </c>
    </row>
    <row r="179" spans="12:13" x14ac:dyDescent="0.25">
      <c r="L179" s="87" t="s">
        <v>308</v>
      </c>
      <c r="M179" s="87" t="s">
        <v>309</v>
      </c>
    </row>
    <row r="180" spans="12:13" x14ac:dyDescent="0.25">
      <c r="L180" s="87" t="s">
        <v>310</v>
      </c>
      <c r="M180" s="87" t="s">
        <v>311</v>
      </c>
    </row>
    <row r="181" spans="12:13" x14ac:dyDescent="0.25">
      <c r="L181" s="87" t="s">
        <v>312</v>
      </c>
      <c r="M181" s="87" t="s">
        <v>313</v>
      </c>
    </row>
    <row r="182" spans="12:13" x14ac:dyDescent="0.25">
      <c r="L182" s="87" t="s">
        <v>314</v>
      </c>
      <c r="M182" s="87" t="s">
        <v>315</v>
      </c>
    </row>
    <row r="183" spans="12:13" x14ac:dyDescent="0.25">
      <c r="L183" s="87" t="s">
        <v>316</v>
      </c>
      <c r="M183" s="87" t="s">
        <v>317</v>
      </c>
    </row>
    <row r="184" spans="12:13" x14ac:dyDescent="0.25">
      <c r="L184" s="87" t="s">
        <v>318</v>
      </c>
      <c r="M184" s="87" t="s">
        <v>319</v>
      </c>
    </row>
    <row r="185" spans="12:13" x14ac:dyDescent="0.25">
      <c r="L185" s="87" t="s">
        <v>320</v>
      </c>
      <c r="M185" s="87" t="s">
        <v>321</v>
      </c>
    </row>
    <row r="186" spans="12:13" x14ac:dyDescent="0.25">
      <c r="L186" s="87" t="s">
        <v>322</v>
      </c>
      <c r="M186" s="87" t="s">
        <v>323</v>
      </c>
    </row>
    <row r="187" spans="12:13" x14ac:dyDescent="0.25">
      <c r="L187" s="87" t="s">
        <v>324</v>
      </c>
      <c r="M187" s="87" t="s">
        <v>325</v>
      </c>
    </row>
    <row r="188" spans="12:13" x14ac:dyDescent="0.25">
      <c r="L188" s="87" t="s">
        <v>326</v>
      </c>
      <c r="M188" s="87" t="s">
        <v>327</v>
      </c>
    </row>
    <row r="189" spans="12:13" x14ac:dyDescent="0.25">
      <c r="L189" s="87" t="s">
        <v>328</v>
      </c>
      <c r="M189" s="87" t="s">
        <v>329</v>
      </c>
    </row>
    <row r="190" spans="12:13" x14ac:dyDescent="0.25">
      <c r="L190" s="87" t="s">
        <v>330</v>
      </c>
      <c r="M190" s="87" t="s">
        <v>331</v>
      </c>
    </row>
    <row r="191" spans="12:13" x14ac:dyDescent="0.25">
      <c r="L191" s="87" t="s">
        <v>332</v>
      </c>
      <c r="M191" s="87" t="s">
        <v>333</v>
      </c>
    </row>
    <row r="192" spans="12:13" x14ac:dyDescent="0.25">
      <c r="L192" s="87" t="s">
        <v>334</v>
      </c>
      <c r="M192" s="87" t="s">
        <v>335</v>
      </c>
    </row>
    <row r="193" spans="12:13" x14ac:dyDescent="0.25">
      <c r="L193" s="87" t="s">
        <v>336</v>
      </c>
      <c r="M193" s="87" t="s">
        <v>337</v>
      </c>
    </row>
    <row r="194" spans="12:13" x14ac:dyDescent="0.25">
      <c r="L194" s="87" t="s">
        <v>338</v>
      </c>
      <c r="M194" s="87" t="s">
        <v>339</v>
      </c>
    </row>
    <row r="195" spans="12:13" x14ac:dyDescent="0.25">
      <c r="L195" s="87" t="s">
        <v>340</v>
      </c>
      <c r="M195" s="87" t="s">
        <v>341</v>
      </c>
    </row>
    <row r="196" spans="12:13" x14ac:dyDescent="0.25">
      <c r="L196" s="87" t="s">
        <v>342</v>
      </c>
      <c r="M196" s="87" t="s">
        <v>343</v>
      </c>
    </row>
    <row r="197" spans="12:13" x14ac:dyDescent="0.25">
      <c r="L197" s="87" t="s">
        <v>344</v>
      </c>
      <c r="M197" s="87" t="s">
        <v>345</v>
      </c>
    </row>
    <row r="198" spans="12:13" x14ac:dyDescent="0.25">
      <c r="L198" s="87" t="s">
        <v>346</v>
      </c>
      <c r="M198" s="87" t="s">
        <v>347</v>
      </c>
    </row>
    <row r="199" spans="12:13" x14ac:dyDescent="0.25">
      <c r="L199" s="87" t="s">
        <v>348</v>
      </c>
      <c r="M199" s="87" t="s">
        <v>349</v>
      </c>
    </row>
    <row r="200" spans="12:13" x14ac:dyDescent="0.25">
      <c r="L200" s="87" t="s">
        <v>350</v>
      </c>
      <c r="M200" s="87" t="s">
        <v>351</v>
      </c>
    </row>
    <row r="201" spans="12:13" x14ac:dyDescent="0.25">
      <c r="L201" s="87" t="s">
        <v>352</v>
      </c>
      <c r="M201" s="87" t="s">
        <v>353</v>
      </c>
    </row>
    <row r="202" spans="12:13" x14ac:dyDescent="0.25">
      <c r="L202" s="87" t="s">
        <v>354</v>
      </c>
      <c r="M202" s="87" t="s">
        <v>355</v>
      </c>
    </row>
    <row r="203" spans="12:13" x14ac:dyDescent="0.25">
      <c r="L203" s="87" t="s">
        <v>356</v>
      </c>
      <c r="M203" s="87" t="s">
        <v>357</v>
      </c>
    </row>
    <row r="204" spans="12:13" x14ac:dyDescent="0.25">
      <c r="L204" s="87" t="s">
        <v>358</v>
      </c>
      <c r="M204" s="87" t="s">
        <v>359</v>
      </c>
    </row>
    <row r="205" spans="12:13" x14ac:dyDescent="0.25">
      <c r="L205" s="87" t="s">
        <v>360</v>
      </c>
      <c r="M205" s="87" t="s">
        <v>361</v>
      </c>
    </row>
    <row r="206" spans="12:13" x14ac:dyDescent="0.25">
      <c r="L206" s="87" t="s">
        <v>362</v>
      </c>
      <c r="M206" s="87" t="s">
        <v>363</v>
      </c>
    </row>
    <row r="207" spans="12:13" x14ac:dyDescent="0.25">
      <c r="L207" s="87" t="s">
        <v>364</v>
      </c>
      <c r="M207" s="87" t="s">
        <v>365</v>
      </c>
    </row>
    <row r="208" spans="12:13" x14ac:dyDescent="0.25">
      <c r="L208" s="87" t="s">
        <v>366</v>
      </c>
      <c r="M208" s="87" t="s">
        <v>367</v>
      </c>
    </row>
    <row r="209" spans="12:13" x14ac:dyDescent="0.25">
      <c r="L209" s="87" t="s">
        <v>368</v>
      </c>
      <c r="M209" s="87" t="s">
        <v>369</v>
      </c>
    </row>
    <row r="210" spans="12:13" x14ac:dyDescent="0.25">
      <c r="L210" s="87" t="s">
        <v>370</v>
      </c>
      <c r="M210" s="87" t="s">
        <v>371</v>
      </c>
    </row>
    <row r="211" spans="12:13" x14ac:dyDescent="0.25">
      <c r="L211" s="87" t="s">
        <v>372</v>
      </c>
      <c r="M211" s="87" t="s">
        <v>373</v>
      </c>
    </row>
    <row r="212" spans="12:13" x14ac:dyDescent="0.25">
      <c r="L212" s="87" t="s">
        <v>374</v>
      </c>
      <c r="M212" s="87" t="s">
        <v>375</v>
      </c>
    </row>
    <row r="213" spans="12:13" x14ac:dyDescent="0.25">
      <c r="L213" s="87" t="s">
        <v>376</v>
      </c>
      <c r="M213" s="87" t="s">
        <v>377</v>
      </c>
    </row>
    <row r="214" spans="12:13" x14ac:dyDescent="0.25">
      <c r="L214" s="87" t="s">
        <v>378</v>
      </c>
      <c r="M214" s="87" t="s">
        <v>379</v>
      </c>
    </row>
    <row r="215" spans="12:13" x14ac:dyDescent="0.25">
      <c r="L215" s="87" t="s">
        <v>380</v>
      </c>
      <c r="M215" s="87" t="s">
        <v>381</v>
      </c>
    </row>
    <row r="216" spans="12:13" x14ac:dyDescent="0.25">
      <c r="L216" s="87" t="s">
        <v>382</v>
      </c>
      <c r="M216" s="87" t="s">
        <v>383</v>
      </c>
    </row>
    <row r="217" spans="12:13" x14ac:dyDescent="0.25">
      <c r="L217" s="87" t="s">
        <v>384</v>
      </c>
      <c r="M217" s="87" t="s">
        <v>385</v>
      </c>
    </row>
    <row r="218" spans="12:13" x14ac:dyDescent="0.25">
      <c r="L218" s="87" t="s">
        <v>386</v>
      </c>
      <c r="M218" s="87" t="s">
        <v>387</v>
      </c>
    </row>
    <row r="219" spans="12:13" x14ac:dyDescent="0.25">
      <c r="L219" s="87" t="s">
        <v>388</v>
      </c>
      <c r="M219" s="87" t="s">
        <v>389</v>
      </c>
    </row>
    <row r="220" spans="12:13" x14ac:dyDescent="0.25">
      <c r="L220" s="87" t="s">
        <v>390</v>
      </c>
      <c r="M220" s="87" t="s">
        <v>391</v>
      </c>
    </row>
    <row r="221" spans="12:13" x14ac:dyDescent="0.25">
      <c r="L221" s="87" t="s">
        <v>392</v>
      </c>
      <c r="M221" s="87" t="s">
        <v>393</v>
      </c>
    </row>
    <row r="222" spans="12:13" x14ac:dyDescent="0.25">
      <c r="L222" s="87" t="s">
        <v>394</v>
      </c>
      <c r="M222" s="87" t="s">
        <v>395</v>
      </c>
    </row>
    <row r="223" spans="12:13" x14ac:dyDescent="0.25">
      <c r="L223" s="87" t="s">
        <v>396</v>
      </c>
      <c r="M223" s="87" t="s">
        <v>397</v>
      </c>
    </row>
    <row r="224" spans="12:13" x14ac:dyDescent="0.25">
      <c r="L224" s="87" t="s">
        <v>398</v>
      </c>
      <c r="M224" s="87" t="s">
        <v>399</v>
      </c>
    </row>
    <row r="225" spans="12:13" x14ac:dyDescent="0.25">
      <c r="L225" s="87" t="s">
        <v>400</v>
      </c>
      <c r="M225" s="87" t="s">
        <v>401</v>
      </c>
    </row>
    <row r="226" spans="12:13" x14ac:dyDescent="0.25">
      <c r="L226" s="87" t="s">
        <v>402</v>
      </c>
      <c r="M226" s="87" t="s">
        <v>403</v>
      </c>
    </row>
    <row r="227" spans="12:13" x14ac:dyDescent="0.25">
      <c r="L227" s="87" t="s">
        <v>404</v>
      </c>
      <c r="M227" s="87" t="s">
        <v>405</v>
      </c>
    </row>
    <row r="228" spans="12:13" x14ac:dyDescent="0.25">
      <c r="L228" s="87" t="s">
        <v>406</v>
      </c>
      <c r="M228" s="87" t="s">
        <v>407</v>
      </c>
    </row>
    <row r="229" spans="12:13" x14ac:dyDescent="0.25">
      <c r="L229" s="87" t="s">
        <v>408</v>
      </c>
      <c r="M229" s="87" t="s">
        <v>409</v>
      </c>
    </row>
    <row r="230" spans="12:13" x14ac:dyDescent="0.25">
      <c r="L230" s="87" t="s">
        <v>410</v>
      </c>
      <c r="M230" s="87" t="s">
        <v>411</v>
      </c>
    </row>
    <row r="231" spans="12:13" x14ac:dyDescent="0.25">
      <c r="L231" s="87" t="s">
        <v>412</v>
      </c>
      <c r="M231" s="87" t="s">
        <v>413</v>
      </c>
    </row>
    <row r="232" spans="12:13" x14ac:dyDescent="0.25">
      <c r="L232" s="87" t="s">
        <v>414</v>
      </c>
      <c r="M232" s="87" t="s">
        <v>415</v>
      </c>
    </row>
    <row r="233" spans="12:13" x14ac:dyDescent="0.25">
      <c r="L233" s="87" t="s">
        <v>416</v>
      </c>
      <c r="M233" s="87" t="s">
        <v>417</v>
      </c>
    </row>
    <row r="234" spans="12:13" x14ac:dyDescent="0.25">
      <c r="L234" s="87" t="s">
        <v>418</v>
      </c>
      <c r="M234" s="87" t="s">
        <v>419</v>
      </c>
    </row>
    <row r="235" spans="12:13" x14ac:dyDescent="0.25">
      <c r="L235" s="87" t="s">
        <v>420</v>
      </c>
      <c r="M235" s="87" t="s">
        <v>421</v>
      </c>
    </row>
    <row r="236" spans="12:13" x14ac:dyDescent="0.25">
      <c r="L236" s="87" t="s">
        <v>422</v>
      </c>
      <c r="M236" s="87" t="s">
        <v>423</v>
      </c>
    </row>
    <row r="237" spans="12:13" x14ac:dyDescent="0.25">
      <c r="L237" s="87" t="s">
        <v>424</v>
      </c>
      <c r="M237" s="87" t="s">
        <v>425</v>
      </c>
    </row>
    <row r="238" spans="12:13" x14ac:dyDescent="0.25">
      <c r="L238" s="87" t="s">
        <v>426</v>
      </c>
      <c r="M238" s="87" t="s">
        <v>427</v>
      </c>
    </row>
    <row r="239" spans="12:13" x14ac:dyDescent="0.25">
      <c r="L239" s="87" t="s">
        <v>428</v>
      </c>
      <c r="M239" s="87" t="s">
        <v>429</v>
      </c>
    </row>
    <row r="240" spans="12:13" x14ac:dyDescent="0.25">
      <c r="L240" s="87" t="s">
        <v>430</v>
      </c>
      <c r="M240" s="87" t="s">
        <v>431</v>
      </c>
    </row>
    <row r="241" spans="12:13" x14ac:dyDescent="0.25">
      <c r="L241" s="87" t="s">
        <v>432</v>
      </c>
      <c r="M241" s="87" t="s">
        <v>433</v>
      </c>
    </row>
    <row r="242" spans="12:13" x14ac:dyDescent="0.25">
      <c r="L242" s="87" t="s">
        <v>434</v>
      </c>
      <c r="M242" s="87" t="s">
        <v>435</v>
      </c>
    </row>
    <row r="243" spans="12:13" x14ac:dyDescent="0.25">
      <c r="L243" s="87" t="s">
        <v>436</v>
      </c>
      <c r="M243" s="87" t="s">
        <v>437</v>
      </c>
    </row>
    <row r="244" spans="12:13" x14ac:dyDescent="0.25">
      <c r="L244" s="87" t="s">
        <v>438</v>
      </c>
      <c r="M244" s="87" t="s">
        <v>439</v>
      </c>
    </row>
    <row r="245" spans="12:13" x14ac:dyDescent="0.25">
      <c r="L245" s="87" t="s">
        <v>440</v>
      </c>
      <c r="M245" s="87" t="s">
        <v>441</v>
      </c>
    </row>
    <row r="246" spans="12:13" x14ac:dyDescent="0.25">
      <c r="L246" s="87" t="s">
        <v>442</v>
      </c>
      <c r="M246" s="87" t="s">
        <v>443</v>
      </c>
    </row>
    <row r="247" spans="12:13" x14ac:dyDescent="0.25">
      <c r="L247" s="87" t="s">
        <v>444</v>
      </c>
      <c r="M247" s="87" t="s">
        <v>445</v>
      </c>
    </row>
    <row r="248" spans="12:13" x14ac:dyDescent="0.25">
      <c r="L248" s="87" t="s">
        <v>446</v>
      </c>
      <c r="M248" s="87" t="s">
        <v>447</v>
      </c>
    </row>
    <row r="249" spans="12:13" x14ac:dyDescent="0.25">
      <c r="L249" s="87" t="s">
        <v>448</v>
      </c>
      <c r="M249" s="87" t="s">
        <v>449</v>
      </c>
    </row>
    <row r="250" spans="12:13" x14ac:dyDescent="0.25">
      <c r="L250" s="87" t="s">
        <v>450</v>
      </c>
      <c r="M250" s="87" t="s">
        <v>451</v>
      </c>
    </row>
    <row r="251" spans="12:13" x14ac:dyDescent="0.25">
      <c r="L251" s="87" t="s">
        <v>452</v>
      </c>
      <c r="M251" s="87" t="s">
        <v>453</v>
      </c>
    </row>
    <row r="252" spans="12:13" x14ac:dyDescent="0.25">
      <c r="L252" s="87" t="s">
        <v>454</v>
      </c>
      <c r="M252" s="87" t="s">
        <v>455</v>
      </c>
    </row>
    <row r="253" spans="12:13" x14ac:dyDescent="0.25">
      <c r="L253" s="87" t="s">
        <v>456</v>
      </c>
      <c r="M253" s="87" t="s">
        <v>457</v>
      </c>
    </row>
    <row r="254" spans="12:13" x14ac:dyDescent="0.25">
      <c r="L254" s="87" t="s">
        <v>458</v>
      </c>
      <c r="M254" s="87" t="s">
        <v>459</v>
      </c>
    </row>
    <row r="255" spans="12:13" x14ac:dyDescent="0.25">
      <c r="L255" s="87" t="s">
        <v>460</v>
      </c>
      <c r="M255" s="87" t="s">
        <v>461</v>
      </c>
    </row>
    <row r="256" spans="12:13" x14ac:dyDescent="0.25">
      <c r="L256" s="87" t="s">
        <v>462</v>
      </c>
      <c r="M256" s="87" t="s">
        <v>463</v>
      </c>
    </row>
    <row r="257" spans="12:13" x14ac:dyDescent="0.25">
      <c r="L257" s="87" t="s">
        <v>464</v>
      </c>
      <c r="M257" s="87" t="s">
        <v>465</v>
      </c>
    </row>
    <row r="258" spans="12:13" x14ac:dyDescent="0.25">
      <c r="L258" s="87" t="s">
        <v>466</v>
      </c>
      <c r="M258" s="87" t="s">
        <v>467</v>
      </c>
    </row>
    <row r="259" spans="12:13" x14ac:dyDescent="0.25">
      <c r="L259" s="87" t="s">
        <v>468</v>
      </c>
      <c r="M259" s="87" t="s">
        <v>469</v>
      </c>
    </row>
    <row r="260" spans="12:13" x14ac:dyDescent="0.25">
      <c r="L260" s="87" t="s">
        <v>470</v>
      </c>
      <c r="M260" s="87" t="s">
        <v>471</v>
      </c>
    </row>
    <row r="261" spans="12:13" x14ac:dyDescent="0.25">
      <c r="L261" s="87" t="s">
        <v>472</v>
      </c>
      <c r="M261" s="87" t="s">
        <v>473</v>
      </c>
    </row>
    <row r="262" spans="12:13" x14ac:dyDescent="0.25">
      <c r="L262" s="87" t="s">
        <v>474</v>
      </c>
      <c r="M262" s="87" t="s">
        <v>475</v>
      </c>
    </row>
    <row r="263" spans="12:13" x14ac:dyDescent="0.25">
      <c r="L263" s="87" t="s">
        <v>476</v>
      </c>
      <c r="M263" s="87" t="s">
        <v>477</v>
      </c>
    </row>
    <row r="264" spans="12:13" x14ac:dyDescent="0.25">
      <c r="L264" s="87" t="s">
        <v>478</v>
      </c>
      <c r="M264" s="87" t="s">
        <v>479</v>
      </c>
    </row>
    <row r="265" spans="12:13" x14ac:dyDescent="0.25">
      <c r="L265" s="87" t="s">
        <v>480</v>
      </c>
      <c r="M265" s="87" t="s">
        <v>481</v>
      </c>
    </row>
    <row r="266" spans="12:13" x14ac:dyDescent="0.25">
      <c r="L266" s="87" t="s">
        <v>482</v>
      </c>
      <c r="M266" s="87" t="s">
        <v>483</v>
      </c>
    </row>
    <row r="267" spans="12:13" x14ac:dyDescent="0.25">
      <c r="L267" s="87" t="s">
        <v>484</v>
      </c>
      <c r="M267" s="87" t="s">
        <v>485</v>
      </c>
    </row>
    <row r="268" spans="12:13" x14ac:dyDescent="0.25">
      <c r="L268" s="87" t="s">
        <v>486</v>
      </c>
      <c r="M268" s="87" t="s">
        <v>487</v>
      </c>
    </row>
    <row r="269" spans="12:13" x14ac:dyDescent="0.25">
      <c r="L269" s="87" t="s">
        <v>488</v>
      </c>
      <c r="M269" s="87" t="s">
        <v>489</v>
      </c>
    </row>
    <row r="270" spans="12:13" x14ac:dyDescent="0.25">
      <c r="L270" s="87" t="s">
        <v>490</v>
      </c>
      <c r="M270" s="87" t="s">
        <v>491</v>
      </c>
    </row>
    <row r="271" spans="12:13" x14ac:dyDescent="0.25">
      <c r="L271" s="87" t="s">
        <v>492</v>
      </c>
      <c r="M271" s="87" t="s">
        <v>493</v>
      </c>
    </row>
    <row r="273" spans="12:12" x14ac:dyDescent="0.25">
      <c r="L273" s="88" t="s">
        <v>496</v>
      </c>
    </row>
    <row r="274" spans="12:12" x14ac:dyDescent="0.25">
      <c r="L274" s="87" t="s">
        <v>497</v>
      </c>
    </row>
    <row r="275" spans="12:12" x14ac:dyDescent="0.25">
      <c r="L275" s="87" t="s">
        <v>498</v>
      </c>
    </row>
    <row r="276" spans="12:12" x14ac:dyDescent="0.25">
      <c r="L276" s="87" t="s">
        <v>499</v>
      </c>
    </row>
    <row r="277" spans="12:12" x14ac:dyDescent="0.25">
      <c r="L277" s="87" t="s">
        <v>500</v>
      </c>
    </row>
    <row r="278" spans="12:12" x14ac:dyDescent="0.25">
      <c r="L278" s="87" t="s">
        <v>501</v>
      </c>
    </row>
    <row r="279" spans="12:12" x14ac:dyDescent="0.25">
      <c r="L279" s="87" t="s">
        <v>502</v>
      </c>
    </row>
    <row r="280" spans="12:12" x14ac:dyDescent="0.25">
      <c r="L280" s="87" t="s">
        <v>503</v>
      </c>
    </row>
    <row r="281" spans="12:12" x14ac:dyDescent="0.25">
      <c r="L281" s="87" t="s">
        <v>504</v>
      </c>
    </row>
    <row r="282" spans="12:12" x14ac:dyDescent="0.25">
      <c r="L282" s="87" t="s">
        <v>505</v>
      </c>
    </row>
    <row r="283" spans="12:12" x14ac:dyDescent="0.25">
      <c r="L283" s="87" t="s">
        <v>506</v>
      </c>
    </row>
    <row r="284" spans="12:12" x14ac:dyDescent="0.25">
      <c r="L284" s="87" t="s">
        <v>507</v>
      </c>
    </row>
    <row r="285" spans="12:12" x14ac:dyDescent="0.25">
      <c r="L285" s="87" t="s">
        <v>508</v>
      </c>
    </row>
    <row r="286" spans="12:12" x14ac:dyDescent="0.25">
      <c r="L286" s="87" t="s">
        <v>509</v>
      </c>
    </row>
    <row r="287" spans="12:12" x14ac:dyDescent="0.25">
      <c r="L287" s="87" t="s">
        <v>510</v>
      </c>
    </row>
    <row r="288" spans="12:12" x14ac:dyDescent="0.25">
      <c r="L288" s="87" t="s">
        <v>511</v>
      </c>
    </row>
    <row r="289" spans="12:12" x14ac:dyDescent="0.25">
      <c r="L289" s="87" t="s">
        <v>512</v>
      </c>
    </row>
    <row r="290" spans="12:12" x14ac:dyDescent="0.25">
      <c r="L290" s="87" t="s">
        <v>513</v>
      </c>
    </row>
    <row r="291" spans="12:12" x14ac:dyDescent="0.25">
      <c r="L291" s="87" t="s">
        <v>514</v>
      </c>
    </row>
    <row r="292" spans="12:12" x14ac:dyDescent="0.25">
      <c r="L292" s="87" t="s">
        <v>515</v>
      </c>
    </row>
    <row r="293" spans="12:12" x14ac:dyDescent="0.25">
      <c r="L293" s="87" t="s">
        <v>516</v>
      </c>
    </row>
    <row r="294" spans="12:12" x14ac:dyDescent="0.25">
      <c r="L294" s="87" t="s">
        <v>517</v>
      </c>
    </row>
    <row r="295" spans="12:12" x14ac:dyDescent="0.25">
      <c r="L295" s="87" t="s">
        <v>518</v>
      </c>
    </row>
    <row r="296" spans="12:12" x14ac:dyDescent="0.25">
      <c r="L296" s="87" t="s">
        <v>519</v>
      </c>
    </row>
    <row r="297" spans="12:12" x14ac:dyDescent="0.25">
      <c r="L297" s="87" t="s">
        <v>520</v>
      </c>
    </row>
    <row r="298" spans="12:12" x14ac:dyDescent="0.25">
      <c r="L298" s="87" t="s">
        <v>521</v>
      </c>
    </row>
    <row r="299" spans="12:12" x14ac:dyDescent="0.25">
      <c r="L299" s="87" t="s">
        <v>522</v>
      </c>
    </row>
    <row r="300" spans="12:12" x14ac:dyDescent="0.25">
      <c r="L300" s="87" t="s">
        <v>523</v>
      </c>
    </row>
    <row r="302" spans="12:12" x14ac:dyDescent="0.25">
      <c r="L302" s="88" t="s">
        <v>524</v>
      </c>
    </row>
    <row r="303" spans="12:12" x14ac:dyDescent="0.25">
      <c r="L303" s="87" t="s">
        <v>525</v>
      </c>
    </row>
    <row r="304" spans="12:12" x14ac:dyDescent="0.25">
      <c r="L304" s="87" t="s">
        <v>526</v>
      </c>
    </row>
    <row r="305" spans="12:12" x14ac:dyDescent="0.25">
      <c r="L305" s="87" t="s">
        <v>527</v>
      </c>
    </row>
    <row r="306" spans="12:12" x14ac:dyDescent="0.25">
      <c r="L306" s="87" t="s">
        <v>528</v>
      </c>
    </row>
    <row r="307" spans="12:12" x14ac:dyDescent="0.25">
      <c r="L307" s="87" t="s">
        <v>529</v>
      </c>
    </row>
    <row r="308" spans="12:12" x14ac:dyDescent="0.25">
      <c r="L308" s="87" t="s">
        <v>530</v>
      </c>
    </row>
    <row r="309" spans="12:12" x14ac:dyDescent="0.25">
      <c r="L309" s="87" t="s">
        <v>531</v>
      </c>
    </row>
    <row r="310" spans="12:12" x14ac:dyDescent="0.25">
      <c r="L310" s="87" t="s">
        <v>532</v>
      </c>
    </row>
    <row r="311" spans="12:12" x14ac:dyDescent="0.25">
      <c r="L311" s="87" t="s">
        <v>533</v>
      </c>
    </row>
    <row r="312" spans="12:12" x14ac:dyDescent="0.25">
      <c r="L312" s="87" t="s">
        <v>534</v>
      </c>
    </row>
    <row r="313" spans="12:12" x14ac:dyDescent="0.25">
      <c r="L313" s="87" t="s">
        <v>535</v>
      </c>
    </row>
    <row r="314" spans="12:12" x14ac:dyDescent="0.25">
      <c r="L314" s="87" t="s">
        <v>536</v>
      </c>
    </row>
    <row r="315" spans="12:12" x14ac:dyDescent="0.25">
      <c r="L315" s="87" t="s">
        <v>537</v>
      </c>
    </row>
    <row r="316" spans="12:12" x14ac:dyDescent="0.25">
      <c r="L316" s="87" t="s">
        <v>538</v>
      </c>
    </row>
    <row r="317" spans="12:12" x14ac:dyDescent="0.25">
      <c r="L317" s="87" t="s">
        <v>539</v>
      </c>
    </row>
    <row r="318" spans="12:12" x14ac:dyDescent="0.25">
      <c r="L318" s="87" t="s">
        <v>540</v>
      </c>
    </row>
    <row r="319" spans="12:12" x14ac:dyDescent="0.25">
      <c r="L319" s="87" t="s">
        <v>541</v>
      </c>
    </row>
    <row r="320" spans="12:12" x14ac:dyDescent="0.25">
      <c r="L320" s="87" t="s">
        <v>542</v>
      </c>
    </row>
    <row r="321" spans="12:12" x14ac:dyDescent="0.25">
      <c r="L321" s="87" t="s">
        <v>543</v>
      </c>
    </row>
  </sheetData>
  <sheetProtection algorithmName="SHA-512" hashValue="BO0l2jqHrVkg2pwkm8ygbFkxcVENueXBGrGDSzxaWFTdYtx4JDRkDXXrGKJpKYYyNaIuwzh1gZBinu7VvJXE4A==" saltValue="thDdh0MwQrUAUP/ADc/YVw==" spinCount="100000" sheet="1" objects="1" scenarios="1"/>
  <mergeCells count="4">
    <mergeCell ref="C28:F28"/>
    <mergeCell ref="C3:F3"/>
    <mergeCell ref="C17:D17"/>
    <mergeCell ref="C15:E15"/>
  </mergeCells>
  <dataValidations count="9">
    <dataValidation type="list" allowBlank="1" showInputMessage="1" showErrorMessage="1" sqref="F23" xr:uid="{00000000-0002-0000-0000-000000000000}">
      <formula1>newMet</formula1>
    </dataValidation>
    <dataValidation type="whole" allowBlank="1" showInputMessage="1" showErrorMessage="1" error="Character are not allowed in this field." sqref="F20" xr:uid="{00000000-0002-0000-0000-000001000000}">
      <formula1>0</formula1>
      <formula2>999999999</formula2>
    </dataValidation>
    <dataValidation allowBlank="1" showInputMessage="1" showErrorMessage="1" error="Year must be four digit." sqref="F16:F17" xr:uid="{00000000-0002-0000-0000-000002000000}"/>
    <dataValidation type="decimal" allowBlank="1" showInputMessage="1" showErrorMessage="1" error="Character are not allowed in this field." sqref="F18: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8" xr:uid="{48D7BC0A-A343-4A59-A7BB-7A49B6415B99}">
      <formula1>T18</formula1>
    </dataValidation>
    <dataValidation type="date" operator="lessThanOrEqual" allowBlank="1" showInputMessage="1" showErrorMessage="1" errorTitle="Invalid Date" error="Please enter a valid date" sqref="E19" xr:uid="{2734617D-626A-4523-B8EE-6A26CDE5FAA5}">
      <formula1>T18</formula1>
    </dataValidation>
    <dataValidation type="date" operator="lessThanOrEqual" allowBlank="1" showInputMessage="1" showErrorMessage="1" errorTitle="Invalid Date" error="Please enter a valid date" sqref="E20" xr:uid="{620F32E3-E624-4803-BEFB-EE5CD5428D2F}">
      <formula1>T18</formula1>
    </dataValidation>
    <dataValidation type="whole" allowBlank="1" showInputMessage="1" showErrorMessage="1" error="Year must be four digit." sqref="F15" xr:uid="{BDBE9E17-F406-4F82-9B9F-DB8000FBCEA2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24</xdr:row>
                    <xdr:rowOff>76200</xdr:rowOff>
                  </from>
                  <to>
                    <xdr:col>3</xdr:col>
                    <xdr:colOff>561975</xdr:colOff>
                    <xdr:row>24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24</xdr:row>
                    <xdr:rowOff>76200</xdr:rowOff>
                  </from>
                  <to>
                    <xdr:col>3</xdr:col>
                    <xdr:colOff>1895475</xdr:colOff>
                    <xdr:row>24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2" t="str">
        <f ca="1">B1</f>
        <v>base_w</v>
      </c>
      <c r="E1" s="1"/>
    </row>
    <row r="2" spans="1:9" x14ac:dyDescent="0.25">
      <c r="A2" s="4" t="s">
        <v>601</v>
      </c>
      <c r="B2" s="174" t="s">
        <v>568</v>
      </c>
      <c r="C2" s="179"/>
      <c r="D2" s="175"/>
      <c r="E2" s="1"/>
    </row>
    <row r="3" spans="1:9" x14ac:dyDescent="0.25">
      <c r="A3" s="4" t="s">
        <v>601</v>
      </c>
      <c r="B3" s="173" t="s">
        <v>697</v>
      </c>
      <c r="C3" s="9"/>
      <c r="D3" s="175" t="s">
        <v>692</v>
      </c>
      <c r="E3" s="1"/>
    </row>
    <row r="4" spans="1:9" x14ac:dyDescent="0.25">
      <c r="A4" s="4" t="s">
        <v>601</v>
      </c>
      <c r="B4" s="173" t="s">
        <v>569</v>
      </c>
      <c r="C4" s="9"/>
      <c r="D4" s="175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9" ht="24.75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4" t="s">
        <v>568</v>
      </c>
      <c r="C2" s="179"/>
      <c r="D2" s="175"/>
      <c r="E2" s="1"/>
    </row>
    <row r="3" spans="1:10" x14ac:dyDescent="0.25">
      <c r="A3" s="4" t="s">
        <v>601</v>
      </c>
      <c r="B3" s="173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173" t="s">
        <v>569</v>
      </c>
      <c r="C4" s="9"/>
      <c r="D4" s="175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75"/>
      <c r="E2" s="1"/>
    </row>
    <row r="3" spans="1:24" ht="29.25" customHeight="1" x14ac:dyDescent="0.25">
      <c r="A3" s="4" t="s">
        <v>601</v>
      </c>
      <c r="B3" s="173" t="s">
        <v>570</v>
      </c>
      <c r="C3" s="180"/>
      <c r="D3" s="176" t="s">
        <v>516</v>
      </c>
      <c r="E3" s="1"/>
    </row>
    <row r="4" spans="1:24" ht="15.75" customHeight="1" x14ac:dyDescent="0.25">
      <c r="A4" s="4" t="s">
        <v>601</v>
      </c>
      <c r="B4" s="173" t="s">
        <v>569</v>
      </c>
      <c r="C4" s="9"/>
      <c r="D4" s="177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topLeftCell="D1" zoomScale="90" zoomScaleNormal="90" workbookViewId="0">
      <selection activeCell="F26" sqref="F26"/>
    </sheetView>
  </sheetViews>
  <sheetFormatPr defaultColWidth="9.140625" defaultRowHeight="12.75" x14ac:dyDescent="0.2"/>
  <cols>
    <col min="1" max="1" width="2.7109375" style="167" customWidth="1"/>
    <col min="2" max="2" width="38.5703125" style="112" customWidth="1"/>
    <col min="3" max="3" width="45.7109375" style="112" customWidth="1"/>
    <col min="4" max="4" width="15.7109375" style="112" customWidth="1"/>
    <col min="5" max="5" width="14.7109375" style="112" customWidth="1"/>
    <col min="6" max="6" width="19.85546875" style="112" customWidth="1"/>
    <col min="7" max="9" width="14.7109375" style="112" customWidth="1"/>
    <col min="10" max="11" width="9.140625" style="112" hidden="1" customWidth="1"/>
    <col min="12" max="12" width="9.140625" style="112" customWidth="1"/>
    <col min="13" max="13" width="16.7109375" style="112" customWidth="1"/>
    <col min="14" max="16384" width="9.140625" style="112"/>
  </cols>
  <sheetData>
    <row r="1" spans="1:12" s="109" customFormat="1" ht="15" customHeight="1" x14ac:dyDescent="0.2">
      <c r="A1" s="166"/>
      <c r="B1" s="108"/>
      <c r="C1" s="108"/>
      <c r="D1" s="108"/>
      <c r="E1" s="108"/>
      <c r="F1" s="108"/>
      <c r="G1" s="108"/>
      <c r="H1" s="108"/>
      <c r="I1" s="108"/>
    </row>
    <row r="2" spans="1:12" s="109" customFormat="1" ht="20.25" customHeight="1" x14ac:dyDescent="0.2">
      <c r="A2" s="166"/>
      <c r="B2" s="110" t="s">
        <v>621</v>
      </c>
      <c r="C2" s="111"/>
      <c r="D2" s="111"/>
      <c r="E2" s="111"/>
      <c r="F2" s="111"/>
      <c r="G2" s="111"/>
      <c r="H2" s="111"/>
      <c r="I2" s="111"/>
    </row>
    <row r="3" spans="1:12" s="109" customFormat="1" ht="14.25" customHeight="1" x14ac:dyDescent="0.2">
      <c r="A3" s="166"/>
      <c r="B3" s="108"/>
      <c r="C3" s="108"/>
      <c r="D3" s="108"/>
      <c r="E3" s="108"/>
      <c r="F3" s="108"/>
      <c r="G3" s="108"/>
      <c r="H3" s="108"/>
      <c r="I3" s="108"/>
    </row>
    <row r="4" spans="1:12" ht="46.15" customHeight="1" x14ac:dyDescent="0.2">
      <c r="B4" s="211" t="s">
        <v>604</v>
      </c>
      <c r="C4" s="211"/>
      <c r="D4" s="211"/>
      <c r="E4" s="211"/>
      <c r="F4" s="211"/>
      <c r="G4" s="211"/>
      <c r="H4" s="211"/>
      <c r="I4" s="211"/>
    </row>
    <row r="5" spans="1:12" ht="17.45" customHeight="1" x14ac:dyDescent="0.2">
      <c r="A5" s="168"/>
      <c r="B5" s="113"/>
      <c r="C5" s="114"/>
      <c r="D5" s="114"/>
      <c r="E5" s="114"/>
      <c r="F5" s="115"/>
      <c r="G5" s="116" t="s">
        <v>605</v>
      </c>
      <c r="H5" s="117"/>
      <c r="I5" s="118"/>
      <c r="J5" s="119"/>
      <c r="K5" s="119"/>
    </row>
    <row r="6" spans="1:12" ht="44.45" customHeight="1" x14ac:dyDescent="0.2">
      <c r="A6" s="169">
        <v>19</v>
      </c>
      <c r="B6" s="120" t="s">
        <v>606</v>
      </c>
      <c r="C6" s="121" t="s">
        <v>607</v>
      </c>
      <c r="D6" s="121" t="str">
        <f>CONCATENATE("Gross 
Floor Area
",IF(Setup!$F$9="SI Units","(sq m)","(sq ft)"))</f>
        <v>Gross 
Floor Area
(sq ft)</v>
      </c>
      <c r="E6" s="121" t="s">
        <v>608</v>
      </c>
      <c r="F6" s="121" t="s">
        <v>609</v>
      </c>
      <c r="G6" s="122" t="s">
        <v>610</v>
      </c>
      <c r="H6" s="123" t="s">
        <v>611</v>
      </c>
      <c r="I6" s="124" t="s">
        <v>612</v>
      </c>
      <c r="J6" s="125" t="s">
        <v>613</v>
      </c>
      <c r="K6" s="164" t="s">
        <v>614</v>
      </c>
      <c r="L6" s="165"/>
    </row>
    <row r="7" spans="1:12" ht="15" customHeight="1" x14ac:dyDescent="0.2">
      <c r="A7" s="126"/>
      <c r="B7" s="127" t="s">
        <v>729</v>
      </c>
      <c r="C7" s="131" t="s">
        <v>635</v>
      </c>
      <c r="D7" s="129">
        <v>111</v>
      </c>
      <c r="E7" s="128">
        <v>10</v>
      </c>
      <c r="F7" s="128">
        <v>1</v>
      </c>
      <c r="G7" s="128">
        <v>2</v>
      </c>
      <c r="H7" s="132">
        <v>2</v>
      </c>
      <c r="I7" s="130">
        <v>3</v>
      </c>
      <c r="J7" s="112">
        <f t="shared" ref="J7" si="0">E7*D7</f>
        <v>1110</v>
      </c>
      <c r="K7" s="112">
        <f t="shared" ref="K7" si="1">E7/7</f>
        <v>1.4285714285714286</v>
      </c>
    </row>
    <row r="8" spans="1:12" ht="15" customHeight="1" x14ac:dyDescent="0.2">
      <c r="A8" s="126"/>
      <c r="B8" s="127" t="s">
        <v>730</v>
      </c>
      <c r="C8" s="131" t="s">
        <v>636</v>
      </c>
      <c r="D8" s="129">
        <v>20</v>
      </c>
      <c r="E8" s="128">
        <v>10</v>
      </c>
      <c r="F8" s="128">
        <v>1</v>
      </c>
      <c r="G8" s="128">
        <v>1</v>
      </c>
      <c r="H8" s="132">
        <v>11</v>
      </c>
      <c r="I8" s="130">
        <v>8</v>
      </c>
      <c r="J8" s="112">
        <f t="shared" ref="J8:J16" si="2">E8*D8</f>
        <v>200</v>
      </c>
      <c r="K8" s="112">
        <f t="shared" ref="K8:K16" si="3">E8/7</f>
        <v>1.4285714285714286</v>
      </c>
    </row>
    <row r="9" spans="1:12" ht="15" customHeight="1" x14ac:dyDescent="0.2">
      <c r="A9" s="126"/>
      <c r="B9" s="127" t="s">
        <v>731</v>
      </c>
      <c r="C9" s="131" t="s">
        <v>638</v>
      </c>
      <c r="D9" s="129">
        <v>20</v>
      </c>
      <c r="E9" s="128">
        <v>20</v>
      </c>
      <c r="F9" s="128">
        <v>23</v>
      </c>
      <c r="G9" s="128">
        <v>22</v>
      </c>
      <c r="H9" s="132">
        <v>3</v>
      </c>
      <c r="I9" s="130">
        <v>23</v>
      </c>
      <c r="J9" s="112">
        <f t="shared" si="2"/>
        <v>400</v>
      </c>
      <c r="K9" s="112">
        <f t="shared" si="3"/>
        <v>2.8571428571428572</v>
      </c>
    </row>
    <row r="10" spans="1:12" ht="15" customHeight="1" x14ac:dyDescent="0.2">
      <c r="A10" s="126"/>
      <c r="B10" s="127" t="s">
        <v>732</v>
      </c>
      <c r="C10" s="131" t="s">
        <v>640</v>
      </c>
      <c r="D10" s="129">
        <v>22</v>
      </c>
      <c r="E10" s="128">
        <v>33</v>
      </c>
      <c r="F10" s="128">
        <v>33</v>
      </c>
      <c r="G10" s="128">
        <v>33</v>
      </c>
      <c r="H10" s="132">
        <v>3</v>
      </c>
      <c r="I10" s="130">
        <v>21</v>
      </c>
      <c r="J10" s="112">
        <f t="shared" si="2"/>
        <v>726</v>
      </c>
      <c r="K10" s="112">
        <f t="shared" si="3"/>
        <v>4.7142857142857144</v>
      </c>
    </row>
    <row r="11" spans="1:12" ht="15" customHeight="1" x14ac:dyDescent="0.2">
      <c r="A11" s="126"/>
      <c r="B11" s="127" t="s">
        <v>733</v>
      </c>
      <c r="C11" s="131" t="s">
        <v>663</v>
      </c>
      <c r="D11" s="129">
        <v>1111</v>
      </c>
      <c r="E11" s="128">
        <v>1</v>
      </c>
      <c r="F11" s="128">
        <v>1</v>
      </c>
      <c r="G11" s="128">
        <v>1</v>
      </c>
      <c r="H11" s="132">
        <v>1</v>
      </c>
      <c r="I11" s="130">
        <v>7</v>
      </c>
      <c r="J11" s="112">
        <f t="shared" si="2"/>
        <v>1111</v>
      </c>
      <c r="K11" s="112">
        <f t="shared" si="3"/>
        <v>0.14285714285714285</v>
      </c>
    </row>
    <row r="12" spans="1:12" ht="15" customHeight="1" x14ac:dyDescent="0.2">
      <c r="A12" s="126"/>
      <c r="B12" s="127"/>
      <c r="C12" s="131"/>
      <c r="D12" s="129"/>
      <c r="E12" s="128">
        <v>10</v>
      </c>
      <c r="F12" s="128"/>
      <c r="G12" s="128"/>
      <c r="H12" s="132"/>
      <c r="I12" s="130">
        <v>0</v>
      </c>
      <c r="J12" s="112">
        <f t="shared" si="2"/>
        <v>0</v>
      </c>
      <c r="K12" s="112">
        <f t="shared" si="3"/>
        <v>1.4285714285714286</v>
      </c>
    </row>
    <row r="13" spans="1:12" ht="15" customHeight="1" x14ac:dyDescent="0.2">
      <c r="A13" s="126"/>
      <c r="B13" s="127"/>
      <c r="C13" s="131"/>
      <c r="D13" s="129"/>
      <c r="E13" s="128"/>
      <c r="F13" s="128"/>
      <c r="G13" s="128"/>
      <c r="H13" s="132"/>
      <c r="I13" s="130" t="str">
        <f t="shared" ref="I13:I16" si="4">IFERROR((G13/K13)*H13," ")</f>
        <v xml:space="preserve"> </v>
      </c>
      <c r="J13" s="112">
        <f t="shared" si="2"/>
        <v>0</v>
      </c>
      <c r="K13" s="112">
        <f t="shared" si="3"/>
        <v>0</v>
      </c>
    </row>
    <row r="14" spans="1:12" ht="15" customHeight="1" x14ac:dyDescent="0.2">
      <c r="A14" s="126"/>
      <c r="B14" s="127"/>
      <c r="C14" s="131"/>
      <c r="D14" s="129"/>
      <c r="E14" s="128"/>
      <c r="F14" s="128"/>
      <c r="G14" s="128"/>
      <c r="H14" s="132"/>
      <c r="I14" s="130" t="str">
        <f t="shared" si="4"/>
        <v xml:space="preserve"> </v>
      </c>
      <c r="J14" s="112">
        <f t="shared" si="2"/>
        <v>0</v>
      </c>
      <c r="K14" s="112">
        <f t="shared" si="3"/>
        <v>0</v>
      </c>
    </row>
    <row r="15" spans="1:12" ht="15" customHeight="1" x14ac:dyDescent="0.2">
      <c r="A15" s="126"/>
      <c r="B15" s="127"/>
      <c r="C15" s="131"/>
      <c r="D15" s="129"/>
      <c r="E15" s="128"/>
      <c r="F15" s="128"/>
      <c r="G15" s="128"/>
      <c r="H15" s="132"/>
      <c r="I15" s="130" t="str">
        <f t="shared" si="4"/>
        <v xml:space="preserve"> </v>
      </c>
      <c r="J15" s="112">
        <f t="shared" si="2"/>
        <v>0</v>
      </c>
      <c r="K15" s="112">
        <f t="shared" si="3"/>
        <v>0</v>
      </c>
    </row>
    <row r="16" spans="1:12" ht="15" customHeight="1" x14ac:dyDescent="0.2">
      <c r="A16" s="126"/>
      <c r="B16" s="127"/>
      <c r="C16" s="131"/>
      <c r="D16" s="129"/>
      <c r="E16" s="128"/>
      <c r="F16" s="128"/>
      <c r="G16" s="128"/>
      <c r="H16" s="132"/>
      <c r="I16" s="130" t="str">
        <f t="shared" si="4"/>
        <v xml:space="preserve"> </v>
      </c>
      <c r="J16" s="112">
        <f t="shared" si="2"/>
        <v>0</v>
      </c>
      <c r="K16" s="112">
        <f t="shared" si="3"/>
        <v>0</v>
      </c>
    </row>
    <row r="17" spans="1:11" ht="15" customHeight="1" x14ac:dyDescent="0.2">
      <c r="A17" s="126"/>
      <c r="B17" s="127"/>
      <c r="C17" s="131"/>
      <c r="D17" s="129"/>
      <c r="E17" s="128"/>
      <c r="F17" s="128"/>
      <c r="G17" s="128"/>
      <c r="H17" s="132"/>
      <c r="I17" s="130" t="str">
        <f t="shared" ref="I17:I18" si="5">IFERROR((G17/K17)*H17," ")</f>
        <v xml:space="preserve"> </v>
      </c>
      <c r="J17" s="112">
        <f t="shared" ref="J17:J18" si="6">E17*D17</f>
        <v>0</v>
      </c>
      <c r="K17" s="112">
        <f t="shared" ref="K17:K18" si="7">E17/7</f>
        <v>0</v>
      </c>
    </row>
    <row r="18" spans="1:11" ht="15" customHeight="1" x14ac:dyDescent="0.2">
      <c r="A18" s="126"/>
      <c r="B18" s="127"/>
      <c r="C18" s="131"/>
      <c r="D18" s="129"/>
      <c r="E18" s="128"/>
      <c r="F18" s="128"/>
      <c r="G18" s="128"/>
      <c r="H18" s="132"/>
      <c r="I18" s="130" t="str">
        <f t="shared" si="5"/>
        <v xml:space="preserve"> </v>
      </c>
      <c r="J18" s="112">
        <f t="shared" si="6"/>
        <v>0</v>
      </c>
      <c r="K18" s="112">
        <f t="shared" si="7"/>
        <v>0</v>
      </c>
    </row>
    <row r="19" spans="1:11" ht="20.25" customHeight="1" x14ac:dyDescent="0.2">
      <c r="A19" s="126" t="s">
        <v>549</v>
      </c>
      <c r="B19" s="212" t="s">
        <v>615</v>
      </c>
      <c r="C19" s="213"/>
      <c r="D19" s="185">
        <f>IFERROR(SUM(D7:D18)," ")</f>
        <v>1284</v>
      </c>
      <c r="E19" s="133">
        <f>SUM(E7:E18)</f>
        <v>84</v>
      </c>
      <c r="F19" s="133">
        <f>SUM(F7:F18)+J22</f>
        <v>74.125</v>
      </c>
      <c r="G19" s="133">
        <f>SUM(G7:G18)</f>
        <v>59</v>
      </c>
      <c r="H19" s="133">
        <f>SUM(H7:H18)</f>
        <v>20</v>
      </c>
      <c r="I19" s="134">
        <f>SUM(I7:I18)</f>
        <v>62</v>
      </c>
    </row>
    <row r="20" spans="1:11" ht="33.75" customHeight="1" x14ac:dyDescent="0.2"/>
    <row r="22" spans="1:11" x14ac:dyDescent="0.2">
      <c r="A22" s="170"/>
      <c r="B22" s="214" t="str">
        <f>CONCATENATE("Gross 
Floor Area 
",IF(Setup!$F$9="SI Units","(sq m)","(sq ft)"))</f>
        <v>Gross 
Floor Area 
(sq ft)</v>
      </c>
      <c r="C22" s="215"/>
      <c r="D22" s="183">
        <f>IFERROR(D19," ")</f>
        <v>1284</v>
      </c>
      <c r="F22" s="135"/>
      <c r="G22" s="216" t="s">
        <v>616</v>
      </c>
      <c r="H22" s="217"/>
      <c r="J22" s="171">
        <f>(G24*H24)/8</f>
        <v>15.125</v>
      </c>
    </row>
    <row r="23" spans="1:11" ht="38.25" x14ac:dyDescent="0.2">
      <c r="A23" s="170"/>
      <c r="B23" s="209" t="s">
        <v>617</v>
      </c>
      <c r="C23" s="218"/>
      <c r="D23" s="184">
        <f>IFERROR(SUM(J7:J18)/D19," ")</f>
        <v>2.7624610591900312</v>
      </c>
      <c r="G23" s="136" t="s">
        <v>618</v>
      </c>
      <c r="H23" s="136" t="s">
        <v>619</v>
      </c>
    </row>
    <row r="24" spans="1:11" x14ac:dyDescent="0.2">
      <c r="A24" s="170"/>
      <c r="B24" s="209" t="s">
        <v>620</v>
      </c>
      <c r="C24" s="210"/>
      <c r="D24" s="137">
        <f>IFERROR((F19+I19)," ")</f>
        <v>136.125</v>
      </c>
      <c r="G24" s="138">
        <v>11</v>
      </c>
      <c r="H24" s="139">
        <v>11</v>
      </c>
    </row>
    <row r="25" spans="1:11" x14ac:dyDescent="0.2">
      <c r="C25" s="140"/>
      <c r="D25" s="140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 D7:D18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topLeftCell="A10" zoomScaleNormal="100" workbookViewId="0">
      <selection activeCell="B24" sqref="B24"/>
    </sheetView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21" t="s">
        <v>568</v>
      </c>
      <c r="C2" s="222"/>
      <c r="D2" s="35" t="s">
        <v>603</v>
      </c>
      <c r="E2" s="1"/>
    </row>
    <row r="3" spans="1:6" x14ac:dyDescent="0.25">
      <c r="A3" s="4" t="s">
        <v>601</v>
      </c>
      <c r="B3" s="219" t="s">
        <v>697</v>
      </c>
      <c r="C3" s="220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2" t="s">
        <v>631</v>
      </c>
      <c r="C5" s="107"/>
      <c r="D5" s="161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DMVflNu6hXVCodccV/c8lZcVvXUuIGiK3b+Q6EHPkPOG8zrdbowcWrkWJ6K79NXQo0l2ScST09gz1tmxyML++g==" saltValue="F9aa2y0yMCA7+of5hv8lMA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 activeCell="F24" sqref="F24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734</v>
      </c>
      <c r="C3" s="79">
        <v>223</v>
      </c>
      <c r="D3" s="99">
        <v>44012</v>
      </c>
      <c r="E3" s="105">
        <v>0.375</v>
      </c>
      <c r="F3" s="100">
        <v>0.62</v>
      </c>
    </row>
    <row r="4" spans="1:6" x14ac:dyDescent="0.25">
      <c r="B4" s="78" t="s">
        <v>735</v>
      </c>
      <c r="C4" s="79">
        <v>224</v>
      </c>
      <c r="D4" s="99">
        <v>43982</v>
      </c>
      <c r="E4" s="105">
        <v>0.41666666666666669</v>
      </c>
      <c r="F4" s="100">
        <v>0.19</v>
      </c>
    </row>
    <row r="5" spans="1:6" x14ac:dyDescent="0.25">
      <c r="A5" s="41">
        <v>0</v>
      </c>
      <c r="B5" s="78" t="s">
        <v>736</v>
      </c>
      <c r="C5" s="79">
        <v>225</v>
      </c>
      <c r="D5" s="99">
        <v>43951</v>
      </c>
      <c r="E5" s="105">
        <v>0.45833333333333331</v>
      </c>
      <c r="F5" s="100">
        <v>0.44</v>
      </c>
    </row>
    <row r="6" spans="1:6" x14ac:dyDescent="0.25">
      <c r="A6" s="41">
        <v>0</v>
      </c>
      <c r="B6" s="78" t="s">
        <v>737</v>
      </c>
      <c r="C6" s="79">
        <v>226</v>
      </c>
      <c r="D6" s="99">
        <v>43921</v>
      </c>
      <c r="E6" s="105">
        <v>0.10416666666666667</v>
      </c>
      <c r="F6" s="100">
        <v>0.73</v>
      </c>
    </row>
    <row r="7" spans="1:6" x14ac:dyDescent="0.25">
      <c r="A7" s="41">
        <v>0</v>
      </c>
      <c r="B7" s="78" t="s">
        <v>738</v>
      </c>
      <c r="C7" s="79">
        <v>227</v>
      </c>
      <c r="D7" s="99">
        <v>43889</v>
      </c>
      <c r="E7" s="105">
        <v>0.14583333333333334</v>
      </c>
      <c r="F7" s="100">
        <v>0.99</v>
      </c>
    </row>
    <row r="8" spans="1:6" x14ac:dyDescent="0.25">
      <c r="A8" s="41">
        <v>0</v>
      </c>
      <c r="B8" s="78" t="s">
        <v>735</v>
      </c>
      <c r="C8" s="79">
        <v>228</v>
      </c>
      <c r="D8" s="99">
        <v>43861</v>
      </c>
      <c r="E8" s="105">
        <v>8.3333333333333329E-2</v>
      </c>
      <c r="F8" s="100">
        <v>0.11</v>
      </c>
    </row>
    <row r="9" spans="1:6" x14ac:dyDescent="0.25">
      <c r="A9" s="41">
        <v>0</v>
      </c>
      <c r="B9" s="78" t="s">
        <v>736</v>
      </c>
      <c r="C9" s="79">
        <v>229</v>
      </c>
      <c r="D9" s="99">
        <v>43830</v>
      </c>
      <c r="E9" s="105">
        <v>0.125</v>
      </c>
      <c r="F9" s="100">
        <v>0.25</v>
      </c>
    </row>
    <row r="10" spans="1:6" x14ac:dyDescent="0.25">
      <c r="A10" s="41">
        <v>0</v>
      </c>
      <c r="B10" s="78" t="s">
        <v>734</v>
      </c>
      <c r="C10" s="79">
        <v>230</v>
      </c>
      <c r="D10" s="99">
        <v>43799</v>
      </c>
      <c r="E10" s="105">
        <v>0.33333333333333331</v>
      </c>
      <c r="F10" s="100">
        <v>0.25</v>
      </c>
    </row>
    <row r="11" spans="1:6" x14ac:dyDescent="0.25">
      <c r="A11" s="41">
        <v>0</v>
      </c>
      <c r="B11" s="78" t="s">
        <v>739</v>
      </c>
      <c r="C11" s="79">
        <v>231</v>
      </c>
      <c r="D11" s="99">
        <v>43769</v>
      </c>
      <c r="E11" s="105">
        <v>0.30555555555555552</v>
      </c>
      <c r="F11" s="100">
        <v>0.33</v>
      </c>
    </row>
    <row r="12" spans="1:6" x14ac:dyDescent="0.25">
      <c r="A12" s="41">
        <v>0</v>
      </c>
      <c r="B12" s="78" t="s">
        <v>740</v>
      </c>
      <c r="C12" s="79">
        <v>232</v>
      </c>
      <c r="D12" s="99">
        <v>43738</v>
      </c>
      <c r="E12" s="105">
        <v>0.26458333333333334</v>
      </c>
      <c r="F12" s="100">
        <v>0.19</v>
      </c>
    </row>
    <row r="13" spans="1:6" x14ac:dyDescent="0.25">
      <c r="A13" s="41">
        <v>0</v>
      </c>
      <c r="B13" s="78" t="s">
        <v>741</v>
      </c>
      <c r="C13" s="79">
        <v>233</v>
      </c>
      <c r="D13" s="99">
        <v>43708</v>
      </c>
      <c r="E13" s="105">
        <v>0.5083333333333333</v>
      </c>
      <c r="F13" s="100">
        <v>0.5</v>
      </c>
    </row>
    <row r="14" spans="1:6" x14ac:dyDescent="0.25">
      <c r="A14" s="41">
        <v>0</v>
      </c>
      <c r="B14" s="78" t="s">
        <v>742</v>
      </c>
      <c r="C14" s="79">
        <v>234</v>
      </c>
      <c r="D14" s="99">
        <v>43677</v>
      </c>
      <c r="E14" s="105">
        <v>5.486111111111111E-2</v>
      </c>
      <c r="F14" s="100">
        <v>0.5</v>
      </c>
    </row>
    <row r="15" spans="1:6" x14ac:dyDescent="0.25">
      <c r="A15" s="41">
        <v>0</v>
      </c>
      <c r="B15" s="78" t="s">
        <v>743</v>
      </c>
      <c r="C15" s="79">
        <v>235</v>
      </c>
      <c r="D15" s="99">
        <v>43646</v>
      </c>
      <c r="E15" s="105">
        <v>0.38194444444444442</v>
      </c>
      <c r="F15" s="100">
        <v>0.5</v>
      </c>
    </row>
    <row r="16" spans="1:6" x14ac:dyDescent="0.25">
      <c r="A16" s="41">
        <v>0</v>
      </c>
      <c r="B16" s="78" t="s">
        <v>734</v>
      </c>
      <c r="C16" s="79">
        <v>236</v>
      </c>
      <c r="D16" s="99">
        <v>43616</v>
      </c>
      <c r="E16" s="105">
        <v>0.375</v>
      </c>
      <c r="F16" s="100">
        <v>0.19</v>
      </c>
    </row>
    <row r="17" spans="1:31" x14ac:dyDescent="0.25">
      <c r="A17" s="41">
        <v>0</v>
      </c>
      <c r="B17" s="78" t="s">
        <v>735</v>
      </c>
      <c r="C17" s="79">
        <v>237</v>
      </c>
      <c r="D17" s="99">
        <v>43585</v>
      </c>
      <c r="E17" s="105">
        <v>0.41666666666666669</v>
      </c>
      <c r="F17" s="100">
        <v>0.44</v>
      </c>
    </row>
    <row r="18" spans="1:31" x14ac:dyDescent="0.25">
      <c r="A18" s="41">
        <v>0</v>
      </c>
      <c r="B18" s="78" t="s">
        <v>736</v>
      </c>
      <c r="C18" s="79">
        <v>238</v>
      </c>
      <c r="D18" s="99">
        <v>43555</v>
      </c>
      <c r="E18" s="105">
        <v>0.45833333333333331</v>
      </c>
      <c r="F18" s="100">
        <v>0.73</v>
      </c>
    </row>
    <row r="19" spans="1:31" x14ac:dyDescent="0.25">
      <c r="A19" s="41">
        <v>0</v>
      </c>
      <c r="B19" s="78" t="s">
        <v>737</v>
      </c>
      <c r="C19" s="79">
        <v>239</v>
      </c>
      <c r="D19" s="99">
        <v>43524</v>
      </c>
      <c r="E19" s="105">
        <v>0.10416666666666667</v>
      </c>
      <c r="F19" s="100">
        <v>0.99</v>
      </c>
    </row>
    <row r="20" spans="1:31" x14ac:dyDescent="0.25">
      <c r="A20" s="41">
        <v>0</v>
      </c>
      <c r="B20" s="78" t="s">
        <v>738</v>
      </c>
      <c r="C20" s="79">
        <v>240</v>
      </c>
      <c r="D20" s="99">
        <v>43496</v>
      </c>
      <c r="E20" s="105">
        <v>0.14583333333333334</v>
      </c>
      <c r="F20" s="100">
        <v>0.11</v>
      </c>
    </row>
    <row r="21" spans="1:31" x14ac:dyDescent="0.25">
      <c r="A21" s="41">
        <v>0</v>
      </c>
      <c r="B21" s="78" t="s">
        <v>735</v>
      </c>
      <c r="C21" s="79">
        <v>241</v>
      </c>
      <c r="D21" s="99">
        <v>43465</v>
      </c>
      <c r="E21" s="105">
        <v>8.3333333333333329E-2</v>
      </c>
      <c r="F21" s="100">
        <v>0.25</v>
      </c>
    </row>
    <row r="22" spans="1:31" x14ac:dyDescent="0.25">
      <c r="A22" s="41">
        <v>0</v>
      </c>
      <c r="B22" s="78" t="s">
        <v>736</v>
      </c>
      <c r="C22" s="79">
        <v>242</v>
      </c>
      <c r="D22" s="99">
        <v>43434</v>
      </c>
      <c r="E22" s="105">
        <v>0.125</v>
      </c>
      <c r="F22" s="100">
        <v>0.25</v>
      </c>
    </row>
    <row r="23" spans="1:31" x14ac:dyDescent="0.25">
      <c r="A23" s="41">
        <v>0</v>
      </c>
      <c r="B23" s="78" t="s">
        <v>734</v>
      </c>
      <c r="C23" s="79">
        <v>243</v>
      </c>
      <c r="D23" s="99">
        <v>43404</v>
      </c>
      <c r="E23" s="105">
        <v>0.33333333333333331</v>
      </c>
      <c r="F23" s="100">
        <v>0.33</v>
      </c>
    </row>
    <row r="24" spans="1:31" x14ac:dyDescent="0.25">
      <c r="A24" s="41">
        <v>0</v>
      </c>
      <c r="B24" s="78" t="s">
        <v>739</v>
      </c>
      <c r="C24" s="79">
        <v>244</v>
      </c>
      <c r="D24" s="99">
        <v>43373</v>
      </c>
      <c r="E24" s="105">
        <v>0.30555555555555552</v>
      </c>
      <c r="F24" s="100">
        <v>0.19</v>
      </c>
    </row>
    <row r="25" spans="1:31" x14ac:dyDescent="0.25">
      <c r="A25" s="41">
        <v>0</v>
      </c>
      <c r="B25" s="78" t="s">
        <v>740</v>
      </c>
      <c r="C25" s="79">
        <v>245</v>
      </c>
      <c r="D25" s="99">
        <v>43343</v>
      </c>
      <c r="E25" s="105">
        <v>0.26458333333333334</v>
      </c>
      <c r="F25" s="100">
        <v>0.5</v>
      </c>
    </row>
    <row r="26" spans="1:31" x14ac:dyDescent="0.25">
      <c r="A26" s="41">
        <v>0</v>
      </c>
      <c r="B26" s="78" t="s">
        <v>741</v>
      </c>
      <c r="C26" s="79">
        <v>246</v>
      </c>
      <c r="D26" s="99">
        <v>43312</v>
      </c>
      <c r="E26" s="105">
        <v>0.5083333333333333</v>
      </c>
      <c r="F26" s="100">
        <v>0.5</v>
      </c>
    </row>
    <row r="27" spans="1:31" x14ac:dyDescent="0.25">
      <c r="A27" s="41">
        <v>0</v>
      </c>
      <c r="B27" s="78" t="s">
        <v>738</v>
      </c>
      <c r="C27" s="79">
        <v>247</v>
      </c>
      <c r="D27" s="99">
        <v>43281</v>
      </c>
      <c r="E27" s="105">
        <v>0.26458333333333334</v>
      </c>
      <c r="F27" s="100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23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24"/>
      <c r="C31" s="66"/>
      <c r="D31" s="66"/>
      <c r="E31" s="66"/>
      <c r="F31" s="67"/>
      <c r="G31" s="172">
        <f t="array" ref="G31">IFERROR(INDEX($D$3:$D$28, MATCH(0,IF(ISBLANK($D$3:$D$28),1,COUNTIF($F$31:F31, $D$3:$D$28)), 0)),"")</f>
        <v>44012</v>
      </c>
      <c r="H31" s="172">
        <f t="array" ref="H31">IFERROR(INDEX($D$3:$D$28, MATCH(0,IF(ISBLANK($D$3:$D$28),1,COUNTIF($F$31:G31, $D$3:$D$28)), 0)),"")</f>
        <v>43982</v>
      </c>
      <c r="I31" s="172">
        <f t="array" ref="I31">IFERROR(INDEX($D$3:$D$28, MATCH(0,IF(ISBLANK($D$3:$D$28),1,COUNTIF($F$31:H31, $D$3:$D$28)), 0)),"")</f>
        <v>43951</v>
      </c>
      <c r="J31" s="172">
        <f t="array" ref="J31">IFERROR(INDEX($D$3:$D$28, MATCH(0,IF(ISBLANK($D$3:$D$28),1,COUNTIF($F$31:I31, $D$3:$D$28)), 0)),"")</f>
        <v>43921</v>
      </c>
      <c r="K31" s="172">
        <f t="array" ref="K31">IFERROR(INDEX($D$3:$D$28, MATCH(0,IF(ISBLANK($D$3:$D$28),1,COUNTIF($F$31:J31, $D$3:$D$28)), 0)),"")</f>
        <v>43889</v>
      </c>
      <c r="L31" s="172">
        <f t="array" ref="L31">IFERROR(INDEX($D$3:$D$28, MATCH(0,IF(ISBLANK($D$3:$D$28),1,COUNTIF($F$31:K31, $D$3:$D$28)), 0)),"")</f>
        <v>43861</v>
      </c>
      <c r="M31" s="172">
        <f t="array" ref="M31">IFERROR(INDEX($D$3:$D$28, MATCH(0,IF(ISBLANK($D$3:$D$28),1,COUNTIF($F$31:L31, $D$3:$D$28)), 0)),"")</f>
        <v>43830</v>
      </c>
      <c r="N31" s="172">
        <f t="array" ref="N31">IFERROR(INDEX($D$3:$D$28, MATCH(0,IF(ISBLANK($D$3:$D$28),1,COUNTIF($F$31:M31, $D$3:$D$28)), 0)),"")</f>
        <v>43799</v>
      </c>
      <c r="O31" s="172">
        <f t="array" ref="O31">IFERROR(INDEX($D$3:$D$28, MATCH(0,IF(ISBLANK($D$3:$D$28),1,COUNTIF($F$31:N31, $D$3:$D$28)), 0)),"")</f>
        <v>43769</v>
      </c>
      <c r="P31" s="172">
        <f t="array" ref="P31">IFERROR(INDEX($D$3:$D$28, MATCH(0,IF(ISBLANK($D$3:$D$28),1,COUNTIF($F$31:O31, $D$3:$D$28)), 0)),"")</f>
        <v>43738</v>
      </c>
      <c r="Q31" s="172">
        <f t="array" ref="Q31">IFERROR(INDEX($D$3:$D$28, MATCH(0,IF(ISBLANK($D$3:$D$28),1,COUNTIF($F$31:P31, $D$3:$D$28)), 0)),"")</f>
        <v>43708</v>
      </c>
      <c r="R31" s="172">
        <f t="array" ref="R31">IFERROR(INDEX($D$3:$D$28, MATCH(0,IF(ISBLANK($D$3:$D$28),1,COUNTIF($F$31:Q31, $D$3:$D$28)), 0)),"")</f>
        <v>43677</v>
      </c>
      <c r="S31" s="172">
        <f t="array" ref="S31">IFERROR(INDEX($D$3:$D$28, MATCH(0,IF(ISBLANK($D$3:$D$28),1,COUNTIF($F$31:R31, $D$3:$D$28)), 0)),"")</f>
        <v>43646</v>
      </c>
      <c r="T31" s="172">
        <f t="array" ref="T31">IFERROR(INDEX($D$3:$D$28, MATCH(0,IF(ISBLANK($D$3:$D$28),1,COUNTIF($F$31:S31, $D$3:$D$28)), 0)),"")</f>
        <v>43616</v>
      </c>
      <c r="U31" s="172">
        <f t="array" ref="U31">IFERROR(INDEX($D$3:$D$28, MATCH(0,IF(ISBLANK($D$3:$D$28),1,COUNTIF($F$31:T31, $D$3:$D$28)), 0)),"")</f>
        <v>43585</v>
      </c>
      <c r="V31" s="172">
        <f t="array" ref="V31">IFERROR(INDEX($D$3:$D$28, MATCH(0,IF(ISBLANK($D$3:$D$28),1,COUNTIF($F$31:U31, $D$3:$D$28)), 0)),"")</f>
        <v>43555</v>
      </c>
      <c r="W31" s="172">
        <f t="array" ref="W31">IFERROR(INDEX($D$3:$D$28, MATCH(0,IF(ISBLANK($D$3:$D$28),1,COUNTIF($F$31:V31, $D$3:$D$28)), 0)),"")</f>
        <v>43524</v>
      </c>
      <c r="X31" s="172">
        <f t="array" ref="X31">IFERROR(INDEX($D$3:$D$28, MATCH(0,IF(ISBLANK($D$3:$D$28),1,COUNTIF($F$31:W31, $D$3:$D$28)), 0)),"")</f>
        <v>43496</v>
      </c>
      <c r="Y31" s="172">
        <f t="array" ref="Y31">IFERROR(INDEX($D$3:$D$28, MATCH(0,IF(ISBLANK($D$3:$D$28),1,COUNTIF($F$31:X31, $D$3:$D$28)), 0)),"")</f>
        <v>43465</v>
      </c>
      <c r="Z31" s="172">
        <f t="array" ref="Z31">IFERROR(INDEX($D$3:$D$28, MATCH(0,IF(ISBLANK($D$3:$D$28),1,COUNTIF($F$31:Y31, $D$3:$D$28)), 0)),"")</f>
        <v>43434</v>
      </c>
      <c r="AA31" s="172">
        <f t="array" ref="AA31">IFERROR(INDEX($D$3:$D$28, MATCH(0,IF(ISBLANK($D$3:$D$28),1,COUNTIF($F$31:Z31, $D$3:$D$28)), 0)),"")</f>
        <v>43404</v>
      </c>
      <c r="AB31" s="172">
        <f t="array" ref="AB31">IFERROR(INDEX($D$3:$D$28, MATCH(0,IF(ISBLANK($D$3:$D$28),1,COUNTIF($F$31:AA31, $D$3:$D$28)), 0)),"")</f>
        <v>43373</v>
      </c>
      <c r="AC31" s="172">
        <f t="array" ref="AC31">IFERROR(INDEX($D$3:$D$28, MATCH(0,IF(ISBLANK($D$3:$D$28),1,COUNTIF($F$31:AB31, $D$3:$D$28)), 0)),"")</f>
        <v>43343</v>
      </c>
      <c r="AD31" s="172">
        <f t="array" ref="AD31">IFERROR(INDEX($D$3:$D$28, MATCH(0,IF(ISBLANK($D$3:$D$28),1,COUNTIF($F$31:AC31, $D$3:$D$28)), 0)),"")</f>
        <v>43312</v>
      </c>
      <c r="AE31" s="172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25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1">
        <f t="array" ref="G33">IFERROR(PERCENTILE(IF($B$3:$B$28=$B33,IF($D$3:$D$28=G$31,IF($F$3:$F$28&lt;&gt;"",$F$3:$F$28))),0.95),"")</f>
        <v>0.62</v>
      </c>
      <c r="H33" s="101" t="str">
        <f t="array" ref="H33">IFERROR(PERCENTILE(IF($B$3:$B$28=$B33,IF($D$3:$D$28=H$31,IF($F$3:$F$28&lt;&gt;"",$F$3:$F$28))),0.95),"")</f>
        <v/>
      </c>
      <c r="I33" s="101" t="str">
        <f t="array" ref="I33">IFERROR(PERCENTILE(IF($B$3:$B$28=$B33,IF($D$3:$D$28=I$31,IF($F$3:$F$28&lt;&gt;"",$F$3:$F$28))),0.95),"")</f>
        <v/>
      </c>
      <c r="J33" s="101" t="str">
        <f t="array" ref="J33">IFERROR(PERCENTILE(IF($B$3:$B$28=$B33,IF($D$3:$D$28=J$31,IF($F$3:$F$28&lt;&gt;"",$F$3:$F$28))),0.95),"")</f>
        <v/>
      </c>
      <c r="K33" s="101" t="str">
        <f t="array" ref="K33">IFERROR(PERCENTILE(IF($B$3:$B$28=$B33,IF($D$3:$D$28=K$31,IF($F$3:$F$28&lt;&gt;"",$F$3:$F$28))),0.95),"")</f>
        <v/>
      </c>
      <c r="L33" s="101" t="str">
        <f t="array" ref="L33">IFERROR(PERCENTILE(IF($B$3:$B$28=$B33,IF($D$3:$D$28=L$31,IF($F$3:$F$28&lt;&gt;"",$F$3:$F$28))),0.95),"")</f>
        <v/>
      </c>
      <c r="M33" s="101" t="str">
        <f t="array" ref="M33">IFERROR(PERCENTILE(IF($B$3:$B$28=$B33,IF($D$3:$D$28=M$31,IF($F$3:$F$28&lt;&gt;"",$F$3:$F$28))),0.95),"")</f>
        <v/>
      </c>
      <c r="N33" s="101">
        <f t="array" ref="N33">IFERROR(PERCENTILE(IF($B$3:$B$28=$B33,IF($D$3:$D$28=N$31,IF($F$3:$F$28&lt;&gt;"",$F$3:$F$28))),0.95),"")</f>
        <v>0.25</v>
      </c>
      <c r="O33" s="101" t="str">
        <f t="array" ref="O33">IFERROR(PERCENTILE(IF($B$3:$B$28=$B33,IF($D$3:$D$28=O$31,IF($F$3:$F$28&lt;&gt;"",$F$3:$F$28))),0.95),"")</f>
        <v/>
      </c>
      <c r="P33" s="101" t="str">
        <f t="array" ref="P33">IFERROR(PERCENTILE(IF($B$3:$B$28=$B33,IF($D$3:$D$28=P$31,IF($F$3:$F$28&lt;&gt;"",$F$3:$F$28))),0.95),"")</f>
        <v/>
      </c>
      <c r="Q33" s="101" t="str">
        <f t="array" ref="Q33">IFERROR(PERCENTILE(IF($B$3:$B$28=$B33,IF($D$3:$D$28=Q$31,IF($F$3:$F$28&lt;&gt;"",$F$3:$F$28))),0.95),"")</f>
        <v/>
      </c>
      <c r="R33" s="101" t="str">
        <f t="array" ref="R33">IFERROR(PERCENTILE(IF($B$3:$B$28=$B33,IF($D$3:$D$28=R$31,IF($F$3:$F$28&lt;&gt;"",$F$3:$F$28))),0.95),"")</f>
        <v/>
      </c>
      <c r="S33" s="101" t="str">
        <f t="array" ref="S33">IFERROR(PERCENTILE(IF($B$3:$B$28=$B33,IF($D$3:$D$28=S$31,IF($F$3:$F$28&lt;&gt;"",$F$3:$F$28))),0.95),"")</f>
        <v/>
      </c>
      <c r="T33" s="101">
        <f t="array" ref="T33">IFERROR(PERCENTILE(IF($B$3:$B$28=$B33,IF($D$3:$D$28=T$31,IF($F$3:$F$28&lt;&gt;"",$F$3:$F$28))),0.95),"")</f>
        <v>0.19</v>
      </c>
      <c r="U33" s="101" t="str">
        <f t="array" ref="U33">IFERROR(PERCENTILE(IF($B$3:$B$28=$B33,IF($D$3:$D$28=U$31,IF($F$3:$F$28&lt;&gt;"",$F$3:$F$28))),0.95),"")</f>
        <v/>
      </c>
      <c r="V33" s="101" t="str">
        <f t="array" ref="V33">IFERROR(PERCENTILE(IF($B$3:$B$28=$B33,IF($D$3:$D$28=V$31,IF($F$3:$F$28&lt;&gt;"",$F$3:$F$28))),0.95),"")</f>
        <v/>
      </c>
      <c r="W33" s="101" t="str">
        <f t="array" ref="W33">IFERROR(PERCENTILE(IF($B$3:$B$28=$B33,IF($D$3:$D$28=W$31,IF($F$3:$F$28&lt;&gt;"",$F$3:$F$28))),0.95),"")</f>
        <v/>
      </c>
      <c r="X33" s="101" t="str">
        <f t="array" ref="X33">IFERROR(PERCENTILE(IF($B$3:$B$28=$B33,IF($D$3:$D$28=X$31,IF($F$3:$F$28&lt;&gt;"",$F$3:$F$28))),0.95),"")</f>
        <v/>
      </c>
      <c r="Y33" s="101" t="str">
        <f t="array" ref="Y33">IFERROR(PERCENTILE(IF($B$3:$B$28=$B33,IF($D$3:$D$28=Y$31,IF($F$3:$F$28&lt;&gt;"",$F$3:$F$28))),0.95),"")</f>
        <v/>
      </c>
      <c r="Z33" s="101" t="str">
        <f t="array" ref="Z33">IFERROR(PERCENTILE(IF($B$3:$B$28=$B33,IF($D$3:$D$28=Z$31,IF($F$3:$F$28&lt;&gt;"",$F$3:$F$28))),0.95),"")</f>
        <v/>
      </c>
      <c r="AA33" s="101">
        <f t="array" ref="AA33">IFERROR(PERCENTILE(IF($B$3:$B$28=$B33,IF($D$3:$D$28=AA$31,IF($F$3:$F$28&lt;&gt;"",$F$3:$F$28))),0.95),"")</f>
        <v>0.33</v>
      </c>
      <c r="AB33" s="101" t="str">
        <f t="array" ref="AB33">IFERROR(PERCENTILE(IF($B$3:$B$28=$B33,IF($D$3:$D$28=AB$31,IF($F$3:$F$28&lt;&gt;"",$F$3:$F$28))),0.95),"")</f>
        <v/>
      </c>
      <c r="AC33" s="101" t="str">
        <f t="array" ref="AC33">IFERROR(PERCENTILE(IF($B$3:$B$28=$B33,IF($D$3:$D$28=AC$31,IF($F$3:$F$28&lt;&gt;"",$F$3:$F$28))),0.95),"")</f>
        <v/>
      </c>
      <c r="AD33" s="101" t="str">
        <f t="array" ref="AD33">IFERROR(PERCENTILE(IF($B$3:$B$28=$B33,IF($D$3:$D$28=AD$31,IF($F$3:$F$28&lt;&gt;"",$F$3:$F$28))),0.95),"")</f>
        <v/>
      </c>
      <c r="AE33" s="101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1" t="str">
        <f t="array" ref="G34">IFERROR(PERCENTILE(IF($B$3:$B$28=$B34,IF($D$3:$D$28=G$31,IF($F$3:$F$28&lt;&gt;"",$F$3:$F$28))),0.95),"")</f>
        <v/>
      </c>
      <c r="H34" s="101">
        <f t="array" ref="H34">IFERROR(PERCENTILE(IF($B$3:$B$28=$B34,IF($D$3:$D$28=H$31,IF($F$3:$F$28&lt;&gt;"",$F$3:$F$28))),0.95),"")</f>
        <v>0.19</v>
      </c>
      <c r="I34" s="101" t="str">
        <f t="array" ref="I34">IFERROR(PERCENTILE(IF($B$3:$B$28=$B34,IF($D$3:$D$28=I$31,IF($F$3:$F$28&lt;&gt;"",$F$3:$F$28))),0.95),"")</f>
        <v/>
      </c>
      <c r="J34" s="101" t="str">
        <f t="array" ref="J34">IFERROR(PERCENTILE(IF($B$3:$B$28=$B34,IF($D$3:$D$28=J$31,IF($F$3:$F$28&lt;&gt;"",$F$3:$F$28))),0.95),"")</f>
        <v/>
      </c>
      <c r="K34" s="101" t="str">
        <f t="array" ref="K34">IFERROR(PERCENTILE(IF($B$3:$B$28=$B34,IF($D$3:$D$28=K$31,IF($F$3:$F$28&lt;&gt;"",$F$3:$F$28))),0.95),"")</f>
        <v/>
      </c>
      <c r="L34" s="101">
        <f t="array" ref="L34">IFERROR(PERCENTILE(IF($B$3:$B$28=$B34,IF($D$3:$D$28=L$31,IF($F$3:$F$28&lt;&gt;"",$F$3:$F$28))),0.95),"")</f>
        <v>0.11</v>
      </c>
      <c r="M34" s="101" t="str">
        <f t="array" ref="M34">IFERROR(PERCENTILE(IF($B$3:$B$28=$B34,IF($D$3:$D$28=M$31,IF($F$3:$F$28&lt;&gt;"",$F$3:$F$28))),0.95),"")</f>
        <v/>
      </c>
      <c r="N34" s="101" t="str">
        <f t="array" ref="N34">IFERROR(PERCENTILE(IF($B$3:$B$28=$B34,IF($D$3:$D$28=N$31,IF($F$3:$F$28&lt;&gt;"",$F$3:$F$28))),0.95),"")</f>
        <v/>
      </c>
      <c r="O34" s="101" t="str">
        <f t="array" ref="O34">IFERROR(PERCENTILE(IF($B$3:$B$28=$B34,IF($D$3:$D$28=O$31,IF($F$3:$F$28&lt;&gt;"",$F$3:$F$28))),0.95),"")</f>
        <v/>
      </c>
      <c r="P34" s="101" t="str">
        <f t="array" ref="P34">IFERROR(PERCENTILE(IF($B$3:$B$28=$B34,IF($D$3:$D$28=P$31,IF($F$3:$F$28&lt;&gt;"",$F$3:$F$28))),0.95),"")</f>
        <v/>
      </c>
      <c r="Q34" s="101" t="str">
        <f t="array" ref="Q34">IFERROR(PERCENTILE(IF($B$3:$B$28=$B34,IF($D$3:$D$28=Q$31,IF($F$3:$F$28&lt;&gt;"",$F$3:$F$28))),0.95),"")</f>
        <v/>
      </c>
      <c r="R34" s="101" t="str">
        <f t="array" ref="R34">IFERROR(PERCENTILE(IF($B$3:$B$28=$B34,IF($D$3:$D$28=R$31,IF($F$3:$F$28&lt;&gt;"",$F$3:$F$28))),0.95),"")</f>
        <v/>
      </c>
      <c r="S34" s="101" t="str">
        <f t="array" ref="S34">IFERROR(PERCENTILE(IF($B$3:$B$28=$B34,IF($D$3:$D$28=S$31,IF($F$3:$F$28&lt;&gt;"",$F$3:$F$28))),0.95),"")</f>
        <v/>
      </c>
      <c r="T34" s="101" t="str">
        <f t="array" ref="T34">IFERROR(PERCENTILE(IF($B$3:$B$28=$B34,IF($D$3:$D$28=T$31,IF($F$3:$F$28&lt;&gt;"",$F$3:$F$28))),0.95),"")</f>
        <v/>
      </c>
      <c r="U34" s="101">
        <f t="array" ref="U34">IFERROR(PERCENTILE(IF($B$3:$B$28=$B34,IF($D$3:$D$28=U$31,IF($F$3:$F$28&lt;&gt;"",$F$3:$F$28))),0.95),"")</f>
        <v>0.44</v>
      </c>
      <c r="V34" s="101" t="str">
        <f t="array" ref="V34">IFERROR(PERCENTILE(IF($B$3:$B$28=$B34,IF($D$3:$D$28=V$31,IF($F$3:$F$28&lt;&gt;"",$F$3:$F$28))),0.95),"")</f>
        <v/>
      </c>
      <c r="W34" s="101" t="str">
        <f t="array" ref="W34">IFERROR(PERCENTILE(IF($B$3:$B$28=$B34,IF($D$3:$D$28=W$31,IF($F$3:$F$28&lt;&gt;"",$F$3:$F$28))),0.95),"")</f>
        <v/>
      </c>
      <c r="X34" s="101" t="str">
        <f t="array" ref="X34">IFERROR(PERCENTILE(IF($B$3:$B$28=$B34,IF($D$3:$D$28=X$31,IF($F$3:$F$28&lt;&gt;"",$F$3:$F$28))),0.95),"")</f>
        <v/>
      </c>
      <c r="Y34" s="101">
        <f t="array" ref="Y34">IFERROR(PERCENTILE(IF($B$3:$B$28=$B34,IF($D$3:$D$28=Y$31,IF($F$3:$F$28&lt;&gt;"",$F$3:$F$28))),0.95),"")</f>
        <v>0.25</v>
      </c>
      <c r="Z34" s="101" t="str">
        <f t="array" ref="Z34">IFERROR(PERCENTILE(IF($B$3:$B$28=$B34,IF($D$3:$D$28=Z$31,IF($F$3:$F$28&lt;&gt;"",$F$3:$F$28))),0.95),"")</f>
        <v/>
      </c>
      <c r="AA34" s="101" t="str">
        <f t="array" ref="AA34">IFERROR(PERCENTILE(IF($B$3:$B$28=$B34,IF($D$3:$D$28=AA$31,IF($F$3:$F$28&lt;&gt;"",$F$3:$F$28))),0.95),"")</f>
        <v/>
      </c>
      <c r="AB34" s="101" t="str">
        <f t="array" ref="AB34">IFERROR(PERCENTILE(IF($B$3:$B$28=$B34,IF($D$3:$D$28=AB$31,IF($F$3:$F$28&lt;&gt;"",$F$3:$F$28))),0.95),"")</f>
        <v/>
      </c>
      <c r="AC34" s="101" t="str">
        <f t="array" ref="AC34">IFERROR(PERCENTILE(IF($B$3:$B$28=$B34,IF($D$3:$D$28=AC$31,IF($F$3:$F$28&lt;&gt;"",$F$3:$F$28))),0.95),"")</f>
        <v/>
      </c>
      <c r="AD34" s="101" t="str">
        <f t="array" ref="AD34">IFERROR(PERCENTILE(IF($B$3:$B$28=$B34,IF($D$3:$D$28=AD$31,IF($F$3:$F$28&lt;&gt;"",$F$3:$F$28))),0.95),"")</f>
        <v/>
      </c>
      <c r="AE34" s="101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1" t="str">
        <f t="array" ref="G35">IFERROR(PERCENTILE(IF($B$3:$B$28=$B35,IF($D$3:$D$28=G$31,IF($F$3:$F$28&lt;&gt;"",$F$3:$F$28))),0.95),"")</f>
        <v/>
      </c>
      <c r="H35" s="101" t="str">
        <f t="array" ref="H35">IFERROR(PERCENTILE(IF($B$3:$B$28=$B35,IF($D$3:$D$28=H$31,IF($F$3:$F$28&lt;&gt;"",$F$3:$F$28))),0.95),"")</f>
        <v/>
      </c>
      <c r="I35" s="101">
        <f t="array" ref="I35">IFERROR(PERCENTILE(IF($B$3:$B$28=$B35,IF($D$3:$D$28=I$31,IF($F$3:$F$28&lt;&gt;"",$F$3:$F$28))),0.95),"")</f>
        <v>0.44</v>
      </c>
      <c r="J35" s="101" t="str">
        <f t="array" ref="J35">IFERROR(PERCENTILE(IF($B$3:$B$28=$B35,IF($D$3:$D$28=J$31,IF($F$3:$F$28&lt;&gt;"",$F$3:$F$28))),0.95),"")</f>
        <v/>
      </c>
      <c r="K35" s="101" t="str">
        <f t="array" ref="K35">IFERROR(PERCENTILE(IF($B$3:$B$28=$B35,IF($D$3:$D$28=K$31,IF($F$3:$F$28&lt;&gt;"",$F$3:$F$28))),0.95),"")</f>
        <v/>
      </c>
      <c r="L35" s="101" t="str">
        <f t="array" ref="L35">IFERROR(PERCENTILE(IF($B$3:$B$28=$B35,IF($D$3:$D$28=L$31,IF($F$3:$F$28&lt;&gt;"",$F$3:$F$28))),0.95),"")</f>
        <v/>
      </c>
      <c r="M35" s="101">
        <f t="array" ref="M35">IFERROR(PERCENTILE(IF($B$3:$B$28=$B35,IF($D$3:$D$28=M$31,IF($F$3:$F$28&lt;&gt;"",$F$3:$F$28))),0.95),"")</f>
        <v>0.25</v>
      </c>
      <c r="N35" s="101" t="str">
        <f t="array" ref="N35">IFERROR(PERCENTILE(IF($B$3:$B$28=$B35,IF($D$3:$D$28=N$31,IF($F$3:$F$28&lt;&gt;"",$F$3:$F$28))),0.95),"")</f>
        <v/>
      </c>
      <c r="O35" s="101" t="str">
        <f t="array" ref="O35">IFERROR(PERCENTILE(IF($B$3:$B$28=$B35,IF($D$3:$D$28=O$31,IF($F$3:$F$28&lt;&gt;"",$F$3:$F$28))),0.95),"")</f>
        <v/>
      </c>
      <c r="P35" s="101" t="str">
        <f t="array" ref="P35">IFERROR(PERCENTILE(IF($B$3:$B$28=$B35,IF($D$3:$D$28=P$31,IF($F$3:$F$28&lt;&gt;"",$F$3:$F$28))),0.95),"")</f>
        <v/>
      </c>
      <c r="Q35" s="101" t="str">
        <f t="array" ref="Q35">IFERROR(PERCENTILE(IF($B$3:$B$28=$B35,IF($D$3:$D$28=Q$31,IF($F$3:$F$28&lt;&gt;"",$F$3:$F$28))),0.95),"")</f>
        <v/>
      </c>
      <c r="R35" s="101" t="str">
        <f t="array" ref="R35">IFERROR(PERCENTILE(IF($B$3:$B$28=$B35,IF($D$3:$D$28=R$31,IF($F$3:$F$28&lt;&gt;"",$F$3:$F$28))),0.95),"")</f>
        <v/>
      </c>
      <c r="S35" s="101" t="str">
        <f t="array" ref="S35">IFERROR(PERCENTILE(IF($B$3:$B$28=$B35,IF($D$3:$D$28=S$31,IF($F$3:$F$28&lt;&gt;"",$F$3:$F$28))),0.95),"")</f>
        <v/>
      </c>
      <c r="T35" s="101" t="str">
        <f t="array" ref="T35">IFERROR(PERCENTILE(IF($B$3:$B$28=$B35,IF($D$3:$D$28=T$31,IF($F$3:$F$28&lt;&gt;"",$F$3:$F$28))),0.95),"")</f>
        <v/>
      </c>
      <c r="U35" s="101" t="str">
        <f t="array" ref="U35">IFERROR(PERCENTILE(IF($B$3:$B$28=$B35,IF($D$3:$D$28=U$31,IF($F$3:$F$28&lt;&gt;"",$F$3:$F$28))),0.95),"")</f>
        <v/>
      </c>
      <c r="V35" s="101">
        <f t="array" ref="V35">IFERROR(PERCENTILE(IF($B$3:$B$28=$B35,IF($D$3:$D$28=V$31,IF($F$3:$F$28&lt;&gt;"",$F$3:$F$28))),0.95),"")</f>
        <v>0.73</v>
      </c>
      <c r="W35" s="101" t="str">
        <f t="array" ref="W35">IFERROR(PERCENTILE(IF($B$3:$B$28=$B35,IF($D$3:$D$28=W$31,IF($F$3:$F$28&lt;&gt;"",$F$3:$F$28))),0.95),"")</f>
        <v/>
      </c>
      <c r="X35" s="101" t="str">
        <f t="array" ref="X35">IFERROR(PERCENTILE(IF($B$3:$B$28=$B35,IF($D$3:$D$28=X$31,IF($F$3:$F$28&lt;&gt;"",$F$3:$F$28))),0.95),"")</f>
        <v/>
      </c>
      <c r="Y35" s="101" t="str">
        <f t="array" ref="Y35">IFERROR(PERCENTILE(IF($B$3:$B$28=$B35,IF($D$3:$D$28=Y$31,IF($F$3:$F$28&lt;&gt;"",$F$3:$F$28))),0.95),"")</f>
        <v/>
      </c>
      <c r="Z35" s="101">
        <f t="array" ref="Z35">IFERROR(PERCENTILE(IF($B$3:$B$28=$B35,IF($D$3:$D$28=Z$31,IF($F$3:$F$28&lt;&gt;"",$F$3:$F$28))),0.95),"")</f>
        <v>0.25</v>
      </c>
      <c r="AA35" s="101" t="str">
        <f t="array" ref="AA35">IFERROR(PERCENTILE(IF($B$3:$B$28=$B35,IF($D$3:$D$28=AA$31,IF($F$3:$F$28&lt;&gt;"",$F$3:$F$28))),0.95),"")</f>
        <v/>
      </c>
      <c r="AB35" s="101" t="str">
        <f t="array" ref="AB35">IFERROR(PERCENTILE(IF($B$3:$B$28=$B35,IF($D$3:$D$28=AB$31,IF($F$3:$F$28&lt;&gt;"",$F$3:$F$28))),0.95),"")</f>
        <v/>
      </c>
      <c r="AC35" s="101" t="str">
        <f t="array" ref="AC35">IFERROR(PERCENTILE(IF($B$3:$B$28=$B35,IF($D$3:$D$28=AC$31,IF($F$3:$F$28&lt;&gt;"",$F$3:$F$28))),0.95),"")</f>
        <v/>
      </c>
      <c r="AD35" s="101" t="str">
        <f t="array" ref="AD35">IFERROR(PERCENTILE(IF($B$3:$B$28=$B35,IF($D$3:$D$28=AD$31,IF($F$3:$F$28&lt;&gt;"",$F$3:$F$28))),0.95),"")</f>
        <v/>
      </c>
      <c r="AE35" s="101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1" t="str">
        <f t="array" ref="G36">IFERROR(PERCENTILE(IF($B$3:$B$28=$B36,IF($D$3:$D$28=G$31,IF($F$3:$F$28&lt;&gt;"",$F$3:$F$28))),0.95),"")</f>
        <v/>
      </c>
      <c r="H36" s="101" t="str">
        <f t="array" ref="H36">IFERROR(PERCENTILE(IF($B$3:$B$28=$B36,IF($D$3:$D$28=H$31,IF($F$3:$F$28&lt;&gt;"",$F$3:$F$28))),0.95),"")</f>
        <v/>
      </c>
      <c r="I36" s="101" t="str">
        <f t="array" ref="I36">IFERROR(PERCENTILE(IF($B$3:$B$28=$B36,IF($D$3:$D$28=I$31,IF($F$3:$F$28&lt;&gt;"",$F$3:$F$28))),0.95),"")</f>
        <v/>
      </c>
      <c r="J36" s="101">
        <f t="array" ref="J36">IFERROR(PERCENTILE(IF($B$3:$B$28=$B36,IF($D$3:$D$28=J$31,IF($F$3:$F$28&lt;&gt;"",$F$3:$F$28))),0.95),"")</f>
        <v>0.73</v>
      </c>
      <c r="K36" s="101" t="str">
        <f t="array" ref="K36">IFERROR(PERCENTILE(IF($B$3:$B$28=$B36,IF($D$3:$D$28=K$31,IF($F$3:$F$28&lt;&gt;"",$F$3:$F$28))),0.95),"")</f>
        <v/>
      </c>
      <c r="L36" s="101" t="str">
        <f t="array" ref="L36">IFERROR(PERCENTILE(IF($B$3:$B$28=$B36,IF($D$3:$D$28=L$31,IF($F$3:$F$28&lt;&gt;"",$F$3:$F$28))),0.95),"")</f>
        <v/>
      </c>
      <c r="M36" s="101" t="str">
        <f t="array" ref="M36">IFERROR(PERCENTILE(IF($B$3:$B$28=$B36,IF($D$3:$D$28=M$31,IF($F$3:$F$28&lt;&gt;"",$F$3:$F$28))),0.95),"")</f>
        <v/>
      </c>
      <c r="N36" s="101" t="str">
        <f t="array" ref="N36">IFERROR(PERCENTILE(IF($B$3:$B$28=$B36,IF($D$3:$D$28=N$31,IF($F$3:$F$28&lt;&gt;"",$F$3:$F$28))),0.95),"")</f>
        <v/>
      </c>
      <c r="O36" s="101" t="str">
        <f t="array" ref="O36">IFERROR(PERCENTILE(IF($B$3:$B$28=$B36,IF($D$3:$D$28=O$31,IF($F$3:$F$28&lt;&gt;"",$F$3:$F$28))),0.95),"")</f>
        <v/>
      </c>
      <c r="P36" s="101" t="str">
        <f t="array" ref="P36">IFERROR(PERCENTILE(IF($B$3:$B$28=$B36,IF($D$3:$D$28=P$31,IF($F$3:$F$28&lt;&gt;"",$F$3:$F$28))),0.95),"")</f>
        <v/>
      </c>
      <c r="Q36" s="101" t="str">
        <f t="array" ref="Q36">IFERROR(PERCENTILE(IF($B$3:$B$28=$B36,IF($D$3:$D$28=Q$31,IF($F$3:$F$28&lt;&gt;"",$F$3:$F$28))),0.95),"")</f>
        <v/>
      </c>
      <c r="R36" s="101" t="str">
        <f t="array" ref="R36">IFERROR(PERCENTILE(IF($B$3:$B$28=$B36,IF($D$3:$D$28=R$31,IF($F$3:$F$28&lt;&gt;"",$F$3:$F$28))),0.95),"")</f>
        <v/>
      </c>
      <c r="S36" s="101" t="str">
        <f t="array" ref="S36">IFERROR(PERCENTILE(IF($B$3:$B$28=$B36,IF($D$3:$D$28=S$31,IF($F$3:$F$28&lt;&gt;"",$F$3:$F$28))),0.95),"")</f>
        <v/>
      </c>
      <c r="T36" s="101" t="str">
        <f t="array" ref="T36">IFERROR(PERCENTILE(IF($B$3:$B$28=$B36,IF($D$3:$D$28=T$31,IF($F$3:$F$28&lt;&gt;"",$F$3:$F$28))),0.95),"")</f>
        <v/>
      </c>
      <c r="U36" s="101" t="str">
        <f t="array" ref="U36">IFERROR(PERCENTILE(IF($B$3:$B$28=$B36,IF($D$3:$D$28=U$31,IF($F$3:$F$28&lt;&gt;"",$F$3:$F$28))),0.95),"")</f>
        <v/>
      </c>
      <c r="V36" s="101" t="str">
        <f t="array" ref="V36">IFERROR(PERCENTILE(IF($B$3:$B$28=$B36,IF($D$3:$D$28=V$31,IF($F$3:$F$28&lt;&gt;"",$F$3:$F$28))),0.95),"")</f>
        <v/>
      </c>
      <c r="W36" s="101">
        <f t="array" ref="W36">IFERROR(PERCENTILE(IF($B$3:$B$28=$B36,IF($D$3:$D$28=W$31,IF($F$3:$F$28&lt;&gt;"",$F$3:$F$28))),0.95),"")</f>
        <v>0.99</v>
      </c>
      <c r="X36" s="101" t="str">
        <f t="array" ref="X36">IFERROR(PERCENTILE(IF($B$3:$B$28=$B36,IF($D$3:$D$28=X$31,IF($F$3:$F$28&lt;&gt;"",$F$3:$F$28))),0.95),"")</f>
        <v/>
      </c>
      <c r="Y36" s="101" t="str">
        <f t="array" ref="Y36">IFERROR(PERCENTILE(IF($B$3:$B$28=$B36,IF($D$3:$D$28=Y$31,IF($F$3:$F$28&lt;&gt;"",$F$3:$F$28))),0.95),"")</f>
        <v/>
      </c>
      <c r="Z36" s="101" t="str">
        <f t="array" ref="Z36">IFERROR(PERCENTILE(IF($B$3:$B$28=$B36,IF($D$3:$D$28=Z$31,IF($F$3:$F$28&lt;&gt;"",$F$3:$F$28))),0.95),"")</f>
        <v/>
      </c>
      <c r="AA36" s="101" t="str">
        <f t="array" ref="AA36">IFERROR(PERCENTILE(IF($B$3:$B$28=$B36,IF($D$3:$D$28=AA$31,IF($F$3:$F$28&lt;&gt;"",$F$3:$F$28))),0.95),"")</f>
        <v/>
      </c>
      <c r="AB36" s="101" t="str">
        <f t="array" ref="AB36">IFERROR(PERCENTILE(IF($B$3:$B$28=$B36,IF($D$3:$D$28=AB$31,IF($F$3:$F$28&lt;&gt;"",$F$3:$F$28))),0.95),"")</f>
        <v/>
      </c>
      <c r="AC36" s="101" t="str">
        <f t="array" ref="AC36">IFERROR(PERCENTILE(IF($B$3:$B$28=$B36,IF($D$3:$D$28=AC$31,IF($F$3:$F$28&lt;&gt;"",$F$3:$F$28))),0.95),"")</f>
        <v/>
      </c>
      <c r="AD36" s="101" t="str">
        <f t="array" ref="AD36">IFERROR(PERCENTILE(IF($B$3:$B$28=$B36,IF($D$3:$D$28=AD$31,IF($F$3:$F$28&lt;&gt;"",$F$3:$F$28))),0.95),"")</f>
        <v/>
      </c>
      <c r="AE36" s="101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1" t="str">
        <f t="array" ref="G37">IFERROR(PERCENTILE(IF($B$3:$B$28=$B37,IF($D$3:$D$28=G$31,IF($F$3:$F$28&lt;&gt;"",$F$3:$F$28))),0.95),"")</f>
        <v/>
      </c>
      <c r="H37" s="101" t="str">
        <f t="array" ref="H37">IFERROR(PERCENTILE(IF($B$3:$B$28=$B37,IF($D$3:$D$28=H$31,IF($F$3:$F$28&lt;&gt;"",$F$3:$F$28))),0.95),"")</f>
        <v/>
      </c>
      <c r="I37" s="101" t="str">
        <f t="array" ref="I37">IFERROR(PERCENTILE(IF($B$3:$B$28=$B37,IF($D$3:$D$28=I$31,IF($F$3:$F$28&lt;&gt;"",$F$3:$F$28))),0.95),"")</f>
        <v/>
      </c>
      <c r="J37" s="101" t="str">
        <f t="array" ref="J37">IFERROR(PERCENTILE(IF($B$3:$B$28=$B37,IF($D$3:$D$28=J$31,IF($F$3:$F$28&lt;&gt;"",$F$3:$F$28))),0.95),"")</f>
        <v/>
      </c>
      <c r="K37" s="101">
        <f t="array" ref="K37">IFERROR(PERCENTILE(IF($B$3:$B$28=$B37,IF($D$3:$D$28=K$31,IF($F$3:$F$28&lt;&gt;"",$F$3:$F$28))),0.95),"")</f>
        <v>0.99</v>
      </c>
      <c r="L37" s="101" t="str">
        <f t="array" ref="L37">IFERROR(PERCENTILE(IF($B$3:$B$28=$B37,IF($D$3:$D$28=L$31,IF($F$3:$F$28&lt;&gt;"",$F$3:$F$28))),0.95),"")</f>
        <v/>
      </c>
      <c r="M37" s="101" t="str">
        <f t="array" ref="M37">IFERROR(PERCENTILE(IF($B$3:$B$28=$B37,IF($D$3:$D$28=M$31,IF($F$3:$F$28&lt;&gt;"",$F$3:$F$28))),0.95),"")</f>
        <v/>
      </c>
      <c r="N37" s="101" t="str">
        <f t="array" ref="N37">IFERROR(PERCENTILE(IF($B$3:$B$28=$B37,IF($D$3:$D$28=N$31,IF($F$3:$F$28&lt;&gt;"",$F$3:$F$28))),0.95),"")</f>
        <v/>
      </c>
      <c r="O37" s="101" t="str">
        <f t="array" ref="O37">IFERROR(PERCENTILE(IF($B$3:$B$28=$B37,IF($D$3:$D$28=O$31,IF($F$3:$F$28&lt;&gt;"",$F$3:$F$28))),0.95),"")</f>
        <v/>
      </c>
      <c r="P37" s="101" t="str">
        <f t="array" ref="P37">IFERROR(PERCENTILE(IF($B$3:$B$28=$B37,IF($D$3:$D$28=P$31,IF($F$3:$F$28&lt;&gt;"",$F$3:$F$28))),0.95),"")</f>
        <v/>
      </c>
      <c r="Q37" s="101" t="str">
        <f t="array" ref="Q37">IFERROR(PERCENTILE(IF($B$3:$B$28=$B37,IF($D$3:$D$28=Q$31,IF($F$3:$F$28&lt;&gt;"",$F$3:$F$28))),0.95),"")</f>
        <v/>
      </c>
      <c r="R37" s="101" t="str">
        <f t="array" ref="R37">IFERROR(PERCENTILE(IF($B$3:$B$28=$B37,IF($D$3:$D$28=R$31,IF($F$3:$F$28&lt;&gt;"",$F$3:$F$28))),0.95),"")</f>
        <v/>
      </c>
      <c r="S37" s="101" t="str">
        <f t="array" ref="S37">IFERROR(PERCENTILE(IF($B$3:$B$28=$B37,IF($D$3:$D$28=S$31,IF($F$3:$F$28&lt;&gt;"",$F$3:$F$28))),0.95),"")</f>
        <v/>
      </c>
      <c r="T37" s="101" t="str">
        <f t="array" ref="T37">IFERROR(PERCENTILE(IF($B$3:$B$28=$B37,IF($D$3:$D$28=T$31,IF($F$3:$F$28&lt;&gt;"",$F$3:$F$28))),0.95),"")</f>
        <v/>
      </c>
      <c r="U37" s="101" t="str">
        <f t="array" ref="U37">IFERROR(PERCENTILE(IF($B$3:$B$28=$B37,IF($D$3:$D$28=U$31,IF($F$3:$F$28&lt;&gt;"",$F$3:$F$28))),0.95),"")</f>
        <v/>
      </c>
      <c r="V37" s="101" t="str">
        <f t="array" ref="V37">IFERROR(PERCENTILE(IF($B$3:$B$28=$B37,IF($D$3:$D$28=V$31,IF($F$3:$F$28&lt;&gt;"",$F$3:$F$28))),0.95),"")</f>
        <v/>
      </c>
      <c r="W37" s="101" t="str">
        <f t="array" ref="W37">IFERROR(PERCENTILE(IF($B$3:$B$28=$B37,IF($D$3:$D$28=W$31,IF($F$3:$F$28&lt;&gt;"",$F$3:$F$28))),0.95),"")</f>
        <v/>
      </c>
      <c r="X37" s="101">
        <f t="array" ref="X37">IFERROR(PERCENTILE(IF($B$3:$B$28=$B37,IF($D$3:$D$28=X$31,IF($F$3:$F$28&lt;&gt;"",$F$3:$F$28))),0.95),"")</f>
        <v>0.11</v>
      </c>
      <c r="Y37" s="101" t="str">
        <f t="array" ref="Y37">IFERROR(PERCENTILE(IF($B$3:$B$28=$B37,IF($D$3:$D$28=Y$31,IF($F$3:$F$28&lt;&gt;"",$F$3:$F$28))),0.95),"")</f>
        <v/>
      </c>
      <c r="Z37" s="101" t="str">
        <f t="array" ref="Z37">IFERROR(PERCENTILE(IF($B$3:$B$28=$B37,IF($D$3:$D$28=Z$31,IF($F$3:$F$28&lt;&gt;"",$F$3:$F$28))),0.95),"")</f>
        <v/>
      </c>
      <c r="AA37" s="101" t="str">
        <f t="array" ref="AA37">IFERROR(PERCENTILE(IF($B$3:$B$28=$B37,IF($D$3:$D$28=AA$31,IF($F$3:$F$28&lt;&gt;"",$F$3:$F$28))),0.95),"")</f>
        <v/>
      </c>
      <c r="AB37" s="101" t="str">
        <f t="array" ref="AB37">IFERROR(PERCENTILE(IF($B$3:$B$28=$B37,IF($D$3:$D$28=AB$31,IF($F$3:$F$28&lt;&gt;"",$F$3:$F$28))),0.95),"")</f>
        <v/>
      </c>
      <c r="AC37" s="101" t="str">
        <f t="array" ref="AC37">IFERROR(PERCENTILE(IF($B$3:$B$28=$B37,IF($D$3:$D$28=AC$31,IF($F$3:$F$28&lt;&gt;"",$F$3:$F$28))),0.95),"")</f>
        <v/>
      </c>
      <c r="AD37" s="101" t="str">
        <f t="array" ref="AD37">IFERROR(PERCENTILE(IF($B$3:$B$28=$B37,IF($D$3:$D$28=AD$31,IF($F$3:$F$28&lt;&gt;"",$F$3:$F$28))),0.95),"")</f>
        <v/>
      </c>
      <c r="AE37" s="101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1" t="str">
        <f t="array" ref="G38">IFERROR(PERCENTILE(IF($B$3:$B$28=$B38,IF($D$3:$D$28=G$31,IF($F$3:$F$28&lt;&gt;"",$F$3:$F$28))),0.95),"")</f>
        <v/>
      </c>
      <c r="H38" s="101" t="str">
        <f t="array" ref="H38">IFERROR(PERCENTILE(IF($B$3:$B$28=$B38,IF($D$3:$D$28=H$31,IF($F$3:$F$28&lt;&gt;"",$F$3:$F$28))),0.95),"")</f>
        <v/>
      </c>
      <c r="I38" s="101" t="str">
        <f t="array" ref="I38">IFERROR(PERCENTILE(IF($B$3:$B$28=$B38,IF($D$3:$D$28=I$31,IF($F$3:$F$28&lt;&gt;"",$F$3:$F$28))),0.95),"")</f>
        <v/>
      </c>
      <c r="J38" s="101" t="str">
        <f t="array" ref="J38">IFERROR(PERCENTILE(IF($B$3:$B$28=$B38,IF($D$3:$D$28=J$31,IF($F$3:$F$28&lt;&gt;"",$F$3:$F$28))),0.95),"")</f>
        <v/>
      </c>
      <c r="K38" s="101" t="str">
        <f t="array" ref="K38">IFERROR(PERCENTILE(IF($B$3:$B$28=$B38,IF($D$3:$D$28=K$31,IF($F$3:$F$28&lt;&gt;"",$F$3:$F$28))),0.95),"")</f>
        <v/>
      </c>
      <c r="L38" s="101" t="str">
        <f t="array" ref="L38">IFERROR(PERCENTILE(IF($B$3:$B$28=$B38,IF($D$3:$D$28=L$31,IF($F$3:$F$28&lt;&gt;"",$F$3:$F$28))),0.95),"")</f>
        <v/>
      </c>
      <c r="M38" s="101" t="str">
        <f t="array" ref="M38">IFERROR(PERCENTILE(IF($B$3:$B$28=$B38,IF($D$3:$D$28=M$31,IF($F$3:$F$28&lt;&gt;"",$F$3:$F$28))),0.95),"")</f>
        <v/>
      </c>
      <c r="N38" s="101" t="str">
        <f t="array" ref="N38">IFERROR(PERCENTILE(IF($B$3:$B$28=$B38,IF($D$3:$D$28=N$31,IF($F$3:$F$28&lt;&gt;"",$F$3:$F$28))),0.95),"")</f>
        <v/>
      </c>
      <c r="O38" s="101">
        <f t="array" ref="O38">IFERROR(PERCENTILE(IF($B$3:$B$28=$B38,IF($D$3:$D$28=O$31,IF($F$3:$F$28&lt;&gt;"",$F$3:$F$28))),0.95),"")</f>
        <v>0.33</v>
      </c>
      <c r="P38" s="101" t="str">
        <f t="array" ref="P38">IFERROR(PERCENTILE(IF($B$3:$B$28=$B38,IF($D$3:$D$28=P$31,IF($F$3:$F$28&lt;&gt;"",$F$3:$F$28))),0.95),"")</f>
        <v/>
      </c>
      <c r="Q38" s="101" t="str">
        <f t="array" ref="Q38">IFERROR(PERCENTILE(IF($B$3:$B$28=$B38,IF($D$3:$D$28=Q$31,IF($F$3:$F$28&lt;&gt;"",$F$3:$F$28))),0.95),"")</f>
        <v/>
      </c>
      <c r="R38" s="101" t="str">
        <f t="array" ref="R38">IFERROR(PERCENTILE(IF($B$3:$B$28=$B38,IF($D$3:$D$28=R$31,IF($F$3:$F$28&lt;&gt;"",$F$3:$F$28))),0.95),"")</f>
        <v/>
      </c>
      <c r="S38" s="101" t="str">
        <f t="array" ref="S38">IFERROR(PERCENTILE(IF($B$3:$B$28=$B38,IF($D$3:$D$28=S$31,IF($F$3:$F$28&lt;&gt;"",$F$3:$F$28))),0.95),"")</f>
        <v/>
      </c>
      <c r="T38" s="101" t="str">
        <f t="array" ref="T38">IFERROR(PERCENTILE(IF($B$3:$B$28=$B38,IF($D$3:$D$28=T$31,IF($F$3:$F$28&lt;&gt;"",$F$3:$F$28))),0.95),"")</f>
        <v/>
      </c>
      <c r="U38" s="101" t="str">
        <f t="array" ref="U38">IFERROR(PERCENTILE(IF($B$3:$B$28=$B38,IF($D$3:$D$28=U$31,IF($F$3:$F$28&lt;&gt;"",$F$3:$F$28))),0.95),"")</f>
        <v/>
      </c>
      <c r="V38" s="101" t="str">
        <f t="array" ref="V38">IFERROR(PERCENTILE(IF($B$3:$B$28=$B38,IF($D$3:$D$28=V$31,IF($F$3:$F$28&lt;&gt;"",$F$3:$F$28))),0.95),"")</f>
        <v/>
      </c>
      <c r="W38" s="101" t="str">
        <f t="array" ref="W38">IFERROR(PERCENTILE(IF($B$3:$B$28=$B38,IF($D$3:$D$28=W$31,IF($F$3:$F$28&lt;&gt;"",$F$3:$F$28))),0.95),"")</f>
        <v/>
      </c>
      <c r="X38" s="101" t="str">
        <f t="array" ref="X38">IFERROR(PERCENTILE(IF($B$3:$B$28=$B38,IF($D$3:$D$28=X$31,IF($F$3:$F$28&lt;&gt;"",$F$3:$F$28))),0.95),"")</f>
        <v/>
      </c>
      <c r="Y38" s="101" t="str">
        <f t="array" ref="Y38">IFERROR(PERCENTILE(IF($B$3:$B$28=$B38,IF($D$3:$D$28=Y$31,IF($F$3:$F$28&lt;&gt;"",$F$3:$F$28))),0.95),"")</f>
        <v/>
      </c>
      <c r="Z38" s="101" t="str">
        <f t="array" ref="Z38">IFERROR(PERCENTILE(IF($B$3:$B$28=$B38,IF($D$3:$D$28=Z$31,IF($F$3:$F$28&lt;&gt;"",$F$3:$F$28))),0.95),"")</f>
        <v/>
      </c>
      <c r="AA38" s="101" t="str">
        <f t="array" ref="AA38">IFERROR(PERCENTILE(IF($B$3:$B$28=$B38,IF($D$3:$D$28=AA$31,IF($F$3:$F$28&lt;&gt;"",$F$3:$F$28))),0.95),"")</f>
        <v/>
      </c>
      <c r="AB38" s="101">
        <f t="array" ref="AB38">IFERROR(PERCENTILE(IF($B$3:$B$28=$B38,IF($D$3:$D$28=AB$31,IF($F$3:$F$28&lt;&gt;"",$F$3:$F$28))),0.95),"")</f>
        <v>0.19</v>
      </c>
      <c r="AC38" s="101" t="str">
        <f t="array" ref="AC38">IFERROR(PERCENTILE(IF($B$3:$B$28=$B38,IF($D$3:$D$28=AC$31,IF($F$3:$F$28&lt;&gt;"",$F$3:$F$28))),0.95),"")</f>
        <v/>
      </c>
      <c r="AD38" s="101" t="str">
        <f t="array" ref="AD38">IFERROR(PERCENTILE(IF($B$3:$B$28=$B38,IF($D$3:$D$28=AD$31,IF($F$3:$F$28&lt;&gt;"",$F$3:$F$28))),0.95),"")</f>
        <v/>
      </c>
      <c r="AE38" s="101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1" t="str">
        <f t="array" ref="G39">IFERROR(PERCENTILE(IF($B$3:$B$28=$B39,IF($D$3:$D$28=G$31,IF($F$3:$F$28&lt;&gt;"",$F$3:$F$28))),0.95),"")</f>
        <v/>
      </c>
      <c r="H39" s="101" t="str">
        <f t="array" ref="H39">IFERROR(PERCENTILE(IF($B$3:$B$28=$B39,IF($D$3:$D$28=H$31,IF($F$3:$F$28&lt;&gt;"",$F$3:$F$28))),0.95),"")</f>
        <v/>
      </c>
      <c r="I39" s="101" t="str">
        <f t="array" ref="I39">IFERROR(PERCENTILE(IF($B$3:$B$28=$B39,IF($D$3:$D$28=I$31,IF($F$3:$F$28&lt;&gt;"",$F$3:$F$28))),0.95),"")</f>
        <v/>
      </c>
      <c r="J39" s="101" t="str">
        <f t="array" ref="J39">IFERROR(PERCENTILE(IF($B$3:$B$28=$B39,IF($D$3:$D$28=J$31,IF($F$3:$F$28&lt;&gt;"",$F$3:$F$28))),0.95),"")</f>
        <v/>
      </c>
      <c r="K39" s="101" t="str">
        <f t="array" ref="K39">IFERROR(PERCENTILE(IF($B$3:$B$28=$B39,IF($D$3:$D$28=K$31,IF($F$3:$F$28&lt;&gt;"",$F$3:$F$28))),0.95),"")</f>
        <v/>
      </c>
      <c r="L39" s="101" t="str">
        <f t="array" ref="L39">IFERROR(PERCENTILE(IF($B$3:$B$28=$B39,IF($D$3:$D$28=L$31,IF($F$3:$F$28&lt;&gt;"",$F$3:$F$28))),0.95),"")</f>
        <v/>
      </c>
      <c r="M39" s="101" t="str">
        <f t="array" ref="M39">IFERROR(PERCENTILE(IF($B$3:$B$28=$B39,IF($D$3:$D$28=M$31,IF($F$3:$F$28&lt;&gt;"",$F$3:$F$28))),0.95),"")</f>
        <v/>
      </c>
      <c r="N39" s="101" t="str">
        <f t="array" ref="N39">IFERROR(PERCENTILE(IF($B$3:$B$28=$B39,IF($D$3:$D$28=N$31,IF($F$3:$F$28&lt;&gt;"",$F$3:$F$28))),0.95),"")</f>
        <v/>
      </c>
      <c r="O39" s="101" t="str">
        <f t="array" ref="O39">IFERROR(PERCENTILE(IF($B$3:$B$28=$B39,IF($D$3:$D$28=O$31,IF($F$3:$F$28&lt;&gt;"",$F$3:$F$28))),0.95),"")</f>
        <v/>
      </c>
      <c r="P39" s="101">
        <f t="array" ref="P39">IFERROR(PERCENTILE(IF($B$3:$B$28=$B39,IF($D$3:$D$28=P$31,IF($F$3:$F$28&lt;&gt;"",$F$3:$F$28))),0.95),"")</f>
        <v>0.19</v>
      </c>
      <c r="Q39" s="101" t="str">
        <f t="array" ref="Q39">IFERROR(PERCENTILE(IF($B$3:$B$28=$B39,IF($D$3:$D$28=Q$31,IF($F$3:$F$28&lt;&gt;"",$F$3:$F$28))),0.95),"")</f>
        <v/>
      </c>
      <c r="R39" s="101" t="str">
        <f t="array" ref="R39">IFERROR(PERCENTILE(IF($B$3:$B$28=$B39,IF($D$3:$D$28=R$31,IF($F$3:$F$28&lt;&gt;"",$F$3:$F$28))),0.95),"")</f>
        <v/>
      </c>
      <c r="S39" s="101" t="str">
        <f t="array" ref="S39">IFERROR(PERCENTILE(IF($B$3:$B$28=$B39,IF($D$3:$D$28=S$31,IF($F$3:$F$28&lt;&gt;"",$F$3:$F$28))),0.95),"")</f>
        <v/>
      </c>
      <c r="T39" s="101" t="str">
        <f t="array" ref="T39">IFERROR(PERCENTILE(IF($B$3:$B$28=$B39,IF($D$3:$D$28=T$31,IF($F$3:$F$28&lt;&gt;"",$F$3:$F$28))),0.95),"")</f>
        <v/>
      </c>
      <c r="U39" s="101" t="str">
        <f t="array" ref="U39">IFERROR(PERCENTILE(IF($B$3:$B$28=$B39,IF($D$3:$D$28=U$31,IF($F$3:$F$28&lt;&gt;"",$F$3:$F$28))),0.95),"")</f>
        <v/>
      </c>
      <c r="V39" s="101" t="str">
        <f t="array" ref="V39">IFERROR(PERCENTILE(IF($B$3:$B$28=$B39,IF($D$3:$D$28=V$31,IF($F$3:$F$28&lt;&gt;"",$F$3:$F$28))),0.95),"")</f>
        <v/>
      </c>
      <c r="W39" s="101" t="str">
        <f t="array" ref="W39">IFERROR(PERCENTILE(IF($B$3:$B$28=$B39,IF($D$3:$D$28=W$31,IF($F$3:$F$28&lt;&gt;"",$F$3:$F$28))),0.95),"")</f>
        <v/>
      </c>
      <c r="X39" s="101" t="str">
        <f t="array" ref="X39">IFERROR(PERCENTILE(IF($B$3:$B$28=$B39,IF($D$3:$D$28=X$31,IF($F$3:$F$28&lt;&gt;"",$F$3:$F$28))),0.95),"")</f>
        <v/>
      </c>
      <c r="Y39" s="101" t="str">
        <f t="array" ref="Y39">IFERROR(PERCENTILE(IF($B$3:$B$28=$B39,IF($D$3:$D$28=Y$31,IF($F$3:$F$28&lt;&gt;"",$F$3:$F$28))),0.95),"")</f>
        <v/>
      </c>
      <c r="Z39" s="101" t="str">
        <f t="array" ref="Z39">IFERROR(PERCENTILE(IF($B$3:$B$28=$B39,IF($D$3:$D$28=Z$31,IF($F$3:$F$28&lt;&gt;"",$F$3:$F$28))),0.95),"")</f>
        <v/>
      </c>
      <c r="AA39" s="101" t="str">
        <f t="array" ref="AA39">IFERROR(PERCENTILE(IF($B$3:$B$28=$B39,IF($D$3:$D$28=AA$31,IF($F$3:$F$28&lt;&gt;"",$F$3:$F$28))),0.95),"")</f>
        <v/>
      </c>
      <c r="AB39" s="101" t="str">
        <f t="array" ref="AB39">IFERROR(PERCENTILE(IF($B$3:$B$28=$B39,IF($D$3:$D$28=AB$31,IF($F$3:$F$28&lt;&gt;"",$F$3:$F$28))),0.95),"")</f>
        <v/>
      </c>
      <c r="AC39" s="101">
        <f t="array" ref="AC39">IFERROR(PERCENTILE(IF($B$3:$B$28=$B39,IF($D$3:$D$28=AC$31,IF($F$3:$F$28&lt;&gt;"",$F$3:$F$28))),0.95),"")</f>
        <v>0.5</v>
      </c>
      <c r="AD39" s="101" t="str">
        <f t="array" ref="AD39">IFERROR(PERCENTILE(IF($B$3:$B$28=$B39,IF($D$3:$D$28=AD$31,IF($F$3:$F$28&lt;&gt;"",$F$3:$F$28))),0.95),"")</f>
        <v/>
      </c>
      <c r="AE39" s="101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1" t="str">
        <f t="array" ref="G40">IFERROR(PERCENTILE(IF($B$3:$B$28=$B40,IF($D$3:$D$28=G$31,IF($F$3:$F$28&lt;&gt;"",$F$3:$F$28))),0.95),"")</f>
        <v/>
      </c>
      <c r="H40" s="101" t="str">
        <f t="array" ref="H40">IFERROR(PERCENTILE(IF($B$3:$B$28=$B40,IF($D$3:$D$28=H$31,IF($F$3:$F$28&lt;&gt;"",$F$3:$F$28))),0.95),"")</f>
        <v/>
      </c>
      <c r="I40" s="101" t="str">
        <f t="array" ref="I40">IFERROR(PERCENTILE(IF($B$3:$B$28=$B40,IF($D$3:$D$28=I$31,IF($F$3:$F$28&lt;&gt;"",$F$3:$F$28))),0.95),"")</f>
        <v/>
      </c>
      <c r="J40" s="101" t="str">
        <f t="array" ref="J40">IFERROR(PERCENTILE(IF($B$3:$B$28=$B40,IF($D$3:$D$28=J$31,IF($F$3:$F$28&lt;&gt;"",$F$3:$F$28))),0.95),"")</f>
        <v/>
      </c>
      <c r="K40" s="101" t="str">
        <f t="array" ref="K40">IFERROR(PERCENTILE(IF($B$3:$B$28=$B40,IF($D$3:$D$28=K$31,IF($F$3:$F$28&lt;&gt;"",$F$3:$F$28))),0.95),"")</f>
        <v/>
      </c>
      <c r="L40" s="101" t="str">
        <f t="array" ref="L40">IFERROR(PERCENTILE(IF($B$3:$B$28=$B40,IF($D$3:$D$28=L$31,IF($F$3:$F$28&lt;&gt;"",$F$3:$F$28))),0.95),"")</f>
        <v/>
      </c>
      <c r="M40" s="101" t="str">
        <f t="array" ref="M40">IFERROR(PERCENTILE(IF($B$3:$B$28=$B40,IF($D$3:$D$28=M$31,IF($F$3:$F$28&lt;&gt;"",$F$3:$F$28))),0.95),"")</f>
        <v/>
      </c>
      <c r="N40" s="101" t="str">
        <f t="array" ref="N40">IFERROR(PERCENTILE(IF($B$3:$B$28=$B40,IF($D$3:$D$28=N$31,IF($F$3:$F$28&lt;&gt;"",$F$3:$F$28))),0.95),"")</f>
        <v/>
      </c>
      <c r="O40" s="101" t="str">
        <f t="array" ref="O40">IFERROR(PERCENTILE(IF($B$3:$B$28=$B40,IF($D$3:$D$28=O$31,IF($F$3:$F$28&lt;&gt;"",$F$3:$F$28))),0.95),"")</f>
        <v/>
      </c>
      <c r="P40" s="101" t="str">
        <f t="array" ref="P40">IFERROR(PERCENTILE(IF($B$3:$B$28=$B40,IF($D$3:$D$28=P$31,IF($F$3:$F$28&lt;&gt;"",$F$3:$F$28))),0.95),"")</f>
        <v/>
      </c>
      <c r="Q40" s="101">
        <f t="array" ref="Q40">IFERROR(PERCENTILE(IF($B$3:$B$28=$B40,IF($D$3:$D$28=Q$31,IF($F$3:$F$28&lt;&gt;"",$F$3:$F$28))),0.95),"")</f>
        <v>0.5</v>
      </c>
      <c r="R40" s="101" t="str">
        <f t="array" ref="R40">IFERROR(PERCENTILE(IF($B$3:$B$28=$B40,IF($D$3:$D$28=R$31,IF($F$3:$F$28&lt;&gt;"",$F$3:$F$28))),0.95),"")</f>
        <v/>
      </c>
      <c r="S40" s="101" t="str">
        <f t="array" ref="S40">IFERROR(PERCENTILE(IF($B$3:$B$28=$B40,IF($D$3:$D$28=S$31,IF($F$3:$F$28&lt;&gt;"",$F$3:$F$28))),0.95),"")</f>
        <v/>
      </c>
      <c r="T40" s="101" t="str">
        <f t="array" ref="T40">IFERROR(PERCENTILE(IF($B$3:$B$28=$B40,IF($D$3:$D$28=T$31,IF($F$3:$F$28&lt;&gt;"",$F$3:$F$28))),0.95),"")</f>
        <v/>
      </c>
      <c r="U40" s="101" t="str">
        <f t="array" ref="U40">IFERROR(PERCENTILE(IF($B$3:$B$28=$B40,IF($D$3:$D$28=U$31,IF($F$3:$F$28&lt;&gt;"",$F$3:$F$28))),0.95),"")</f>
        <v/>
      </c>
      <c r="V40" s="101" t="str">
        <f t="array" ref="V40">IFERROR(PERCENTILE(IF($B$3:$B$28=$B40,IF($D$3:$D$28=V$31,IF($F$3:$F$28&lt;&gt;"",$F$3:$F$28))),0.95),"")</f>
        <v/>
      </c>
      <c r="W40" s="101" t="str">
        <f t="array" ref="W40">IFERROR(PERCENTILE(IF($B$3:$B$28=$B40,IF($D$3:$D$28=W$31,IF($F$3:$F$28&lt;&gt;"",$F$3:$F$28))),0.95),"")</f>
        <v/>
      </c>
      <c r="X40" s="101" t="str">
        <f t="array" ref="X40">IFERROR(PERCENTILE(IF($B$3:$B$28=$B40,IF($D$3:$D$28=X$31,IF($F$3:$F$28&lt;&gt;"",$F$3:$F$28))),0.95),"")</f>
        <v/>
      </c>
      <c r="Y40" s="101" t="str">
        <f t="array" ref="Y40">IFERROR(PERCENTILE(IF($B$3:$B$28=$B40,IF($D$3:$D$28=Y$31,IF($F$3:$F$28&lt;&gt;"",$F$3:$F$28))),0.95),"")</f>
        <v/>
      </c>
      <c r="Z40" s="101" t="str">
        <f t="array" ref="Z40">IFERROR(PERCENTILE(IF($B$3:$B$28=$B40,IF($D$3:$D$28=Z$31,IF($F$3:$F$28&lt;&gt;"",$F$3:$F$28))),0.95),"")</f>
        <v/>
      </c>
      <c r="AA40" s="101" t="str">
        <f t="array" ref="AA40">IFERROR(PERCENTILE(IF($B$3:$B$28=$B40,IF($D$3:$D$28=AA$31,IF($F$3:$F$28&lt;&gt;"",$F$3:$F$28))),0.95),"")</f>
        <v/>
      </c>
      <c r="AB40" s="101" t="str">
        <f t="array" ref="AB40">IFERROR(PERCENTILE(IF($B$3:$B$28=$B40,IF($D$3:$D$28=AB$31,IF($F$3:$F$28&lt;&gt;"",$F$3:$F$28))),0.95),"")</f>
        <v/>
      </c>
      <c r="AC40" s="101" t="str">
        <f t="array" ref="AC40">IFERROR(PERCENTILE(IF($B$3:$B$28=$B40,IF($D$3:$D$28=AC$31,IF($F$3:$F$28&lt;&gt;"",$F$3:$F$28))),0.95),"")</f>
        <v/>
      </c>
      <c r="AD40" s="101">
        <f t="array" ref="AD40">IFERROR(PERCENTILE(IF($B$3:$B$28=$B40,IF($D$3:$D$28=AD$31,IF($F$3:$F$28&lt;&gt;"",$F$3:$F$28))),0.95),"")</f>
        <v>0.5</v>
      </c>
      <c r="AE40" s="101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1" t="str">
        <f t="array" ref="G41">IFERROR(PERCENTILE(IF($B$3:$B$28=$B41,IF($D$3:$D$28=G$31,IF($F$3:$F$28&lt;&gt;"",$F$3:$F$28))),0.95),"")</f>
        <v/>
      </c>
      <c r="H41" s="101" t="str">
        <f t="array" ref="H41">IFERROR(PERCENTILE(IF($B$3:$B$28=$B41,IF($D$3:$D$28=H$31,IF($F$3:$F$28&lt;&gt;"",$F$3:$F$28))),0.95),"")</f>
        <v/>
      </c>
      <c r="I41" s="101" t="str">
        <f t="array" ref="I41">IFERROR(PERCENTILE(IF($B$3:$B$28=$B41,IF($D$3:$D$28=I$31,IF($F$3:$F$28&lt;&gt;"",$F$3:$F$28))),0.95),"")</f>
        <v/>
      </c>
      <c r="J41" s="101" t="str">
        <f t="array" ref="J41">IFERROR(PERCENTILE(IF($B$3:$B$28=$B41,IF($D$3:$D$28=J$31,IF($F$3:$F$28&lt;&gt;"",$F$3:$F$28))),0.95),"")</f>
        <v/>
      </c>
      <c r="K41" s="101" t="str">
        <f t="array" ref="K41">IFERROR(PERCENTILE(IF($B$3:$B$28=$B41,IF($D$3:$D$28=K$31,IF($F$3:$F$28&lt;&gt;"",$F$3:$F$28))),0.95),"")</f>
        <v/>
      </c>
      <c r="L41" s="101" t="str">
        <f t="array" ref="L41">IFERROR(PERCENTILE(IF($B$3:$B$28=$B41,IF($D$3:$D$28=L$31,IF($F$3:$F$28&lt;&gt;"",$F$3:$F$28))),0.95),"")</f>
        <v/>
      </c>
      <c r="M41" s="101" t="str">
        <f t="array" ref="M41">IFERROR(PERCENTILE(IF($B$3:$B$28=$B41,IF($D$3:$D$28=M$31,IF($F$3:$F$28&lt;&gt;"",$F$3:$F$28))),0.95),"")</f>
        <v/>
      </c>
      <c r="N41" s="101" t="str">
        <f t="array" ref="N41">IFERROR(PERCENTILE(IF($B$3:$B$28=$B41,IF($D$3:$D$28=N$31,IF($F$3:$F$28&lt;&gt;"",$F$3:$F$28))),0.95),"")</f>
        <v/>
      </c>
      <c r="O41" s="101" t="str">
        <f t="array" ref="O41">IFERROR(PERCENTILE(IF($B$3:$B$28=$B41,IF($D$3:$D$28=O$31,IF($F$3:$F$28&lt;&gt;"",$F$3:$F$28))),0.95),"")</f>
        <v/>
      </c>
      <c r="P41" s="101" t="str">
        <f t="array" ref="P41">IFERROR(PERCENTILE(IF($B$3:$B$28=$B41,IF($D$3:$D$28=P$31,IF($F$3:$F$28&lt;&gt;"",$F$3:$F$28))),0.95),"")</f>
        <v/>
      </c>
      <c r="Q41" s="101" t="str">
        <f t="array" ref="Q41">IFERROR(PERCENTILE(IF($B$3:$B$28=$B41,IF($D$3:$D$28=Q$31,IF($F$3:$F$28&lt;&gt;"",$F$3:$F$28))),0.95),"")</f>
        <v/>
      </c>
      <c r="R41" s="101">
        <f t="array" ref="R41">IFERROR(PERCENTILE(IF($B$3:$B$28=$B41,IF($D$3:$D$28=R$31,IF($F$3:$F$28&lt;&gt;"",$F$3:$F$28))),0.95),"")</f>
        <v>0.5</v>
      </c>
      <c r="S41" s="101" t="str">
        <f t="array" ref="S41">IFERROR(PERCENTILE(IF($B$3:$B$28=$B41,IF($D$3:$D$28=S$31,IF($F$3:$F$28&lt;&gt;"",$F$3:$F$28))),0.95),"")</f>
        <v/>
      </c>
      <c r="T41" s="101" t="str">
        <f t="array" ref="T41">IFERROR(PERCENTILE(IF($B$3:$B$28=$B41,IF($D$3:$D$28=T$31,IF($F$3:$F$28&lt;&gt;"",$F$3:$F$28))),0.95),"")</f>
        <v/>
      </c>
      <c r="U41" s="101" t="str">
        <f t="array" ref="U41">IFERROR(PERCENTILE(IF($B$3:$B$28=$B41,IF($D$3:$D$28=U$31,IF($F$3:$F$28&lt;&gt;"",$F$3:$F$28))),0.95),"")</f>
        <v/>
      </c>
      <c r="V41" s="101" t="str">
        <f t="array" ref="V41">IFERROR(PERCENTILE(IF($B$3:$B$28=$B41,IF($D$3:$D$28=V$31,IF($F$3:$F$28&lt;&gt;"",$F$3:$F$28))),0.95),"")</f>
        <v/>
      </c>
      <c r="W41" s="101" t="str">
        <f t="array" ref="W41">IFERROR(PERCENTILE(IF($B$3:$B$28=$B41,IF($D$3:$D$28=W$31,IF($F$3:$F$28&lt;&gt;"",$F$3:$F$28))),0.95),"")</f>
        <v/>
      </c>
      <c r="X41" s="101" t="str">
        <f t="array" ref="X41">IFERROR(PERCENTILE(IF($B$3:$B$28=$B41,IF($D$3:$D$28=X$31,IF($F$3:$F$28&lt;&gt;"",$F$3:$F$28))),0.95),"")</f>
        <v/>
      </c>
      <c r="Y41" s="101" t="str">
        <f t="array" ref="Y41">IFERROR(PERCENTILE(IF($B$3:$B$28=$B41,IF($D$3:$D$28=Y$31,IF($F$3:$F$28&lt;&gt;"",$F$3:$F$28))),0.95),"")</f>
        <v/>
      </c>
      <c r="Z41" s="101" t="str">
        <f t="array" ref="Z41">IFERROR(PERCENTILE(IF($B$3:$B$28=$B41,IF($D$3:$D$28=Z$31,IF($F$3:$F$28&lt;&gt;"",$F$3:$F$28))),0.95),"")</f>
        <v/>
      </c>
      <c r="AA41" s="101" t="str">
        <f t="array" ref="AA41">IFERROR(PERCENTILE(IF($B$3:$B$28=$B41,IF($D$3:$D$28=AA$31,IF($F$3:$F$28&lt;&gt;"",$F$3:$F$28))),0.95),"")</f>
        <v/>
      </c>
      <c r="AB41" s="101" t="str">
        <f t="array" ref="AB41">IFERROR(PERCENTILE(IF($B$3:$B$28=$B41,IF($D$3:$D$28=AB$31,IF($F$3:$F$28&lt;&gt;"",$F$3:$F$28))),0.95),"")</f>
        <v/>
      </c>
      <c r="AC41" s="101" t="str">
        <f t="array" ref="AC41">IFERROR(PERCENTILE(IF($B$3:$B$28=$B41,IF($D$3:$D$28=AC$31,IF($F$3:$F$28&lt;&gt;"",$F$3:$F$28))),0.95),"")</f>
        <v/>
      </c>
      <c r="AD41" s="101" t="str">
        <f t="array" ref="AD41">IFERROR(PERCENTILE(IF($B$3:$B$28=$B41,IF($D$3:$D$28=AD$31,IF($F$3:$F$28&lt;&gt;"",$F$3:$F$28))),0.95),"")</f>
        <v/>
      </c>
      <c r="AE41" s="101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1" t="str">
        <f t="array" ref="G42">IFERROR(PERCENTILE(IF($B$3:$B$28=$B42,IF($D$3:$D$28=G$31,IF($F$3:$F$28&lt;&gt;"",$F$3:$F$28))),0.95),"")</f>
        <v/>
      </c>
      <c r="H42" s="101" t="str">
        <f t="array" ref="H42">IFERROR(PERCENTILE(IF($B$3:$B$28=$B42,IF($D$3:$D$28=H$31,IF($F$3:$F$28&lt;&gt;"",$F$3:$F$28))),0.95),"")</f>
        <v/>
      </c>
      <c r="I42" s="101" t="str">
        <f t="array" ref="I42">IFERROR(PERCENTILE(IF($B$3:$B$28=$B42,IF($D$3:$D$28=I$31,IF($F$3:$F$28&lt;&gt;"",$F$3:$F$28))),0.95),"")</f>
        <v/>
      </c>
      <c r="J42" s="101" t="str">
        <f t="array" ref="J42">IFERROR(PERCENTILE(IF($B$3:$B$28=$B42,IF($D$3:$D$28=J$31,IF($F$3:$F$28&lt;&gt;"",$F$3:$F$28))),0.95),"")</f>
        <v/>
      </c>
      <c r="K42" s="101" t="str">
        <f t="array" ref="K42">IFERROR(PERCENTILE(IF($B$3:$B$28=$B42,IF($D$3:$D$28=K$31,IF($F$3:$F$28&lt;&gt;"",$F$3:$F$28))),0.95),"")</f>
        <v/>
      </c>
      <c r="L42" s="101" t="str">
        <f t="array" ref="L42">IFERROR(PERCENTILE(IF($B$3:$B$28=$B42,IF($D$3:$D$28=L$31,IF($F$3:$F$28&lt;&gt;"",$F$3:$F$28))),0.95),"")</f>
        <v/>
      </c>
      <c r="M42" s="101" t="str">
        <f t="array" ref="M42">IFERROR(PERCENTILE(IF($B$3:$B$28=$B42,IF($D$3:$D$28=M$31,IF($F$3:$F$28&lt;&gt;"",$F$3:$F$28))),0.95),"")</f>
        <v/>
      </c>
      <c r="N42" s="101" t="str">
        <f t="array" ref="N42">IFERROR(PERCENTILE(IF($B$3:$B$28=$B42,IF($D$3:$D$28=N$31,IF($F$3:$F$28&lt;&gt;"",$F$3:$F$28))),0.95),"")</f>
        <v/>
      </c>
      <c r="O42" s="101" t="str">
        <f t="array" ref="O42">IFERROR(PERCENTILE(IF($B$3:$B$28=$B42,IF($D$3:$D$28=O$31,IF($F$3:$F$28&lt;&gt;"",$F$3:$F$28))),0.95),"")</f>
        <v/>
      </c>
      <c r="P42" s="101" t="str">
        <f t="array" ref="P42">IFERROR(PERCENTILE(IF($B$3:$B$28=$B42,IF($D$3:$D$28=P$31,IF($F$3:$F$28&lt;&gt;"",$F$3:$F$28))),0.95),"")</f>
        <v/>
      </c>
      <c r="Q42" s="101" t="str">
        <f t="array" ref="Q42">IFERROR(PERCENTILE(IF($B$3:$B$28=$B42,IF($D$3:$D$28=Q$31,IF($F$3:$F$28&lt;&gt;"",$F$3:$F$28))),0.95),"")</f>
        <v/>
      </c>
      <c r="R42" s="101" t="str">
        <f t="array" ref="R42">IFERROR(PERCENTILE(IF($B$3:$B$28=$B42,IF($D$3:$D$28=R$31,IF($F$3:$F$28&lt;&gt;"",$F$3:$F$28))),0.95),"")</f>
        <v/>
      </c>
      <c r="S42" s="101">
        <f t="array" ref="S42">IFERROR(PERCENTILE(IF($B$3:$B$28=$B42,IF($D$3:$D$28=S$31,IF($F$3:$F$28&lt;&gt;"",$F$3:$F$28))),0.95),"")</f>
        <v>0.5</v>
      </c>
      <c r="T42" s="101" t="str">
        <f t="array" ref="T42">IFERROR(PERCENTILE(IF($B$3:$B$28=$B42,IF($D$3:$D$28=T$31,IF($F$3:$F$28&lt;&gt;"",$F$3:$F$28))),0.95),"")</f>
        <v/>
      </c>
      <c r="U42" s="101" t="str">
        <f t="array" ref="U42">IFERROR(PERCENTILE(IF($B$3:$B$28=$B42,IF($D$3:$D$28=U$31,IF($F$3:$F$28&lt;&gt;"",$F$3:$F$28))),0.95),"")</f>
        <v/>
      </c>
      <c r="V42" s="101" t="str">
        <f t="array" ref="V42">IFERROR(PERCENTILE(IF($B$3:$B$28=$B42,IF($D$3:$D$28=V$31,IF($F$3:$F$28&lt;&gt;"",$F$3:$F$28))),0.95),"")</f>
        <v/>
      </c>
      <c r="W42" s="101" t="str">
        <f t="array" ref="W42">IFERROR(PERCENTILE(IF($B$3:$B$28=$B42,IF($D$3:$D$28=W$31,IF($F$3:$F$28&lt;&gt;"",$F$3:$F$28))),0.95),"")</f>
        <v/>
      </c>
      <c r="X42" s="101" t="str">
        <f t="array" ref="X42">IFERROR(PERCENTILE(IF($B$3:$B$28=$B42,IF($D$3:$D$28=X$31,IF($F$3:$F$28&lt;&gt;"",$F$3:$F$28))),0.95),"")</f>
        <v/>
      </c>
      <c r="Y42" s="101" t="str">
        <f t="array" ref="Y42">IFERROR(PERCENTILE(IF($B$3:$B$28=$B42,IF($D$3:$D$28=Y$31,IF($F$3:$F$28&lt;&gt;"",$F$3:$F$28))),0.95),"")</f>
        <v/>
      </c>
      <c r="Z42" s="101" t="str">
        <f t="array" ref="Z42">IFERROR(PERCENTILE(IF($B$3:$B$28=$B42,IF($D$3:$D$28=Z$31,IF($F$3:$F$28&lt;&gt;"",$F$3:$F$28))),0.95),"")</f>
        <v/>
      </c>
      <c r="AA42" s="101" t="str">
        <f t="array" ref="AA42">IFERROR(PERCENTILE(IF($B$3:$B$28=$B42,IF($D$3:$D$28=AA$31,IF($F$3:$F$28&lt;&gt;"",$F$3:$F$28))),0.95),"")</f>
        <v/>
      </c>
      <c r="AB42" s="101" t="str">
        <f t="array" ref="AB42">IFERROR(PERCENTILE(IF($B$3:$B$28=$B42,IF($D$3:$D$28=AB$31,IF($F$3:$F$28&lt;&gt;"",$F$3:$F$28))),0.95),"")</f>
        <v/>
      </c>
      <c r="AC42" s="101" t="str">
        <f t="array" ref="AC42">IFERROR(PERCENTILE(IF($B$3:$B$28=$B42,IF($D$3:$D$28=AC$31,IF($F$3:$F$28&lt;&gt;"",$F$3:$F$28))),0.95),"")</f>
        <v/>
      </c>
      <c r="AD42" s="101" t="str">
        <f t="array" ref="AD42">IFERROR(PERCENTILE(IF($B$3:$B$28=$B42,IF($D$3:$D$28=AD$31,IF($F$3:$F$28&lt;&gt;"",$F$3:$F$28))),0.95),"")</f>
        <v/>
      </c>
      <c r="AE42" s="101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</row>
    <row r="44" spans="1:31" ht="9" customHeight="1" x14ac:dyDescent="0.25">
      <c r="A44" s="41" t="s">
        <v>549</v>
      </c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3">
        <f t="shared" ref="G46:AE46" si="4">IFERROR(AVERAGE(G33:G44),0)</f>
        <v>0.62</v>
      </c>
      <c r="H46" s="103">
        <f t="shared" si="4"/>
        <v>0.19</v>
      </c>
      <c r="I46" s="103">
        <f t="shared" si="4"/>
        <v>0.44</v>
      </c>
      <c r="J46" s="103">
        <f t="shared" si="4"/>
        <v>0.73</v>
      </c>
      <c r="K46" s="103">
        <f t="shared" si="4"/>
        <v>0.99</v>
      </c>
      <c r="L46" s="103">
        <f t="shared" si="4"/>
        <v>0.11</v>
      </c>
      <c r="M46" s="103">
        <f t="shared" si="4"/>
        <v>0.25</v>
      </c>
      <c r="N46" s="103">
        <f t="shared" si="4"/>
        <v>0.25</v>
      </c>
      <c r="O46" s="103">
        <f t="shared" si="4"/>
        <v>0.33</v>
      </c>
      <c r="P46" s="103">
        <f t="shared" si="4"/>
        <v>0.19</v>
      </c>
      <c r="Q46" s="103">
        <f t="shared" si="4"/>
        <v>0.5</v>
      </c>
      <c r="R46" s="103">
        <f t="shared" si="4"/>
        <v>0.5</v>
      </c>
      <c r="S46" s="103">
        <f t="shared" si="4"/>
        <v>0.5</v>
      </c>
      <c r="T46" s="103">
        <f t="shared" si="4"/>
        <v>0.19</v>
      </c>
      <c r="U46" s="103">
        <f t="shared" si="4"/>
        <v>0.44</v>
      </c>
      <c r="V46" s="103">
        <f t="shared" si="4"/>
        <v>0.73</v>
      </c>
      <c r="W46" s="103">
        <f t="shared" si="4"/>
        <v>0.99</v>
      </c>
      <c r="X46" s="103">
        <f t="shared" si="4"/>
        <v>0.11</v>
      </c>
      <c r="Y46" s="103">
        <f t="shared" si="4"/>
        <v>0.25</v>
      </c>
      <c r="Z46" s="103">
        <f t="shared" si="4"/>
        <v>0.25</v>
      </c>
      <c r="AA46" s="103">
        <f t="shared" si="4"/>
        <v>0.33</v>
      </c>
      <c r="AB46" s="103">
        <f t="shared" si="4"/>
        <v>0.19</v>
      </c>
      <c r="AC46" s="103">
        <f t="shared" si="4"/>
        <v>0.5</v>
      </c>
      <c r="AD46" s="103">
        <f t="shared" si="4"/>
        <v>0.5</v>
      </c>
      <c r="AE46" s="103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KddY3xkeoEnMi/SZycTs03AUH+cIRAuv0H9Q60qH4lF1th66ntMA3/pBgubnAgb+4q0XH+E7ZZmuUMcBV7C4Zw==" saltValue="tiOJmf8bQZGVlCOa3KC2sQ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topLeftCell="A13" zoomScaleNormal="100" workbookViewId="0">
      <selection activeCell="D28" sqref="D28"/>
    </sheetView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21" t="s">
        <v>568</v>
      </c>
      <c r="C2" s="222"/>
      <c r="D2" s="34" t="s">
        <v>626</v>
      </c>
      <c r="E2" s="1"/>
    </row>
    <row r="3" spans="1:5" x14ac:dyDescent="0.25">
      <c r="A3" s="4" t="s">
        <v>601</v>
      </c>
      <c r="B3" s="219" t="s">
        <v>697</v>
      </c>
      <c r="C3" s="220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2" t="s">
        <v>632</v>
      </c>
      <c r="C5" s="107"/>
      <c r="D5" s="161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ebkEXsk0VFp6zfGZqBPKZfNtVGr1n+7osaGSRaFd+Poqsm75FtGqaikh2CbNU2Ac8ZzsCrKbafqZzS/7oNdxog==" saltValue="Rjp/YIqgmiAX8YewfCId3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 activeCell="I25" sqref="I25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78" t="s">
        <v>734</v>
      </c>
      <c r="C3" s="79">
        <v>223</v>
      </c>
      <c r="D3" s="99">
        <v>44012</v>
      </c>
      <c r="E3" s="105">
        <v>0.375</v>
      </c>
      <c r="F3" s="106">
        <v>0.5</v>
      </c>
      <c r="G3" s="100">
        <v>2654</v>
      </c>
    </row>
    <row r="4" spans="1:8" x14ac:dyDescent="0.25">
      <c r="B4" s="78" t="s">
        <v>735</v>
      </c>
      <c r="C4" s="79">
        <v>224</v>
      </c>
      <c r="D4" s="99">
        <v>43982</v>
      </c>
      <c r="E4" s="105">
        <v>0.41666666666666669</v>
      </c>
      <c r="F4" s="106">
        <v>0.5</v>
      </c>
      <c r="G4" s="100">
        <v>1173</v>
      </c>
      <c r="H4" s="49"/>
    </row>
    <row r="5" spans="1:8" x14ac:dyDescent="0.25">
      <c r="B5" s="78" t="s">
        <v>736</v>
      </c>
      <c r="C5" s="79">
        <v>225</v>
      </c>
      <c r="D5" s="99">
        <v>43951</v>
      </c>
      <c r="E5" s="105">
        <v>0.45833333333333331</v>
      </c>
      <c r="F5" s="106">
        <v>0.5</v>
      </c>
      <c r="G5" s="100">
        <v>1098</v>
      </c>
      <c r="H5" s="49"/>
    </row>
    <row r="6" spans="1:8" x14ac:dyDescent="0.25">
      <c r="B6" s="78" t="s">
        <v>737</v>
      </c>
      <c r="C6" s="79">
        <v>226</v>
      </c>
      <c r="D6" s="99">
        <v>43921</v>
      </c>
      <c r="E6" s="105">
        <v>0.10416666666666667</v>
      </c>
      <c r="F6" s="106">
        <v>0.18958333333333333</v>
      </c>
      <c r="G6" s="100">
        <v>986</v>
      </c>
      <c r="H6" s="49"/>
    </row>
    <row r="7" spans="1:8" x14ac:dyDescent="0.25">
      <c r="B7" s="78" t="s">
        <v>738</v>
      </c>
      <c r="C7" s="79">
        <v>227</v>
      </c>
      <c r="D7" s="99">
        <v>43889</v>
      </c>
      <c r="E7" s="105">
        <v>0.14583333333333334</v>
      </c>
      <c r="F7" s="106">
        <v>0.3298611111111111</v>
      </c>
      <c r="G7" s="100">
        <v>1212</v>
      </c>
      <c r="H7" s="49"/>
    </row>
    <row r="8" spans="1:8" x14ac:dyDescent="0.25">
      <c r="B8" s="78" t="s">
        <v>735</v>
      </c>
      <c r="C8" s="79">
        <v>228</v>
      </c>
      <c r="D8" s="99">
        <v>43861</v>
      </c>
      <c r="E8" s="105">
        <v>8.3333333333333329E-2</v>
      </c>
      <c r="F8" s="106">
        <v>0.25</v>
      </c>
      <c r="G8" s="100">
        <v>1993</v>
      </c>
      <c r="H8" s="49"/>
    </row>
    <row r="9" spans="1:8" x14ac:dyDescent="0.25">
      <c r="B9" s="78" t="s">
        <v>736</v>
      </c>
      <c r="C9" s="79">
        <v>229</v>
      </c>
      <c r="D9" s="99">
        <v>43830</v>
      </c>
      <c r="E9" s="105">
        <v>0.125</v>
      </c>
      <c r="F9" s="106">
        <v>0.25</v>
      </c>
      <c r="G9" s="100">
        <v>2323</v>
      </c>
      <c r="H9" s="49"/>
    </row>
    <row r="10" spans="1:8" x14ac:dyDescent="0.25">
      <c r="B10" s="78" t="s">
        <v>734</v>
      </c>
      <c r="C10" s="79">
        <v>230</v>
      </c>
      <c r="D10" s="99">
        <v>43799</v>
      </c>
      <c r="E10" s="105">
        <v>0.29166666666666669</v>
      </c>
      <c r="F10" s="106">
        <v>0.5</v>
      </c>
      <c r="G10" s="100">
        <v>2566</v>
      </c>
      <c r="H10" s="49"/>
    </row>
    <row r="11" spans="1:8" x14ac:dyDescent="0.25">
      <c r="B11" s="78" t="s">
        <v>739</v>
      </c>
      <c r="C11" s="79">
        <v>231</v>
      </c>
      <c r="D11" s="99">
        <v>43769</v>
      </c>
      <c r="E11" s="105">
        <v>0.45833333333333331</v>
      </c>
      <c r="F11" s="106">
        <v>0.5</v>
      </c>
      <c r="G11" s="100">
        <v>2577</v>
      </c>
      <c r="H11" s="49"/>
    </row>
    <row r="12" spans="1:8" x14ac:dyDescent="0.25">
      <c r="B12" s="78" t="s">
        <v>740</v>
      </c>
      <c r="C12" s="79">
        <v>232</v>
      </c>
      <c r="D12" s="99">
        <v>43738</v>
      </c>
      <c r="E12" s="105">
        <v>0.10416666666666667</v>
      </c>
      <c r="F12" s="106">
        <v>0.18958333333333333</v>
      </c>
      <c r="G12" s="100">
        <v>2756</v>
      </c>
      <c r="H12" s="49"/>
    </row>
    <row r="13" spans="1:8" x14ac:dyDescent="0.25">
      <c r="B13" s="78" t="s">
        <v>741</v>
      </c>
      <c r="C13" s="79">
        <v>233</v>
      </c>
      <c r="D13" s="99">
        <v>43708</v>
      </c>
      <c r="E13" s="105">
        <v>0.14583333333333334</v>
      </c>
      <c r="F13" s="106">
        <v>0.3298611111111111</v>
      </c>
      <c r="G13" s="100">
        <v>2677</v>
      </c>
      <c r="H13" s="49"/>
    </row>
    <row r="14" spans="1:8" x14ac:dyDescent="0.25">
      <c r="B14" s="78" t="s">
        <v>742</v>
      </c>
      <c r="C14" s="79">
        <v>234</v>
      </c>
      <c r="D14" s="99">
        <v>43677</v>
      </c>
      <c r="E14" s="105">
        <v>8.3333333333333329E-2</v>
      </c>
      <c r="F14" s="106">
        <v>0.25</v>
      </c>
      <c r="G14" s="100">
        <v>1232</v>
      </c>
      <c r="H14" s="49"/>
    </row>
    <row r="15" spans="1:8" x14ac:dyDescent="0.25">
      <c r="B15" s="78" t="s">
        <v>743</v>
      </c>
      <c r="C15" s="79">
        <v>235</v>
      </c>
      <c r="D15" s="99">
        <v>43646</v>
      </c>
      <c r="E15" s="105">
        <v>0.125</v>
      </c>
      <c r="F15" s="106">
        <v>0.25</v>
      </c>
      <c r="G15" s="100">
        <v>3221</v>
      </c>
      <c r="H15" s="49"/>
    </row>
    <row r="16" spans="1:8" x14ac:dyDescent="0.25">
      <c r="B16" s="78" t="s">
        <v>734</v>
      </c>
      <c r="C16" s="79">
        <v>236</v>
      </c>
      <c r="D16" s="99">
        <v>43616</v>
      </c>
      <c r="E16" s="105">
        <v>0.375</v>
      </c>
      <c r="F16" s="106">
        <v>0.5</v>
      </c>
      <c r="G16" s="100">
        <v>1173</v>
      </c>
      <c r="H16" s="49"/>
    </row>
    <row r="17" spans="1:32" x14ac:dyDescent="0.25">
      <c r="B17" s="78" t="s">
        <v>735</v>
      </c>
      <c r="C17" s="79">
        <v>237</v>
      </c>
      <c r="D17" s="99">
        <v>43585</v>
      </c>
      <c r="E17" s="105">
        <v>0.41666666666666669</v>
      </c>
      <c r="F17" s="106">
        <v>0.5</v>
      </c>
      <c r="G17" s="100">
        <v>1098</v>
      </c>
      <c r="H17" s="49"/>
    </row>
    <row r="18" spans="1:32" x14ac:dyDescent="0.25">
      <c r="B18" s="78" t="s">
        <v>736</v>
      </c>
      <c r="C18" s="79">
        <v>238</v>
      </c>
      <c r="D18" s="99">
        <v>43555</v>
      </c>
      <c r="E18" s="105">
        <v>0.45833333333333331</v>
      </c>
      <c r="F18" s="106">
        <v>0.5</v>
      </c>
      <c r="G18" s="100">
        <v>986</v>
      </c>
      <c r="H18" s="49"/>
    </row>
    <row r="19" spans="1:32" x14ac:dyDescent="0.25">
      <c r="B19" s="78" t="s">
        <v>737</v>
      </c>
      <c r="C19" s="79">
        <v>239</v>
      </c>
      <c r="D19" s="99">
        <v>43524</v>
      </c>
      <c r="E19" s="105">
        <v>0.10416666666666667</v>
      </c>
      <c r="F19" s="106">
        <v>0.18958333333333333</v>
      </c>
      <c r="G19" s="100">
        <v>1212</v>
      </c>
      <c r="H19" s="49"/>
    </row>
    <row r="20" spans="1:32" x14ac:dyDescent="0.25">
      <c r="B20" s="78" t="s">
        <v>738</v>
      </c>
      <c r="C20" s="79">
        <v>240</v>
      </c>
      <c r="D20" s="99">
        <v>43496</v>
      </c>
      <c r="E20" s="105">
        <v>0.14583333333333334</v>
      </c>
      <c r="F20" s="106">
        <v>0.3298611111111111</v>
      </c>
      <c r="G20" s="100">
        <v>1993</v>
      </c>
      <c r="H20" s="49"/>
    </row>
    <row r="21" spans="1:32" x14ac:dyDescent="0.25">
      <c r="B21" s="78" t="s">
        <v>735</v>
      </c>
      <c r="C21" s="79">
        <v>241</v>
      </c>
      <c r="D21" s="99">
        <v>43465</v>
      </c>
      <c r="E21" s="105">
        <v>8.3333333333333329E-2</v>
      </c>
      <c r="F21" s="106">
        <v>0.25</v>
      </c>
      <c r="G21" s="100">
        <v>2323</v>
      </c>
      <c r="H21" s="49"/>
    </row>
    <row r="22" spans="1:32" x14ac:dyDescent="0.25">
      <c r="B22" s="78" t="s">
        <v>736</v>
      </c>
      <c r="C22" s="79">
        <v>242</v>
      </c>
      <c r="D22" s="99">
        <v>43434</v>
      </c>
      <c r="E22" s="105">
        <v>0.125</v>
      </c>
      <c r="F22" s="106">
        <v>0.25</v>
      </c>
      <c r="G22" s="100">
        <v>2566</v>
      </c>
      <c r="H22" s="49"/>
    </row>
    <row r="23" spans="1:32" x14ac:dyDescent="0.25">
      <c r="B23" s="78" t="s">
        <v>734</v>
      </c>
      <c r="C23" s="79">
        <v>243</v>
      </c>
      <c r="D23" s="99">
        <v>43404</v>
      </c>
      <c r="E23" s="105">
        <v>0.29166666666666669</v>
      </c>
      <c r="F23" s="106">
        <v>0.5</v>
      </c>
      <c r="G23" s="100">
        <v>2577</v>
      </c>
      <c r="H23" s="49"/>
    </row>
    <row r="24" spans="1:32" x14ac:dyDescent="0.25">
      <c r="B24" s="78" t="s">
        <v>739</v>
      </c>
      <c r="C24" s="79">
        <v>244</v>
      </c>
      <c r="D24" s="99">
        <v>43373</v>
      </c>
      <c r="E24" s="105">
        <v>0.45833333333333331</v>
      </c>
      <c r="F24" s="106">
        <v>0.5</v>
      </c>
      <c r="G24" s="100">
        <v>2756</v>
      </c>
      <c r="H24" s="49"/>
    </row>
    <row r="25" spans="1:32" x14ac:dyDescent="0.25">
      <c r="B25" s="78" t="s">
        <v>740</v>
      </c>
      <c r="C25" s="79">
        <v>245</v>
      </c>
      <c r="D25" s="99">
        <v>43343</v>
      </c>
      <c r="E25" s="105">
        <v>0.10416666666666667</v>
      </c>
      <c r="F25" s="106">
        <v>0.18958333333333333</v>
      </c>
      <c r="G25" s="100">
        <v>2677</v>
      </c>
      <c r="H25" s="49"/>
    </row>
    <row r="26" spans="1:32" x14ac:dyDescent="0.25">
      <c r="B26" s="78" t="s">
        <v>741</v>
      </c>
      <c r="C26" s="79">
        <v>246</v>
      </c>
      <c r="D26" s="99">
        <v>43312</v>
      </c>
      <c r="E26" s="105">
        <v>0.14583333333333334</v>
      </c>
      <c r="F26" s="106">
        <v>0.3298611111111111</v>
      </c>
      <c r="G26" s="100">
        <v>1232</v>
      </c>
      <c r="H26" s="49"/>
    </row>
    <row r="27" spans="1:32" x14ac:dyDescent="0.25">
      <c r="B27" s="78" t="s">
        <v>738</v>
      </c>
      <c r="C27" s="79">
        <v>247</v>
      </c>
      <c r="D27" s="99">
        <v>43281</v>
      </c>
      <c r="E27" s="105">
        <v>8.3333333333333329E-2</v>
      </c>
      <c r="F27" s="106">
        <v>0.25</v>
      </c>
      <c r="G27" s="100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23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24"/>
      <c r="C31" s="66"/>
      <c r="D31" s="66"/>
      <c r="E31" s="66"/>
      <c r="F31" s="66"/>
      <c r="G31" s="67"/>
      <c r="H31" s="172">
        <f t="array" ref="H31">IFERROR(INDEX($D$3:$D$28, MATCH(0,IF(ISBLANK($D$3:$D$28),1,COUNTIF($G$31:G31, $D$3:$D$28)), 0)),"")</f>
        <v>44012</v>
      </c>
      <c r="I31" s="172">
        <f t="array" ref="I31">IFERROR(INDEX($D$3:$D$28, MATCH(0,IF(ISBLANK($D$3:$D$28),1,COUNTIF($G$31:H31, $D$3:$D$28)), 0)),"")</f>
        <v>43982</v>
      </c>
      <c r="J31" s="172">
        <f t="array" ref="J31">IFERROR(INDEX($D$3:$D$28, MATCH(0,IF(ISBLANK($D$3:$D$28),1,COUNTIF($G$31:I31, $D$3:$D$28)), 0)),"")</f>
        <v>43951</v>
      </c>
      <c r="K31" s="172">
        <f t="array" ref="K31">IFERROR(INDEX($D$3:$D$28, MATCH(0,IF(ISBLANK($D$3:$D$28),1,COUNTIF($G$31:J31, $D$3:$D$28)), 0)),"")</f>
        <v>43921</v>
      </c>
      <c r="L31" s="172">
        <f t="array" ref="L31">IFERROR(INDEX($D$3:$D$28, MATCH(0,IF(ISBLANK($D$3:$D$28),1,COUNTIF($G$31:K31, $D$3:$D$28)), 0)),"")</f>
        <v>43889</v>
      </c>
      <c r="M31" s="172">
        <f t="array" ref="M31">IFERROR(INDEX($D$3:$D$28, MATCH(0,IF(ISBLANK($D$3:$D$28),1,COUNTIF($G$31:L31, $D$3:$D$28)), 0)),"")</f>
        <v>43861</v>
      </c>
      <c r="N31" s="172">
        <f t="array" ref="N31">IFERROR(INDEX($D$3:$D$28, MATCH(0,IF(ISBLANK($D$3:$D$28),1,COUNTIF($G$31:M31, $D$3:$D$28)), 0)),"")</f>
        <v>43830</v>
      </c>
      <c r="O31" s="172">
        <f t="array" ref="O31">IFERROR(INDEX($D$3:$D$28, MATCH(0,IF(ISBLANK($D$3:$D$28),1,COUNTIF($G$31:N31, $D$3:$D$28)), 0)),"")</f>
        <v>43799</v>
      </c>
      <c r="P31" s="172">
        <f t="array" ref="P31">IFERROR(INDEX($D$3:$D$28, MATCH(0,IF(ISBLANK($D$3:$D$28),1,COUNTIF($G$31:O31, $D$3:$D$28)), 0)),"")</f>
        <v>43769</v>
      </c>
      <c r="Q31" s="172">
        <f t="array" ref="Q31">IFERROR(INDEX($D$3:$D$28, MATCH(0,IF(ISBLANK($D$3:$D$28),1,COUNTIF($G$31:P31, $D$3:$D$28)), 0)),"")</f>
        <v>43738</v>
      </c>
      <c r="R31" s="172">
        <f t="array" ref="R31">IFERROR(INDEX($D$3:$D$28, MATCH(0,IF(ISBLANK($D$3:$D$28),1,COUNTIF($G$31:Q31, $D$3:$D$28)), 0)),"")</f>
        <v>43708</v>
      </c>
      <c r="S31" s="172">
        <f t="array" ref="S31">IFERROR(INDEX($D$3:$D$28, MATCH(0,IF(ISBLANK($D$3:$D$28),1,COUNTIF($G$31:R31, $D$3:$D$28)), 0)),"")</f>
        <v>43677</v>
      </c>
      <c r="T31" s="172">
        <f t="array" ref="T31">IFERROR(INDEX($D$3:$D$28, MATCH(0,IF(ISBLANK($D$3:$D$28),1,COUNTIF($G$31:S31, $D$3:$D$28)), 0)),"")</f>
        <v>43646</v>
      </c>
      <c r="U31" s="172">
        <f t="array" ref="U31">IFERROR(INDEX($D$3:$D$28, MATCH(0,IF(ISBLANK($D$3:$D$28),1,COUNTIF($G$31:T31, $D$3:$D$28)), 0)),"")</f>
        <v>43616</v>
      </c>
      <c r="V31" s="172">
        <f t="array" ref="V31">IFERROR(INDEX($D$3:$D$28, MATCH(0,IF(ISBLANK($D$3:$D$28),1,COUNTIF($G$31:U31, $D$3:$D$28)), 0)),"")</f>
        <v>43585</v>
      </c>
      <c r="W31" s="172">
        <f t="array" ref="W31">IFERROR(INDEX($D$3:$D$28, MATCH(0,IF(ISBLANK($D$3:$D$28),1,COUNTIF($G$31:V31, $D$3:$D$28)), 0)),"")</f>
        <v>43555</v>
      </c>
      <c r="X31" s="172">
        <f t="array" ref="X31">IFERROR(INDEX($D$3:$D$28, MATCH(0,IF(ISBLANK($D$3:$D$28),1,COUNTIF($G$31:W31, $D$3:$D$28)), 0)),"")</f>
        <v>43524</v>
      </c>
      <c r="Y31" s="172">
        <f t="array" ref="Y31">IFERROR(INDEX($D$3:$D$28, MATCH(0,IF(ISBLANK($D$3:$D$28),1,COUNTIF($G$31:X31, $D$3:$D$28)), 0)),"")</f>
        <v>43496</v>
      </c>
      <c r="Z31" s="172">
        <f t="array" ref="Z31">IFERROR(INDEX($D$3:$D$28, MATCH(0,IF(ISBLANK($D$3:$D$28),1,COUNTIF($G$31:Y31, $D$3:$D$28)), 0)),"")</f>
        <v>43465</v>
      </c>
      <c r="AA31" s="172">
        <f t="array" ref="AA31">IFERROR(INDEX($D$3:$D$28, MATCH(0,IF(ISBLANK($D$3:$D$28),1,COUNTIF($G$31:Z31, $D$3:$D$28)), 0)),"")</f>
        <v>43434</v>
      </c>
      <c r="AB31" s="172">
        <f t="array" ref="AB31">IFERROR(INDEX($D$3:$D$28, MATCH(0,IF(ISBLANK($D$3:$D$28),1,COUNTIF($G$31:AA31, $D$3:$D$28)), 0)),"")</f>
        <v>43404</v>
      </c>
      <c r="AC31" s="172">
        <f t="array" ref="AC31">IFERROR(INDEX($D$3:$D$28, MATCH(0,IF(ISBLANK($D$3:$D$28),1,COUNTIF($G$31:AB31, $D$3:$D$28)), 0)),"")</f>
        <v>43373</v>
      </c>
      <c r="AD31" s="172">
        <f t="array" ref="AD31">IFERROR(INDEX($D$3:$D$28, MATCH(0,IF(ISBLANK($D$3:$D$28),1,COUNTIF($G$31:AC31, $D$3:$D$28)), 0)),"")</f>
        <v>43343</v>
      </c>
      <c r="AE31" s="172">
        <f t="array" ref="AE31">IFERROR(INDEX($D$3:$D$28, MATCH(0,IF(ISBLANK($D$3:$D$28),1,COUNTIF($G$31:AD31, $D$3:$D$28)), 0)),"")</f>
        <v>43312</v>
      </c>
      <c r="AF31" s="172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25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1">
        <f t="array" ref="H33">IFERROR(AVERAGE(IF($B$3:$B$28=$B33,IF($D$3:$D$28=H$31,IF($G$3:$G$28&lt;&gt;"",$G$3:$G$28)))),"")</f>
        <v>2654</v>
      </c>
      <c r="I33" s="101" t="str">
        <f t="array" ref="I33">IFERROR(AVERAGE(IF($B$3:$B$28=$B33,IF($D$3:$D$28=I$31,IF($G$3:$G$28&lt;&gt;"",$G$3:$G$28)))),"")</f>
        <v/>
      </c>
      <c r="J33" s="101" t="str">
        <f t="array" ref="J33">IFERROR(AVERAGE(IF($B$3:$B$28=$B33,IF($D$3:$D$28=J$31,IF($G$3:$G$28&lt;&gt;"",$G$3:$G$28)))),"")</f>
        <v/>
      </c>
      <c r="K33" s="101" t="str">
        <f t="array" ref="K33">IFERROR(AVERAGE(IF($B$3:$B$28=$B33,IF($D$3:$D$28=K$31,IF($G$3:$G$28&lt;&gt;"",$G$3:$G$28)))),"")</f>
        <v/>
      </c>
      <c r="L33" s="101" t="str">
        <f t="array" ref="L33">IFERROR(AVERAGE(IF($B$3:$B$28=$B33,IF($D$3:$D$28=L$31,IF($G$3:$G$28&lt;&gt;"",$G$3:$G$28)))),"")</f>
        <v/>
      </c>
      <c r="M33" s="101" t="str">
        <f t="array" ref="M33">IFERROR(AVERAGE(IF($B$3:$B$28=$B33,IF($D$3:$D$28=M$31,IF($G$3:$G$28&lt;&gt;"",$G$3:$G$28)))),"")</f>
        <v/>
      </c>
      <c r="N33" s="101" t="str">
        <f t="array" ref="N33">IFERROR(AVERAGE(IF($B$3:$B$28=$B33,IF($D$3:$D$28=N$31,IF($G$3:$G$28&lt;&gt;"",$G$3:$G$28)))),"")</f>
        <v/>
      </c>
      <c r="O33" s="101">
        <f t="array" ref="O33">IFERROR(AVERAGE(IF($B$3:$B$28=$B33,IF($D$3:$D$28=O$31,IF($G$3:$G$28&lt;&gt;"",$G$3:$G$28)))),"")</f>
        <v>2566</v>
      </c>
      <c r="P33" s="101" t="str">
        <f t="array" ref="P33">IFERROR(AVERAGE(IF($B$3:$B$28=$B33,IF($D$3:$D$28=P$31,IF($G$3:$G$28&lt;&gt;"",$G$3:$G$28)))),"")</f>
        <v/>
      </c>
      <c r="Q33" s="101" t="str">
        <f t="array" ref="Q33">IFERROR(AVERAGE(IF($B$3:$B$28=$B33,IF($D$3:$D$28=Q$31,IF($G$3:$G$28&lt;&gt;"",$G$3:$G$28)))),"")</f>
        <v/>
      </c>
      <c r="R33" s="101" t="str">
        <f t="array" ref="R33">IFERROR(AVERAGE(IF($B$3:$B$28=$B33,IF($D$3:$D$28=R$31,IF($G$3:$G$28&lt;&gt;"",$G$3:$G$28)))),"")</f>
        <v/>
      </c>
      <c r="S33" s="101" t="str">
        <f t="array" ref="S33">IFERROR(AVERAGE(IF($B$3:$B$28=$B33,IF($D$3:$D$28=S$31,IF($G$3:$G$28&lt;&gt;"",$G$3:$G$28)))),"")</f>
        <v/>
      </c>
      <c r="T33" s="101" t="str">
        <f t="array" ref="T33">IFERROR(AVERAGE(IF($B$3:$B$28=$B33,IF($D$3:$D$28=T$31,IF($G$3:$G$28&lt;&gt;"",$G$3:$G$28)))),"")</f>
        <v/>
      </c>
      <c r="U33" s="101">
        <f t="array" ref="U33">IFERROR(AVERAGE(IF($B$3:$B$28=$B33,IF($D$3:$D$28=U$31,IF($G$3:$G$28&lt;&gt;"",$G$3:$G$28)))),"")</f>
        <v>1173</v>
      </c>
      <c r="V33" s="101" t="str">
        <f t="array" ref="V33">IFERROR(AVERAGE(IF($B$3:$B$28=$B33,IF($D$3:$D$28=V$31,IF($G$3:$G$28&lt;&gt;"",$G$3:$G$28)))),"")</f>
        <v/>
      </c>
      <c r="W33" s="101" t="str">
        <f t="array" ref="W33">IFERROR(AVERAGE(IF($B$3:$B$28=$B33,IF($D$3:$D$28=W$31,IF($G$3:$G$28&lt;&gt;"",$G$3:$G$28)))),"")</f>
        <v/>
      </c>
      <c r="X33" s="101" t="str">
        <f t="array" ref="X33">IFERROR(AVERAGE(IF($B$3:$B$28=$B33,IF($D$3:$D$28=X$31,IF($G$3:$G$28&lt;&gt;"",$G$3:$G$28)))),"")</f>
        <v/>
      </c>
      <c r="Y33" s="101" t="str">
        <f t="array" ref="Y33">IFERROR(AVERAGE(IF($B$3:$B$28=$B33,IF($D$3:$D$28=Y$31,IF($G$3:$G$28&lt;&gt;"",$G$3:$G$28)))),"")</f>
        <v/>
      </c>
      <c r="Z33" s="101" t="str">
        <f t="array" ref="Z33">IFERROR(AVERAGE(IF($B$3:$B$28=$B33,IF($D$3:$D$28=Z$31,IF($G$3:$G$28&lt;&gt;"",$G$3:$G$28)))),"")</f>
        <v/>
      </c>
      <c r="AA33" s="101" t="str">
        <f t="array" ref="AA33">IFERROR(AVERAGE(IF($B$3:$B$28=$B33,IF($D$3:$D$28=AA$31,IF($G$3:$G$28&lt;&gt;"",$G$3:$G$28)))),"")</f>
        <v/>
      </c>
      <c r="AB33" s="101">
        <f t="array" ref="AB33">IFERROR(AVERAGE(IF($B$3:$B$28=$B33,IF($D$3:$D$28=AB$31,IF($G$3:$G$28&lt;&gt;"",$G$3:$G$28)))),"")</f>
        <v>2577</v>
      </c>
      <c r="AC33" s="101" t="str">
        <f t="array" ref="AC33">IFERROR(AVERAGE(IF($B$3:$B$28=$B33,IF($D$3:$D$28=AC$31,IF($G$3:$G$28&lt;&gt;"",$G$3:$G$28)))),"")</f>
        <v/>
      </c>
      <c r="AD33" s="101" t="str">
        <f t="array" ref="AD33">IFERROR(AVERAGE(IF($B$3:$B$28=$B33,IF($D$3:$D$28=AD$31,IF($G$3:$G$28&lt;&gt;"",$G$3:$G$28)))),"")</f>
        <v/>
      </c>
      <c r="AE33" s="101" t="str">
        <f t="array" ref="AE33">IFERROR(AVERAGE(IF($B$3:$B$28=$B33,IF($D$3:$D$28=AE$31,IF($G$3:$G$28&lt;&gt;"",$G$3:$G$28)))),"")</f>
        <v/>
      </c>
      <c r="AF33" s="101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1" t="str">
        <f t="array" ref="H34">IFERROR(AVERAGE(IF($B$3:$B$28=$B34,IF($D$3:$D$28=H$31,IF($G$3:$G$28&lt;&gt;"",$G$3:$G$28)))),"")</f>
        <v/>
      </c>
      <c r="I34" s="101">
        <f t="array" ref="I34">IFERROR(AVERAGE(IF($B$3:$B$28=$B34,IF($D$3:$D$28=I$31,IF($G$3:$G$28&lt;&gt;"",$G$3:$G$28)))),"")</f>
        <v>1173</v>
      </c>
      <c r="J34" s="101" t="str">
        <f t="array" ref="J34">IFERROR(AVERAGE(IF($B$3:$B$28=$B34,IF($D$3:$D$28=J$31,IF($G$3:$G$28&lt;&gt;"",$G$3:$G$28)))),"")</f>
        <v/>
      </c>
      <c r="K34" s="101" t="str">
        <f t="array" ref="K34">IFERROR(AVERAGE(IF($B$3:$B$28=$B34,IF($D$3:$D$28=K$31,IF($G$3:$G$28&lt;&gt;"",$G$3:$G$28)))),"")</f>
        <v/>
      </c>
      <c r="L34" s="101" t="str">
        <f t="array" ref="L34">IFERROR(AVERAGE(IF($B$3:$B$28=$B34,IF($D$3:$D$28=L$31,IF($G$3:$G$28&lt;&gt;"",$G$3:$G$28)))),"")</f>
        <v/>
      </c>
      <c r="M34" s="101">
        <f t="array" ref="M34">IFERROR(AVERAGE(IF($B$3:$B$28=$B34,IF($D$3:$D$28=M$31,IF($G$3:$G$28&lt;&gt;"",$G$3:$G$28)))),"")</f>
        <v>1993</v>
      </c>
      <c r="N34" s="101" t="str">
        <f t="array" ref="N34">IFERROR(AVERAGE(IF($B$3:$B$28=$B34,IF($D$3:$D$28=N$31,IF($G$3:$G$28&lt;&gt;"",$G$3:$G$28)))),"")</f>
        <v/>
      </c>
      <c r="O34" s="101" t="str">
        <f t="array" ref="O34">IFERROR(AVERAGE(IF($B$3:$B$28=$B34,IF($D$3:$D$28=O$31,IF($G$3:$G$28&lt;&gt;"",$G$3:$G$28)))),"")</f>
        <v/>
      </c>
      <c r="P34" s="101" t="str">
        <f t="array" ref="P34">IFERROR(AVERAGE(IF($B$3:$B$28=$B34,IF($D$3:$D$28=P$31,IF($G$3:$G$28&lt;&gt;"",$G$3:$G$28)))),"")</f>
        <v/>
      </c>
      <c r="Q34" s="101" t="str">
        <f t="array" ref="Q34">IFERROR(AVERAGE(IF($B$3:$B$28=$B34,IF($D$3:$D$28=Q$31,IF($G$3:$G$28&lt;&gt;"",$G$3:$G$28)))),"")</f>
        <v/>
      </c>
      <c r="R34" s="101" t="str">
        <f t="array" ref="R34">IFERROR(AVERAGE(IF($B$3:$B$28=$B34,IF($D$3:$D$28=R$31,IF($G$3:$G$28&lt;&gt;"",$G$3:$G$28)))),"")</f>
        <v/>
      </c>
      <c r="S34" s="101" t="str">
        <f t="array" ref="S34">IFERROR(AVERAGE(IF($B$3:$B$28=$B34,IF($D$3:$D$28=S$31,IF($G$3:$G$28&lt;&gt;"",$G$3:$G$28)))),"")</f>
        <v/>
      </c>
      <c r="T34" s="101" t="str">
        <f t="array" ref="T34">IFERROR(AVERAGE(IF($B$3:$B$28=$B34,IF($D$3:$D$28=T$31,IF($G$3:$G$28&lt;&gt;"",$G$3:$G$28)))),"")</f>
        <v/>
      </c>
      <c r="U34" s="101" t="str">
        <f t="array" ref="U34">IFERROR(AVERAGE(IF($B$3:$B$28=$B34,IF($D$3:$D$28=U$31,IF($G$3:$G$28&lt;&gt;"",$G$3:$G$28)))),"")</f>
        <v/>
      </c>
      <c r="V34" s="101">
        <f t="array" ref="V34">IFERROR(AVERAGE(IF($B$3:$B$28=$B34,IF($D$3:$D$28=V$31,IF($G$3:$G$28&lt;&gt;"",$G$3:$G$28)))),"")</f>
        <v>1098</v>
      </c>
      <c r="W34" s="101" t="str">
        <f t="array" ref="W34">IFERROR(AVERAGE(IF($B$3:$B$28=$B34,IF($D$3:$D$28=W$31,IF($G$3:$G$28&lt;&gt;"",$G$3:$G$28)))),"")</f>
        <v/>
      </c>
      <c r="X34" s="101" t="str">
        <f t="array" ref="X34">IFERROR(AVERAGE(IF($B$3:$B$28=$B34,IF($D$3:$D$28=X$31,IF($G$3:$G$28&lt;&gt;"",$G$3:$G$28)))),"")</f>
        <v/>
      </c>
      <c r="Y34" s="101" t="str">
        <f t="array" ref="Y34">IFERROR(AVERAGE(IF($B$3:$B$28=$B34,IF($D$3:$D$28=Y$31,IF($G$3:$G$28&lt;&gt;"",$G$3:$G$28)))),"")</f>
        <v/>
      </c>
      <c r="Z34" s="101">
        <f t="array" ref="Z34">IFERROR(AVERAGE(IF($B$3:$B$28=$B34,IF($D$3:$D$28=Z$31,IF($G$3:$G$28&lt;&gt;"",$G$3:$G$28)))),"")</f>
        <v>2323</v>
      </c>
      <c r="AA34" s="101" t="str">
        <f t="array" ref="AA34">IFERROR(AVERAGE(IF($B$3:$B$28=$B34,IF($D$3:$D$28=AA$31,IF($G$3:$G$28&lt;&gt;"",$G$3:$G$28)))),"")</f>
        <v/>
      </c>
      <c r="AB34" s="101" t="str">
        <f t="array" ref="AB34">IFERROR(AVERAGE(IF($B$3:$B$28=$B34,IF($D$3:$D$28=AB$31,IF($G$3:$G$28&lt;&gt;"",$G$3:$G$28)))),"")</f>
        <v/>
      </c>
      <c r="AC34" s="101" t="str">
        <f t="array" ref="AC34">IFERROR(AVERAGE(IF($B$3:$B$28=$B34,IF($D$3:$D$28=AC$31,IF($G$3:$G$28&lt;&gt;"",$G$3:$G$28)))),"")</f>
        <v/>
      </c>
      <c r="AD34" s="101" t="str">
        <f t="array" ref="AD34">IFERROR(AVERAGE(IF($B$3:$B$28=$B34,IF($D$3:$D$28=AD$31,IF($G$3:$G$28&lt;&gt;"",$G$3:$G$28)))),"")</f>
        <v/>
      </c>
      <c r="AE34" s="101" t="str">
        <f t="array" ref="AE34">IFERROR(AVERAGE(IF($B$3:$B$28=$B34,IF($D$3:$D$28=AE$31,IF($G$3:$G$28&lt;&gt;"",$G$3:$G$28)))),"")</f>
        <v/>
      </c>
      <c r="AF34" s="101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1" t="str">
        <f t="array" ref="H35">IFERROR(AVERAGE(IF($B$3:$B$28=$B35,IF($D$3:$D$28=H$31,IF($G$3:$G$28&lt;&gt;"",$G$3:$G$28)))),"")</f>
        <v/>
      </c>
      <c r="I35" s="101" t="str">
        <f t="array" ref="I35">IFERROR(AVERAGE(IF($B$3:$B$28=$B35,IF($D$3:$D$28=I$31,IF($G$3:$G$28&lt;&gt;"",$G$3:$G$28)))),"")</f>
        <v/>
      </c>
      <c r="J35" s="101">
        <f t="array" ref="J35">IFERROR(AVERAGE(IF($B$3:$B$28=$B35,IF($D$3:$D$28=J$31,IF($G$3:$G$28&lt;&gt;"",$G$3:$G$28)))),"")</f>
        <v>1098</v>
      </c>
      <c r="K35" s="101" t="str">
        <f t="array" ref="K35">IFERROR(AVERAGE(IF($B$3:$B$28=$B35,IF($D$3:$D$28=K$31,IF($G$3:$G$28&lt;&gt;"",$G$3:$G$28)))),"")</f>
        <v/>
      </c>
      <c r="L35" s="101" t="str">
        <f t="array" ref="L35">IFERROR(AVERAGE(IF($B$3:$B$28=$B35,IF($D$3:$D$28=L$31,IF($G$3:$G$28&lt;&gt;"",$G$3:$G$28)))),"")</f>
        <v/>
      </c>
      <c r="M35" s="101" t="str">
        <f t="array" ref="M35">IFERROR(AVERAGE(IF($B$3:$B$28=$B35,IF($D$3:$D$28=M$31,IF($G$3:$G$28&lt;&gt;"",$G$3:$G$28)))),"")</f>
        <v/>
      </c>
      <c r="N35" s="101">
        <f t="array" ref="N35">IFERROR(AVERAGE(IF($B$3:$B$28=$B35,IF($D$3:$D$28=N$31,IF($G$3:$G$28&lt;&gt;"",$G$3:$G$28)))),"")</f>
        <v>2323</v>
      </c>
      <c r="O35" s="101" t="str">
        <f t="array" ref="O35">IFERROR(AVERAGE(IF($B$3:$B$28=$B35,IF($D$3:$D$28=O$31,IF($G$3:$G$28&lt;&gt;"",$G$3:$G$28)))),"")</f>
        <v/>
      </c>
      <c r="P35" s="101" t="str">
        <f t="array" ref="P35">IFERROR(AVERAGE(IF($B$3:$B$28=$B35,IF($D$3:$D$28=P$31,IF($G$3:$G$28&lt;&gt;"",$G$3:$G$28)))),"")</f>
        <v/>
      </c>
      <c r="Q35" s="101" t="str">
        <f t="array" ref="Q35">IFERROR(AVERAGE(IF($B$3:$B$28=$B35,IF($D$3:$D$28=Q$31,IF($G$3:$G$28&lt;&gt;"",$G$3:$G$28)))),"")</f>
        <v/>
      </c>
      <c r="R35" s="101" t="str">
        <f t="array" ref="R35">IFERROR(AVERAGE(IF($B$3:$B$28=$B35,IF($D$3:$D$28=R$31,IF($G$3:$G$28&lt;&gt;"",$G$3:$G$28)))),"")</f>
        <v/>
      </c>
      <c r="S35" s="101" t="str">
        <f t="array" ref="S35">IFERROR(AVERAGE(IF($B$3:$B$28=$B35,IF($D$3:$D$28=S$31,IF($G$3:$G$28&lt;&gt;"",$G$3:$G$28)))),"")</f>
        <v/>
      </c>
      <c r="T35" s="101" t="str">
        <f t="array" ref="T35">IFERROR(AVERAGE(IF($B$3:$B$28=$B35,IF($D$3:$D$28=T$31,IF($G$3:$G$28&lt;&gt;"",$G$3:$G$28)))),"")</f>
        <v/>
      </c>
      <c r="U35" s="101" t="str">
        <f t="array" ref="U35">IFERROR(AVERAGE(IF($B$3:$B$28=$B35,IF($D$3:$D$28=U$31,IF($G$3:$G$28&lt;&gt;"",$G$3:$G$28)))),"")</f>
        <v/>
      </c>
      <c r="V35" s="101" t="str">
        <f t="array" ref="V35">IFERROR(AVERAGE(IF($B$3:$B$28=$B35,IF($D$3:$D$28=V$31,IF($G$3:$G$28&lt;&gt;"",$G$3:$G$28)))),"")</f>
        <v/>
      </c>
      <c r="W35" s="101">
        <f t="array" ref="W35">IFERROR(AVERAGE(IF($B$3:$B$28=$B35,IF($D$3:$D$28=W$31,IF($G$3:$G$28&lt;&gt;"",$G$3:$G$28)))),"")</f>
        <v>986</v>
      </c>
      <c r="X35" s="101" t="str">
        <f t="array" ref="X35">IFERROR(AVERAGE(IF($B$3:$B$28=$B35,IF($D$3:$D$28=X$31,IF($G$3:$G$28&lt;&gt;"",$G$3:$G$28)))),"")</f>
        <v/>
      </c>
      <c r="Y35" s="101" t="str">
        <f t="array" ref="Y35">IFERROR(AVERAGE(IF($B$3:$B$28=$B35,IF($D$3:$D$28=Y$31,IF($G$3:$G$28&lt;&gt;"",$G$3:$G$28)))),"")</f>
        <v/>
      </c>
      <c r="Z35" s="101" t="str">
        <f t="array" ref="Z35">IFERROR(AVERAGE(IF($B$3:$B$28=$B35,IF($D$3:$D$28=Z$31,IF($G$3:$G$28&lt;&gt;"",$G$3:$G$28)))),"")</f>
        <v/>
      </c>
      <c r="AA35" s="101">
        <f t="array" ref="AA35">IFERROR(AVERAGE(IF($B$3:$B$28=$B35,IF($D$3:$D$28=AA$31,IF($G$3:$G$28&lt;&gt;"",$G$3:$G$28)))),"")</f>
        <v>2566</v>
      </c>
      <c r="AB35" s="101" t="str">
        <f t="array" ref="AB35">IFERROR(AVERAGE(IF($B$3:$B$28=$B35,IF($D$3:$D$28=AB$31,IF($G$3:$G$28&lt;&gt;"",$G$3:$G$28)))),"")</f>
        <v/>
      </c>
      <c r="AC35" s="101" t="str">
        <f t="array" ref="AC35">IFERROR(AVERAGE(IF($B$3:$B$28=$B35,IF($D$3:$D$28=AC$31,IF($G$3:$G$28&lt;&gt;"",$G$3:$G$28)))),"")</f>
        <v/>
      </c>
      <c r="AD35" s="101" t="str">
        <f t="array" ref="AD35">IFERROR(AVERAGE(IF($B$3:$B$28=$B35,IF($D$3:$D$28=AD$31,IF($G$3:$G$28&lt;&gt;"",$G$3:$G$28)))),"")</f>
        <v/>
      </c>
      <c r="AE35" s="101" t="str">
        <f t="array" ref="AE35">IFERROR(AVERAGE(IF($B$3:$B$28=$B35,IF($D$3:$D$28=AE$31,IF($G$3:$G$28&lt;&gt;"",$G$3:$G$28)))),"")</f>
        <v/>
      </c>
      <c r="AF35" s="101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1" t="str">
        <f t="array" ref="H36">IFERROR(AVERAGE(IF($B$3:$B$28=$B36,IF($D$3:$D$28=H$31,IF($G$3:$G$28&lt;&gt;"",$G$3:$G$28)))),"")</f>
        <v/>
      </c>
      <c r="I36" s="101" t="str">
        <f t="array" ref="I36">IFERROR(AVERAGE(IF($B$3:$B$28=$B36,IF($D$3:$D$28=I$31,IF($G$3:$G$28&lt;&gt;"",$G$3:$G$28)))),"")</f>
        <v/>
      </c>
      <c r="J36" s="101" t="str">
        <f t="array" ref="J36">IFERROR(AVERAGE(IF($B$3:$B$28=$B36,IF($D$3:$D$28=J$31,IF($G$3:$G$28&lt;&gt;"",$G$3:$G$28)))),"")</f>
        <v/>
      </c>
      <c r="K36" s="101">
        <f t="array" ref="K36">IFERROR(AVERAGE(IF($B$3:$B$28=$B36,IF($D$3:$D$28=K$31,IF($G$3:$G$28&lt;&gt;"",$G$3:$G$28)))),"")</f>
        <v>986</v>
      </c>
      <c r="L36" s="101" t="str">
        <f t="array" ref="L36">IFERROR(AVERAGE(IF($B$3:$B$28=$B36,IF($D$3:$D$28=L$31,IF($G$3:$G$28&lt;&gt;"",$G$3:$G$28)))),"")</f>
        <v/>
      </c>
      <c r="M36" s="101" t="str">
        <f t="array" ref="M36">IFERROR(AVERAGE(IF($B$3:$B$28=$B36,IF($D$3:$D$28=M$31,IF($G$3:$G$28&lt;&gt;"",$G$3:$G$28)))),"")</f>
        <v/>
      </c>
      <c r="N36" s="101" t="str">
        <f t="array" ref="N36">IFERROR(AVERAGE(IF($B$3:$B$28=$B36,IF($D$3:$D$28=N$31,IF($G$3:$G$28&lt;&gt;"",$G$3:$G$28)))),"")</f>
        <v/>
      </c>
      <c r="O36" s="101" t="str">
        <f t="array" ref="O36">IFERROR(AVERAGE(IF($B$3:$B$28=$B36,IF($D$3:$D$28=O$31,IF($G$3:$G$28&lt;&gt;"",$G$3:$G$28)))),"")</f>
        <v/>
      </c>
      <c r="P36" s="101" t="str">
        <f t="array" ref="P36">IFERROR(AVERAGE(IF($B$3:$B$28=$B36,IF($D$3:$D$28=P$31,IF($G$3:$G$28&lt;&gt;"",$G$3:$G$28)))),"")</f>
        <v/>
      </c>
      <c r="Q36" s="101" t="str">
        <f t="array" ref="Q36">IFERROR(AVERAGE(IF($B$3:$B$28=$B36,IF($D$3:$D$28=Q$31,IF($G$3:$G$28&lt;&gt;"",$G$3:$G$28)))),"")</f>
        <v/>
      </c>
      <c r="R36" s="101" t="str">
        <f t="array" ref="R36">IFERROR(AVERAGE(IF($B$3:$B$28=$B36,IF($D$3:$D$28=R$31,IF($G$3:$G$28&lt;&gt;"",$G$3:$G$28)))),"")</f>
        <v/>
      </c>
      <c r="S36" s="101" t="str">
        <f t="array" ref="S36">IFERROR(AVERAGE(IF($B$3:$B$28=$B36,IF($D$3:$D$28=S$31,IF($G$3:$G$28&lt;&gt;"",$G$3:$G$28)))),"")</f>
        <v/>
      </c>
      <c r="T36" s="101" t="str">
        <f t="array" ref="T36">IFERROR(AVERAGE(IF($B$3:$B$28=$B36,IF($D$3:$D$28=T$31,IF($G$3:$G$28&lt;&gt;"",$G$3:$G$28)))),"")</f>
        <v/>
      </c>
      <c r="U36" s="101" t="str">
        <f t="array" ref="U36">IFERROR(AVERAGE(IF($B$3:$B$28=$B36,IF($D$3:$D$28=U$31,IF($G$3:$G$28&lt;&gt;"",$G$3:$G$28)))),"")</f>
        <v/>
      </c>
      <c r="V36" s="101" t="str">
        <f t="array" ref="V36">IFERROR(AVERAGE(IF($B$3:$B$28=$B36,IF($D$3:$D$28=V$31,IF($G$3:$G$28&lt;&gt;"",$G$3:$G$28)))),"")</f>
        <v/>
      </c>
      <c r="W36" s="101" t="str">
        <f t="array" ref="W36">IFERROR(AVERAGE(IF($B$3:$B$28=$B36,IF($D$3:$D$28=W$31,IF($G$3:$G$28&lt;&gt;"",$G$3:$G$28)))),"")</f>
        <v/>
      </c>
      <c r="X36" s="101">
        <f t="array" ref="X36">IFERROR(AVERAGE(IF($B$3:$B$28=$B36,IF($D$3:$D$28=X$31,IF($G$3:$G$28&lt;&gt;"",$G$3:$G$28)))),"")</f>
        <v>1212</v>
      </c>
      <c r="Y36" s="101" t="str">
        <f t="array" ref="Y36">IFERROR(AVERAGE(IF($B$3:$B$28=$B36,IF($D$3:$D$28=Y$31,IF($G$3:$G$28&lt;&gt;"",$G$3:$G$28)))),"")</f>
        <v/>
      </c>
      <c r="Z36" s="101" t="str">
        <f t="array" ref="Z36">IFERROR(AVERAGE(IF($B$3:$B$28=$B36,IF($D$3:$D$28=Z$31,IF($G$3:$G$28&lt;&gt;"",$G$3:$G$28)))),"")</f>
        <v/>
      </c>
      <c r="AA36" s="101" t="str">
        <f t="array" ref="AA36">IFERROR(AVERAGE(IF($B$3:$B$28=$B36,IF($D$3:$D$28=AA$31,IF($G$3:$G$28&lt;&gt;"",$G$3:$G$28)))),"")</f>
        <v/>
      </c>
      <c r="AB36" s="101" t="str">
        <f t="array" ref="AB36">IFERROR(AVERAGE(IF($B$3:$B$28=$B36,IF($D$3:$D$28=AB$31,IF($G$3:$G$28&lt;&gt;"",$G$3:$G$28)))),"")</f>
        <v/>
      </c>
      <c r="AC36" s="101" t="str">
        <f t="array" ref="AC36">IFERROR(AVERAGE(IF($B$3:$B$28=$B36,IF($D$3:$D$28=AC$31,IF($G$3:$G$28&lt;&gt;"",$G$3:$G$28)))),"")</f>
        <v/>
      </c>
      <c r="AD36" s="101" t="str">
        <f t="array" ref="AD36">IFERROR(AVERAGE(IF($B$3:$B$28=$B36,IF($D$3:$D$28=AD$31,IF($G$3:$G$28&lt;&gt;"",$G$3:$G$28)))),"")</f>
        <v/>
      </c>
      <c r="AE36" s="101" t="str">
        <f t="array" ref="AE36">IFERROR(AVERAGE(IF($B$3:$B$28=$B36,IF($D$3:$D$28=AE$31,IF($G$3:$G$28&lt;&gt;"",$G$3:$G$28)))),"")</f>
        <v/>
      </c>
      <c r="AF36" s="101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1" t="str">
        <f t="array" ref="H37">IFERROR(AVERAGE(IF($B$3:$B$28=$B37,IF($D$3:$D$28=H$31,IF($G$3:$G$28&lt;&gt;"",$G$3:$G$28)))),"")</f>
        <v/>
      </c>
      <c r="I37" s="101" t="str">
        <f t="array" ref="I37">IFERROR(AVERAGE(IF($B$3:$B$28=$B37,IF($D$3:$D$28=I$31,IF($G$3:$G$28&lt;&gt;"",$G$3:$G$28)))),"")</f>
        <v/>
      </c>
      <c r="J37" s="101" t="str">
        <f t="array" ref="J37">IFERROR(AVERAGE(IF($B$3:$B$28=$B37,IF($D$3:$D$28=J$31,IF($G$3:$G$28&lt;&gt;"",$G$3:$G$28)))),"")</f>
        <v/>
      </c>
      <c r="K37" s="101" t="str">
        <f t="array" ref="K37">IFERROR(AVERAGE(IF($B$3:$B$28=$B37,IF($D$3:$D$28=K$31,IF($G$3:$G$28&lt;&gt;"",$G$3:$G$28)))),"")</f>
        <v/>
      </c>
      <c r="L37" s="101">
        <f t="array" ref="L37">IFERROR(AVERAGE(IF($B$3:$B$28=$B37,IF($D$3:$D$28=L$31,IF($G$3:$G$28&lt;&gt;"",$G$3:$G$28)))),"")</f>
        <v>1212</v>
      </c>
      <c r="M37" s="101" t="str">
        <f t="array" ref="M37">IFERROR(AVERAGE(IF($B$3:$B$28=$B37,IF($D$3:$D$28=M$31,IF($G$3:$G$28&lt;&gt;"",$G$3:$G$28)))),"")</f>
        <v/>
      </c>
      <c r="N37" s="101" t="str">
        <f t="array" ref="N37">IFERROR(AVERAGE(IF($B$3:$B$28=$B37,IF($D$3:$D$28=N$31,IF($G$3:$G$28&lt;&gt;"",$G$3:$G$28)))),"")</f>
        <v/>
      </c>
      <c r="O37" s="101" t="str">
        <f t="array" ref="O37">IFERROR(AVERAGE(IF($B$3:$B$28=$B37,IF($D$3:$D$28=O$31,IF($G$3:$G$28&lt;&gt;"",$G$3:$G$28)))),"")</f>
        <v/>
      </c>
      <c r="P37" s="101" t="str">
        <f t="array" ref="P37">IFERROR(AVERAGE(IF($B$3:$B$28=$B37,IF($D$3:$D$28=P$31,IF($G$3:$G$28&lt;&gt;"",$G$3:$G$28)))),"")</f>
        <v/>
      </c>
      <c r="Q37" s="101" t="str">
        <f t="array" ref="Q37">IFERROR(AVERAGE(IF($B$3:$B$28=$B37,IF($D$3:$D$28=Q$31,IF($G$3:$G$28&lt;&gt;"",$G$3:$G$28)))),"")</f>
        <v/>
      </c>
      <c r="R37" s="101" t="str">
        <f t="array" ref="R37">IFERROR(AVERAGE(IF($B$3:$B$28=$B37,IF($D$3:$D$28=R$31,IF($G$3:$G$28&lt;&gt;"",$G$3:$G$28)))),"")</f>
        <v/>
      </c>
      <c r="S37" s="101" t="str">
        <f t="array" ref="S37">IFERROR(AVERAGE(IF($B$3:$B$28=$B37,IF($D$3:$D$28=S$31,IF($G$3:$G$28&lt;&gt;"",$G$3:$G$28)))),"")</f>
        <v/>
      </c>
      <c r="T37" s="101" t="str">
        <f t="array" ref="T37">IFERROR(AVERAGE(IF($B$3:$B$28=$B37,IF($D$3:$D$28=T$31,IF($G$3:$G$28&lt;&gt;"",$G$3:$G$28)))),"")</f>
        <v/>
      </c>
      <c r="U37" s="101" t="str">
        <f t="array" ref="U37">IFERROR(AVERAGE(IF($B$3:$B$28=$B37,IF($D$3:$D$28=U$31,IF($G$3:$G$28&lt;&gt;"",$G$3:$G$28)))),"")</f>
        <v/>
      </c>
      <c r="V37" s="101" t="str">
        <f t="array" ref="V37">IFERROR(AVERAGE(IF($B$3:$B$28=$B37,IF($D$3:$D$28=V$31,IF($G$3:$G$28&lt;&gt;"",$G$3:$G$28)))),"")</f>
        <v/>
      </c>
      <c r="W37" s="101" t="str">
        <f t="array" ref="W37">IFERROR(AVERAGE(IF($B$3:$B$28=$B37,IF($D$3:$D$28=W$31,IF($G$3:$G$28&lt;&gt;"",$G$3:$G$28)))),"")</f>
        <v/>
      </c>
      <c r="X37" s="101" t="str">
        <f t="array" ref="X37">IFERROR(AVERAGE(IF($B$3:$B$28=$B37,IF($D$3:$D$28=X$31,IF($G$3:$G$28&lt;&gt;"",$G$3:$G$28)))),"")</f>
        <v/>
      </c>
      <c r="Y37" s="101">
        <f t="array" ref="Y37">IFERROR(AVERAGE(IF($B$3:$B$28=$B37,IF($D$3:$D$28=Y$31,IF($G$3:$G$28&lt;&gt;"",$G$3:$G$28)))),"")</f>
        <v>1993</v>
      </c>
      <c r="Z37" s="101" t="str">
        <f t="array" ref="Z37">IFERROR(AVERAGE(IF($B$3:$B$28=$B37,IF($D$3:$D$28=Z$31,IF($G$3:$G$28&lt;&gt;"",$G$3:$G$28)))),"")</f>
        <v/>
      </c>
      <c r="AA37" s="101" t="str">
        <f t="array" ref="AA37">IFERROR(AVERAGE(IF($B$3:$B$28=$B37,IF($D$3:$D$28=AA$31,IF($G$3:$G$28&lt;&gt;"",$G$3:$G$28)))),"")</f>
        <v/>
      </c>
      <c r="AB37" s="101" t="str">
        <f t="array" ref="AB37">IFERROR(AVERAGE(IF($B$3:$B$28=$B37,IF($D$3:$D$28=AB$31,IF($G$3:$G$28&lt;&gt;"",$G$3:$G$28)))),"")</f>
        <v/>
      </c>
      <c r="AC37" s="101" t="str">
        <f t="array" ref="AC37">IFERROR(AVERAGE(IF($B$3:$B$28=$B37,IF($D$3:$D$28=AC$31,IF($G$3:$G$28&lt;&gt;"",$G$3:$G$28)))),"")</f>
        <v/>
      </c>
      <c r="AD37" s="101" t="str">
        <f t="array" ref="AD37">IFERROR(AVERAGE(IF($B$3:$B$28=$B37,IF($D$3:$D$28=AD$31,IF($G$3:$G$28&lt;&gt;"",$G$3:$G$28)))),"")</f>
        <v/>
      </c>
      <c r="AE37" s="101" t="str">
        <f t="array" ref="AE37">IFERROR(AVERAGE(IF($B$3:$B$28=$B37,IF($D$3:$D$28=AE$31,IF($G$3:$G$28&lt;&gt;"",$G$3:$G$28)))),"")</f>
        <v/>
      </c>
      <c r="AF37" s="101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1" t="str">
        <f t="array" ref="H38">IFERROR(AVERAGE(IF($B$3:$B$28=$B38,IF($D$3:$D$28=H$31,IF($G$3:$G$28&lt;&gt;"",$G$3:$G$28)))),"")</f>
        <v/>
      </c>
      <c r="I38" s="101" t="str">
        <f t="array" ref="I38">IFERROR(AVERAGE(IF($B$3:$B$28=$B38,IF($D$3:$D$28=I$31,IF($G$3:$G$28&lt;&gt;"",$G$3:$G$28)))),"")</f>
        <v/>
      </c>
      <c r="J38" s="101" t="str">
        <f t="array" ref="J38">IFERROR(AVERAGE(IF($B$3:$B$28=$B38,IF($D$3:$D$28=J$31,IF($G$3:$G$28&lt;&gt;"",$G$3:$G$28)))),"")</f>
        <v/>
      </c>
      <c r="K38" s="101" t="str">
        <f t="array" ref="K38">IFERROR(AVERAGE(IF($B$3:$B$28=$B38,IF($D$3:$D$28=K$31,IF($G$3:$G$28&lt;&gt;"",$G$3:$G$28)))),"")</f>
        <v/>
      </c>
      <c r="L38" s="101" t="str">
        <f t="array" ref="L38">IFERROR(AVERAGE(IF($B$3:$B$28=$B38,IF($D$3:$D$28=L$31,IF($G$3:$G$28&lt;&gt;"",$G$3:$G$28)))),"")</f>
        <v/>
      </c>
      <c r="M38" s="101" t="str">
        <f t="array" ref="M38">IFERROR(AVERAGE(IF($B$3:$B$28=$B38,IF($D$3:$D$28=M$31,IF($G$3:$G$28&lt;&gt;"",$G$3:$G$28)))),"")</f>
        <v/>
      </c>
      <c r="N38" s="101" t="str">
        <f t="array" ref="N38">IFERROR(AVERAGE(IF($B$3:$B$28=$B38,IF($D$3:$D$28=N$31,IF($G$3:$G$28&lt;&gt;"",$G$3:$G$28)))),"")</f>
        <v/>
      </c>
      <c r="O38" s="101" t="str">
        <f t="array" ref="O38">IFERROR(AVERAGE(IF($B$3:$B$28=$B38,IF($D$3:$D$28=O$31,IF($G$3:$G$28&lt;&gt;"",$G$3:$G$28)))),"")</f>
        <v/>
      </c>
      <c r="P38" s="101">
        <f t="array" ref="P38">IFERROR(AVERAGE(IF($B$3:$B$28=$B38,IF($D$3:$D$28=P$31,IF($G$3:$G$28&lt;&gt;"",$G$3:$G$28)))),"")</f>
        <v>2577</v>
      </c>
      <c r="Q38" s="101" t="str">
        <f t="array" ref="Q38">IFERROR(AVERAGE(IF($B$3:$B$28=$B38,IF($D$3:$D$28=Q$31,IF($G$3:$G$28&lt;&gt;"",$G$3:$G$28)))),"")</f>
        <v/>
      </c>
      <c r="R38" s="101" t="str">
        <f t="array" ref="R38">IFERROR(AVERAGE(IF($B$3:$B$28=$B38,IF($D$3:$D$28=R$31,IF($G$3:$G$28&lt;&gt;"",$G$3:$G$28)))),"")</f>
        <v/>
      </c>
      <c r="S38" s="101" t="str">
        <f t="array" ref="S38">IFERROR(AVERAGE(IF($B$3:$B$28=$B38,IF($D$3:$D$28=S$31,IF($G$3:$G$28&lt;&gt;"",$G$3:$G$28)))),"")</f>
        <v/>
      </c>
      <c r="T38" s="101" t="str">
        <f t="array" ref="T38">IFERROR(AVERAGE(IF($B$3:$B$28=$B38,IF($D$3:$D$28=T$31,IF($G$3:$G$28&lt;&gt;"",$G$3:$G$28)))),"")</f>
        <v/>
      </c>
      <c r="U38" s="101" t="str">
        <f t="array" ref="U38">IFERROR(AVERAGE(IF($B$3:$B$28=$B38,IF($D$3:$D$28=U$31,IF($G$3:$G$28&lt;&gt;"",$G$3:$G$28)))),"")</f>
        <v/>
      </c>
      <c r="V38" s="101" t="str">
        <f t="array" ref="V38">IFERROR(AVERAGE(IF($B$3:$B$28=$B38,IF($D$3:$D$28=V$31,IF($G$3:$G$28&lt;&gt;"",$G$3:$G$28)))),"")</f>
        <v/>
      </c>
      <c r="W38" s="101" t="str">
        <f t="array" ref="W38">IFERROR(AVERAGE(IF($B$3:$B$28=$B38,IF($D$3:$D$28=W$31,IF($G$3:$G$28&lt;&gt;"",$G$3:$G$28)))),"")</f>
        <v/>
      </c>
      <c r="X38" s="101" t="str">
        <f t="array" ref="X38">IFERROR(AVERAGE(IF($B$3:$B$28=$B38,IF($D$3:$D$28=X$31,IF($G$3:$G$28&lt;&gt;"",$G$3:$G$28)))),"")</f>
        <v/>
      </c>
      <c r="Y38" s="101" t="str">
        <f t="array" ref="Y38">IFERROR(AVERAGE(IF($B$3:$B$28=$B38,IF($D$3:$D$28=Y$31,IF($G$3:$G$28&lt;&gt;"",$G$3:$G$28)))),"")</f>
        <v/>
      </c>
      <c r="Z38" s="101" t="str">
        <f t="array" ref="Z38">IFERROR(AVERAGE(IF($B$3:$B$28=$B38,IF($D$3:$D$28=Z$31,IF($G$3:$G$28&lt;&gt;"",$G$3:$G$28)))),"")</f>
        <v/>
      </c>
      <c r="AA38" s="101" t="str">
        <f t="array" ref="AA38">IFERROR(AVERAGE(IF($B$3:$B$28=$B38,IF($D$3:$D$28=AA$31,IF($G$3:$G$28&lt;&gt;"",$G$3:$G$28)))),"")</f>
        <v/>
      </c>
      <c r="AB38" s="101" t="str">
        <f t="array" ref="AB38">IFERROR(AVERAGE(IF($B$3:$B$28=$B38,IF($D$3:$D$28=AB$31,IF($G$3:$G$28&lt;&gt;"",$G$3:$G$28)))),"")</f>
        <v/>
      </c>
      <c r="AC38" s="101">
        <f t="array" ref="AC38">IFERROR(AVERAGE(IF($B$3:$B$28=$B38,IF($D$3:$D$28=AC$31,IF($G$3:$G$28&lt;&gt;"",$G$3:$G$28)))),"")</f>
        <v>2756</v>
      </c>
      <c r="AD38" s="101" t="str">
        <f t="array" ref="AD38">IFERROR(AVERAGE(IF($B$3:$B$28=$B38,IF($D$3:$D$28=AD$31,IF($G$3:$G$28&lt;&gt;"",$G$3:$G$28)))),"")</f>
        <v/>
      </c>
      <c r="AE38" s="101" t="str">
        <f t="array" ref="AE38">IFERROR(AVERAGE(IF($B$3:$B$28=$B38,IF($D$3:$D$28=AE$31,IF($G$3:$G$28&lt;&gt;"",$G$3:$G$28)))),"")</f>
        <v/>
      </c>
      <c r="AF38" s="101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1" t="str">
        <f t="array" ref="H39">IFERROR(AVERAGE(IF($B$3:$B$28=$B39,IF($D$3:$D$28=H$31,IF($G$3:$G$28&lt;&gt;"",$G$3:$G$28)))),"")</f>
        <v/>
      </c>
      <c r="I39" s="101" t="str">
        <f t="array" ref="I39">IFERROR(AVERAGE(IF($B$3:$B$28=$B39,IF($D$3:$D$28=I$31,IF($G$3:$G$28&lt;&gt;"",$G$3:$G$28)))),"")</f>
        <v/>
      </c>
      <c r="J39" s="101" t="str">
        <f t="array" ref="J39">IFERROR(AVERAGE(IF($B$3:$B$28=$B39,IF($D$3:$D$28=J$31,IF($G$3:$G$28&lt;&gt;"",$G$3:$G$28)))),"")</f>
        <v/>
      </c>
      <c r="K39" s="101" t="str">
        <f t="array" ref="K39">IFERROR(AVERAGE(IF($B$3:$B$28=$B39,IF($D$3:$D$28=K$31,IF($G$3:$G$28&lt;&gt;"",$G$3:$G$28)))),"")</f>
        <v/>
      </c>
      <c r="L39" s="101" t="str">
        <f t="array" ref="L39">IFERROR(AVERAGE(IF($B$3:$B$28=$B39,IF($D$3:$D$28=L$31,IF($G$3:$G$28&lt;&gt;"",$G$3:$G$28)))),"")</f>
        <v/>
      </c>
      <c r="M39" s="101" t="str">
        <f t="array" ref="M39">IFERROR(AVERAGE(IF($B$3:$B$28=$B39,IF($D$3:$D$28=M$31,IF($G$3:$G$28&lt;&gt;"",$G$3:$G$28)))),"")</f>
        <v/>
      </c>
      <c r="N39" s="101" t="str">
        <f t="array" ref="N39">IFERROR(AVERAGE(IF($B$3:$B$28=$B39,IF($D$3:$D$28=N$31,IF($G$3:$G$28&lt;&gt;"",$G$3:$G$28)))),"")</f>
        <v/>
      </c>
      <c r="O39" s="101" t="str">
        <f t="array" ref="O39">IFERROR(AVERAGE(IF($B$3:$B$28=$B39,IF($D$3:$D$28=O$31,IF($G$3:$G$28&lt;&gt;"",$G$3:$G$28)))),"")</f>
        <v/>
      </c>
      <c r="P39" s="101" t="str">
        <f t="array" ref="P39">IFERROR(AVERAGE(IF($B$3:$B$28=$B39,IF($D$3:$D$28=P$31,IF($G$3:$G$28&lt;&gt;"",$G$3:$G$28)))),"")</f>
        <v/>
      </c>
      <c r="Q39" s="101">
        <f t="array" ref="Q39">IFERROR(AVERAGE(IF($B$3:$B$28=$B39,IF($D$3:$D$28=Q$31,IF($G$3:$G$28&lt;&gt;"",$G$3:$G$28)))),"")</f>
        <v>2756</v>
      </c>
      <c r="R39" s="101" t="str">
        <f t="array" ref="R39">IFERROR(AVERAGE(IF($B$3:$B$28=$B39,IF($D$3:$D$28=R$31,IF($G$3:$G$28&lt;&gt;"",$G$3:$G$28)))),"")</f>
        <v/>
      </c>
      <c r="S39" s="101" t="str">
        <f t="array" ref="S39">IFERROR(AVERAGE(IF($B$3:$B$28=$B39,IF($D$3:$D$28=S$31,IF($G$3:$G$28&lt;&gt;"",$G$3:$G$28)))),"")</f>
        <v/>
      </c>
      <c r="T39" s="101" t="str">
        <f t="array" ref="T39">IFERROR(AVERAGE(IF($B$3:$B$28=$B39,IF($D$3:$D$28=T$31,IF($G$3:$G$28&lt;&gt;"",$G$3:$G$28)))),"")</f>
        <v/>
      </c>
      <c r="U39" s="101" t="str">
        <f t="array" ref="U39">IFERROR(AVERAGE(IF($B$3:$B$28=$B39,IF($D$3:$D$28=U$31,IF($G$3:$G$28&lt;&gt;"",$G$3:$G$28)))),"")</f>
        <v/>
      </c>
      <c r="V39" s="101" t="str">
        <f t="array" ref="V39">IFERROR(AVERAGE(IF($B$3:$B$28=$B39,IF($D$3:$D$28=V$31,IF($G$3:$G$28&lt;&gt;"",$G$3:$G$28)))),"")</f>
        <v/>
      </c>
      <c r="W39" s="101" t="str">
        <f t="array" ref="W39">IFERROR(AVERAGE(IF($B$3:$B$28=$B39,IF($D$3:$D$28=W$31,IF($G$3:$G$28&lt;&gt;"",$G$3:$G$28)))),"")</f>
        <v/>
      </c>
      <c r="X39" s="101" t="str">
        <f t="array" ref="X39">IFERROR(AVERAGE(IF($B$3:$B$28=$B39,IF($D$3:$D$28=X$31,IF($G$3:$G$28&lt;&gt;"",$G$3:$G$28)))),"")</f>
        <v/>
      </c>
      <c r="Y39" s="101" t="str">
        <f t="array" ref="Y39">IFERROR(AVERAGE(IF($B$3:$B$28=$B39,IF($D$3:$D$28=Y$31,IF($G$3:$G$28&lt;&gt;"",$G$3:$G$28)))),"")</f>
        <v/>
      </c>
      <c r="Z39" s="101" t="str">
        <f t="array" ref="Z39">IFERROR(AVERAGE(IF($B$3:$B$28=$B39,IF($D$3:$D$28=Z$31,IF($G$3:$G$28&lt;&gt;"",$G$3:$G$28)))),"")</f>
        <v/>
      </c>
      <c r="AA39" s="101" t="str">
        <f t="array" ref="AA39">IFERROR(AVERAGE(IF($B$3:$B$28=$B39,IF($D$3:$D$28=AA$31,IF($G$3:$G$28&lt;&gt;"",$G$3:$G$28)))),"")</f>
        <v/>
      </c>
      <c r="AB39" s="101" t="str">
        <f t="array" ref="AB39">IFERROR(AVERAGE(IF($B$3:$B$28=$B39,IF($D$3:$D$28=AB$31,IF($G$3:$G$28&lt;&gt;"",$G$3:$G$28)))),"")</f>
        <v/>
      </c>
      <c r="AC39" s="101" t="str">
        <f t="array" ref="AC39">IFERROR(AVERAGE(IF($B$3:$B$28=$B39,IF($D$3:$D$28=AC$31,IF($G$3:$G$28&lt;&gt;"",$G$3:$G$28)))),"")</f>
        <v/>
      </c>
      <c r="AD39" s="101">
        <f t="array" ref="AD39">IFERROR(AVERAGE(IF($B$3:$B$28=$B39,IF($D$3:$D$28=AD$31,IF($G$3:$G$28&lt;&gt;"",$G$3:$G$28)))),"")</f>
        <v>2677</v>
      </c>
      <c r="AE39" s="101" t="str">
        <f t="array" ref="AE39">IFERROR(AVERAGE(IF($B$3:$B$28=$B39,IF($D$3:$D$28=AE$31,IF($G$3:$G$28&lt;&gt;"",$G$3:$G$28)))),"")</f>
        <v/>
      </c>
      <c r="AF39" s="101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1" t="str">
        <f t="array" ref="H40">IFERROR(AVERAGE(IF($B$3:$B$28=$B40,IF($D$3:$D$28=H$31,IF($G$3:$G$28&lt;&gt;"",$G$3:$G$28)))),"")</f>
        <v/>
      </c>
      <c r="I40" s="101" t="str">
        <f t="array" ref="I40">IFERROR(AVERAGE(IF($B$3:$B$28=$B40,IF($D$3:$D$28=I$31,IF($G$3:$G$28&lt;&gt;"",$G$3:$G$28)))),"")</f>
        <v/>
      </c>
      <c r="J40" s="101" t="str">
        <f t="array" ref="J40">IFERROR(AVERAGE(IF($B$3:$B$28=$B40,IF($D$3:$D$28=J$31,IF($G$3:$G$28&lt;&gt;"",$G$3:$G$28)))),"")</f>
        <v/>
      </c>
      <c r="K40" s="101" t="str">
        <f t="array" ref="K40">IFERROR(AVERAGE(IF($B$3:$B$28=$B40,IF($D$3:$D$28=K$31,IF($G$3:$G$28&lt;&gt;"",$G$3:$G$28)))),"")</f>
        <v/>
      </c>
      <c r="L40" s="101" t="str">
        <f t="array" ref="L40">IFERROR(AVERAGE(IF($B$3:$B$28=$B40,IF($D$3:$D$28=L$31,IF($G$3:$G$28&lt;&gt;"",$G$3:$G$28)))),"")</f>
        <v/>
      </c>
      <c r="M40" s="101" t="str">
        <f t="array" ref="M40">IFERROR(AVERAGE(IF($B$3:$B$28=$B40,IF($D$3:$D$28=M$31,IF($G$3:$G$28&lt;&gt;"",$G$3:$G$28)))),"")</f>
        <v/>
      </c>
      <c r="N40" s="101" t="str">
        <f t="array" ref="N40">IFERROR(AVERAGE(IF($B$3:$B$28=$B40,IF($D$3:$D$28=N$31,IF($G$3:$G$28&lt;&gt;"",$G$3:$G$28)))),"")</f>
        <v/>
      </c>
      <c r="O40" s="101" t="str">
        <f t="array" ref="O40">IFERROR(AVERAGE(IF($B$3:$B$28=$B40,IF($D$3:$D$28=O$31,IF($G$3:$G$28&lt;&gt;"",$G$3:$G$28)))),"")</f>
        <v/>
      </c>
      <c r="P40" s="101" t="str">
        <f t="array" ref="P40">IFERROR(AVERAGE(IF($B$3:$B$28=$B40,IF($D$3:$D$28=P$31,IF($G$3:$G$28&lt;&gt;"",$G$3:$G$28)))),"")</f>
        <v/>
      </c>
      <c r="Q40" s="101" t="str">
        <f t="array" ref="Q40">IFERROR(AVERAGE(IF($B$3:$B$28=$B40,IF($D$3:$D$28=Q$31,IF($G$3:$G$28&lt;&gt;"",$G$3:$G$28)))),"")</f>
        <v/>
      </c>
      <c r="R40" s="101">
        <f t="array" ref="R40">IFERROR(AVERAGE(IF($B$3:$B$28=$B40,IF($D$3:$D$28=R$31,IF($G$3:$G$28&lt;&gt;"",$G$3:$G$28)))),"")</f>
        <v>2677</v>
      </c>
      <c r="S40" s="101" t="str">
        <f t="array" ref="S40">IFERROR(AVERAGE(IF($B$3:$B$28=$B40,IF($D$3:$D$28=S$31,IF($G$3:$G$28&lt;&gt;"",$G$3:$G$28)))),"")</f>
        <v/>
      </c>
      <c r="T40" s="101" t="str">
        <f t="array" ref="T40">IFERROR(AVERAGE(IF($B$3:$B$28=$B40,IF($D$3:$D$28=T$31,IF($G$3:$G$28&lt;&gt;"",$G$3:$G$28)))),"")</f>
        <v/>
      </c>
      <c r="U40" s="101" t="str">
        <f t="array" ref="U40">IFERROR(AVERAGE(IF($B$3:$B$28=$B40,IF($D$3:$D$28=U$31,IF($G$3:$G$28&lt;&gt;"",$G$3:$G$28)))),"")</f>
        <v/>
      </c>
      <c r="V40" s="101" t="str">
        <f t="array" ref="V40">IFERROR(AVERAGE(IF($B$3:$B$28=$B40,IF($D$3:$D$28=V$31,IF($G$3:$G$28&lt;&gt;"",$G$3:$G$28)))),"")</f>
        <v/>
      </c>
      <c r="W40" s="101" t="str">
        <f t="array" ref="W40">IFERROR(AVERAGE(IF($B$3:$B$28=$B40,IF($D$3:$D$28=W$31,IF($G$3:$G$28&lt;&gt;"",$G$3:$G$28)))),"")</f>
        <v/>
      </c>
      <c r="X40" s="101" t="str">
        <f t="array" ref="X40">IFERROR(AVERAGE(IF($B$3:$B$28=$B40,IF($D$3:$D$28=X$31,IF($G$3:$G$28&lt;&gt;"",$G$3:$G$28)))),"")</f>
        <v/>
      </c>
      <c r="Y40" s="101" t="str">
        <f t="array" ref="Y40">IFERROR(AVERAGE(IF($B$3:$B$28=$B40,IF($D$3:$D$28=Y$31,IF($G$3:$G$28&lt;&gt;"",$G$3:$G$28)))),"")</f>
        <v/>
      </c>
      <c r="Z40" s="101" t="str">
        <f t="array" ref="Z40">IFERROR(AVERAGE(IF($B$3:$B$28=$B40,IF($D$3:$D$28=Z$31,IF($G$3:$G$28&lt;&gt;"",$G$3:$G$28)))),"")</f>
        <v/>
      </c>
      <c r="AA40" s="101" t="str">
        <f t="array" ref="AA40">IFERROR(AVERAGE(IF($B$3:$B$28=$B40,IF($D$3:$D$28=AA$31,IF($G$3:$G$28&lt;&gt;"",$G$3:$G$28)))),"")</f>
        <v/>
      </c>
      <c r="AB40" s="101" t="str">
        <f t="array" ref="AB40">IFERROR(AVERAGE(IF($B$3:$B$28=$B40,IF($D$3:$D$28=AB$31,IF($G$3:$G$28&lt;&gt;"",$G$3:$G$28)))),"")</f>
        <v/>
      </c>
      <c r="AC40" s="101" t="str">
        <f t="array" ref="AC40">IFERROR(AVERAGE(IF($B$3:$B$28=$B40,IF($D$3:$D$28=AC$31,IF($G$3:$G$28&lt;&gt;"",$G$3:$G$28)))),"")</f>
        <v/>
      </c>
      <c r="AD40" s="101" t="str">
        <f t="array" ref="AD40">IFERROR(AVERAGE(IF($B$3:$B$28=$B40,IF($D$3:$D$28=AD$31,IF($G$3:$G$28&lt;&gt;"",$G$3:$G$28)))),"")</f>
        <v/>
      </c>
      <c r="AE40" s="101">
        <f t="array" ref="AE40">IFERROR(AVERAGE(IF($B$3:$B$28=$B40,IF($D$3:$D$28=AE$31,IF($G$3:$G$28&lt;&gt;"",$G$3:$G$28)))),"")</f>
        <v>1232</v>
      </c>
      <c r="AF40" s="101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1" t="str">
        <f t="array" ref="H41">IFERROR(AVERAGE(IF($B$3:$B$28=$B41,IF($D$3:$D$28=H$31,IF($G$3:$G$28&lt;&gt;"",$G$3:$G$28)))),"")</f>
        <v/>
      </c>
      <c r="I41" s="101" t="str">
        <f t="array" ref="I41">IFERROR(AVERAGE(IF($B$3:$B$28=$B41,IF($D$3:$D$28=I$31,IF($G$3:$G$28&lt;&gt;"",$G$3:$G$28)))),"")</f>
        <v/>
      </c>
      <c r="J41" s="101" t="str">
        <f t="array" ref="J41">IFERROR(AVERAGE(IF($B$3:$B$28=$B41,IF($D$3:$D$28=J$31,IF($G$3:$G$28&lt;&gt;"",$G$3:$G$28)))),"")</f>
        <v/>
      </c>
      <c r="K41" s="101" t="str">
        <f t="array" ref="K41">IFERROR(AVERAGE(IF($B$3:$B$28=$B41,IF($D$3:$D$28=K$31,IF($G$3:$G$28&lt;&gt;"",$G$3:$G$28)))),"")</f>
        <v/>
      </c>
      <c r="L41" s="101" t="str">
        <f t="array" ref="L41">IFERROR(AVERAGE(IF($B$3:$B$28=$B41,IF($D$3:$D$28=L$31,IF($G$3:$G$28&lt;&gt;"",$G$3:$G$28)))),"")</f>
        <v/>
      </c>
      <c r="M41" s="101" t="str">
        <f t="array" ref="M41">IFERROR(AVERAGE(IF($B$3:$B$28=$B41,IF($D$3:$D$28=M$31,IF($G$3:$G$28&lt;&gt;"",$G$3:$G$28)))),"")</f>
        <v/>
      </c>
      <c r="N41" s="101" t="str">
        <f t="array" ref="N41">IFERROR(AVERAGE(IF($B$3:$B$28=$B41,IF($D$3:$D$28=N$31,IF($G$3:$G$28&lt;&gt;"",$G$3:$G$28)))),"")</f>
        <v/>
      </c>
      <c r="O41" s="101" t="str">
        <f t="array" ref="O41">IFERROR(AVERAGE(IF($B$3:$B$28=$B41,IF($D$3:$D$28=O$31,IF($G$3:$G$28&lt;&gt;"",$G$3:$G$28)))),"")</f>
        <v/>
      </c>
      <c r="P41" s="101" t="str">
        <f t="array" ref="P41">IFERROR(AVERAGE(IF($B$3:$B$28=$B41,IF($D$3:$D$28=P$31,IF($G$3:$G$28&lt;&gt;"",$G$3:$G$28)))),"")</f>
        <v/>
      </c>
      <c r="Q41" s="101" t="str">
        <f t="array" ref="Q41">IFERROR(AVERAGE(IF($B$3:$B$28=$B41,IF($D$3:$D$28=Q$31,IF($G$3:$G$28&lt;&gt;"",$G$3:$G$28)))),"")</f>
        <v/>
      </c>
      <c r="R41" s="101" t="str">
        <f t="array" ref="R41">IFERROR(AVERAGE(IF($B$3:$B$28=$B41,IF($D$3:$D$28=R$31,IF($G$3:$G$28&lt;&gt;"",$G$3:$G$28)))),"")</f>
        <v/>
      </c>
      <c r="S41" s="101">
        <f t="array" ref="S41">IFERROR(AVERAGE(IF($B$3:$B$28=$B41,IF($D$3:$D$28=S$31,IF($G$3:$G$28&lt;&gt;"",$G$3:$G$28)))),"")</f>
        <v>1232</v>
      </c>
      <c r="T41" s="101" t="str">
        <f t="array" ref="T41">IFERROR(AVERAGE(IF($B$3:$B$28=$B41,IF($D$3:$D$28=T$31,IF($G$3:$G$28&lt;&gt;"",$G$3:$G$28)))),"")</f>
        <v/>
      </c>
      <c r="U41" s="101" t="str">
        <f t="array" ref="U41">IFERROR(AVERAGE(IF($B$3:$B$28=$B41,IF($D$3:$D$28=U$31,IF($G$3:$G$28&lt;&gt;"",$G$3:$G$28)))),"")</f>
        <v/>
      </c>
      <c r="V41" s="101" t="str">
        <f t="array" ref="V41">IFERROR(AVERAGE(IF($B$3:$B$28=$B41,IF($D$3:$D$28=V$31,IF($G$3:$G$28&lt;&gt;"",$G$3:$G$28)))),"")</f>
        <v/>
      </c>
      <c r="W41" s="101" t="str">
        <f t="array" ref="W41">IFERROR(AVERAGE(IF($B$3:$B$28=$B41,IF($D$3:$D$28=W$31,IF($G$3:$G$28&lt;&gt;"",$G$3:$G$28)))),"")</f>
        <v/>
      </c>
      <c r="X41" s="101" t="str">
        <f t="array" ref="X41">IFERROR(AVERAGE(IF($B$3:$B$28=$B41,IF($D$3:$D$28=X$31,IF($G$3:$G$28&lt;&gt;"",$G$3:$G$28)))),"")</f>
        <v/>
      </c>
      <c r="Y41" s="101" t="str">
        <f t="array" ref="Y41">IFERROR(AVERAGE(IF($B$3:$B$28=$B41,IF($D$3:$D$28=Y$31,IF($G$3:$G$28&lt;&gt;"",$G$3:$G$28)))),"")</f>
        <v/>
      </c>
      <c r="Z41" s="101" t="str">
        <f t="array" ref="Z41">IFERROR(AVERAGE(IF($B$3:$B$28=$B41,IF($D$3:$D$28=Z$31,IF($G$3:$G$28&lt;&gt;"",$G$3:$G$28)))),"")</f>
        <v/>
      </c>
      <c r="AA41" s="101" t="str">
        <f t="array" ref="AA41">IFERROR(AVERAGE(IF($B$3:$B$28=$B41,IF($D$3:$D$28=AA$31,IF($G$3:$G$28&lt;&gt;"",$G$3:$G$28)))),"")</f>
        <v/>
      </c>
      <c r="AB41" s="101" t="str">
        <f t="array" ref="AB41">IFERROR(AVERAGE(IF($B$3:$B$28=$B41,IF($D$3:$D$28=AB$31,IF($G$3:$G$28&lt;&gt;"",$G$3:$G$28)))),"")</f>
        <v/>
      </c>
      <c r="AC41" s="101" t="str">
        <f t="array" ref="AC41">IFERROR(AVERAGE(IF($B$3:$B$28=$B41,IF($D$3:$D$28=AC$31,IF($G$3:$G$28&lt;&gt;"",$G$3:$G$28)))),"")</f>
        <v/>
      </c>
      <c r="AD41" s="101" t="str">
        <f t="array" ref="AD41">IFERROR(AVERAGE(IF($B$3:$B$28=$B41,IF($D$3:$D$28=AD$31,IF($G$3:$G$28&lt;&gt;"",$G$3:$G$28)))),"")</f>
        <v/>
      </c>
      <c r="AE41" s="101" t="str">
        <f t="array" ref="AE41">IFERROR(AVERAGE(IF($B$3:$B$28=$B41,IF($D$3:$D$28=AE$31,IF($G$3:$G$28&lt;&gt;"",$G$3:$G$28)))),"")</f>
        <v/>
      </c>
      <c r="AF41" s="101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1" t="str">
        <f t="array" ref="H42">IFERROR(AVERAGE(IF($B$3:$B$28=$B42,IF($D$3:$D$28=H$31,IF($G$3:$G$28&lt;&gt;"",$G$3:$G$28)))),"")</f>
        <v/>
      </c>
      <c r="I42" s="101" t="str">
        <f t="array" ref="I42">IFERROR(AVERAGE(IF($B$3:$B$28=$B42,IF($D$3:$D$28=I$31,IF($G$3:$G$28&lt;&gt;"",$G$3:$G$28)))),"")</f>
        <v/>
      </c>
      <c r="J42" s="101" t="str">
        <f t="array" ref="J42">IFERROR(AVERAGE(IF($B$3:$B$28=$B42,IF($D$3:$D$28=J$31,IF($G$3:$G$28&lt;&gt;"",$G$3:$G$28)))),"")</f>
        <v/>
      </c>
      <c r="K42" s="101" t="str">
        <f t="array" ref="K42">IFERROR(AVERAGE(IF($B$3:$B$28=$B42,IF($D$3:$D$28=K$31,IF($G$3:$G$28&lt;&gt;"",$G$3:$G$28)))),"")</f>
        <v/>
      </c>
      <c r="L42" s="101" t="str">
        <f t="array" ref="L42">IFERROR(AVERAGE(IF($B$3:$B$28=$B42,IF($D$3:$D$28=L$31,IF($G$3:$G$28&lt;&gt;"",$G$3:$G$28)))),"")</f>
        <v/>
      </c>
      <c r="M42" s="101" t="str">
        <f t="array" ref="M42">IFERROR(AVERAGE(IF($B$3:$B$28=$B42,IF($D$3:$D$28=M$31,IF($G$3:$G$28&lt;&gt;"",$G$3:$G$28)))),"")</f>
        <v/>
      </c>
      <c r="N42" s="101" t="str">
        <f t="array" ref="N42">IFERROR(AVERAGE(IF($B$3:$B$28=$B42,IF($D$3:$D$28=N$31,IF($G$3:$G$28&lt;&gt;"",$G$3:$G$28)))),"")</f>
        <v/>
      </c>
      <c r="O42" s="101" t="str">
        <f t="array" ref="O42">IFERROR(AVERAGE(IF($B$3:$B$28=$B42,IF($D$3:$D$28=O$31,IF($G$3:$G$28&lt;&gt;"",$G$3:$G$28)))),"")</f>
        <v/>
      </c>
      <c r="P42" s="101" t="str">
        <f t="array" ref="P42">IFERROR(AVERAGE(IF($B$3:$B$28=$B42,IF($D$3:$D$28=P$31,IF($G$3:$G$28&lt;&gt;"",$G$3:$G$28)))),"")</f>
        <v/>
      </c>
      <c r="Q42" s="101" t="str">
        <f t="array" ref="Q42">IFERROR(AVERAGE(IF($B$3:$B$28=$B42,IF($D$3:$D$28=Q$31,IF($G$3:$G$28&lt;&gt;"",$G$3:$G$28)))),"")</f>
        <v/>
      </c>
      <c r="R42" s="101" t="str">
        <f t="array" ref="R42">IFERROR(AVERAGE(IF($B$3:$B$28=$B42,IF($D$3:$D$28=R$31,IF($G$3:$G$28&lt;&gt;"",$G$3:$G$28)))),"")</f>
        <v/>
      </c>
      <c r="S42" s="101" t="str">
        <f t="array" ref="S42">IFERROR(AVERAGE(IF($B$3:$B$28=$B42,IF($D$3:$D$28=S$31,IF($G$3:$G$28&lt;&gt;"",$G$3:$G$28)))),"")</f>
        <v/>
      </c>
      <c r="T42" s="101">
        <f t="array" ref="T42">IFERROR(AVERAGE(IF($B$3:$B$28=$B42,IF($D$3:$D$28=T$31,IF($G$3:$G$28&lt;&gt;"",$G$3:$G$28)))),"")</f>
        <v>3221</v>
      </c>
      <c r="U42" s="101" t="str">
        <f t="array" ref="U42">IFERROR(AVERAGE(IF($B$3:$B$28=$B42,IF($D$3:$D$28=U$31,IF($G$3:$G$28&lt;&gt;"",$G$3:$G$28)))),"")</f>
        <v/>
      </c>
      <c r="V42" s="101" t="str">
        <f t="array" ref="V42">IFERROR(AVERAGE(IF($B$3:$B$28=$B42,IF($D$3:$D$28=V$31,IF($G$3:$G$28&lt;&gt;"",$G$3:$G$28)))),"")</f>
        <v/>
      </c>
      <c r="W42" s="101" t="str">
        <f t="array" ref="W42">IFERROR(AVERAGE(IF($B$3:$B$28=$B42,IF($D$3:$D$28=W$31,IF($G$3:$G$28&lt;&gt;"",$G$3:$G$28)))),"")</f>
        <v/>
      </c>
      <c r="X42" s="101" t="str">
        <f t="array" ref="X42">IFERROR(AVERAGE(IF($B$3:$B$28=$B42,IF($D$3:$D$28=X$31,IF($G$3:$G$28&lt;&gt;"",$G$3:$G$28)))),"")</f>
        <v/>
      </c>
      <c r="Y42" s="101" t="str">
        <f t="array" ref="Y42">IFERROR(AVERAGE(IF($B$3:$B$28=$B42,IF($D$3:$D$28=Y$31,IF($G$3:$G$28&lt;&gt;"",$G$3:$G$28)))),"")</f>
        <v/>
      </c>
      <c r="Z42" s="101" t="str">
        <f t="array" ref="Z42">IFERROR(AVERAGE(IF($B$3:$B$28=$B42,IF($D$3:$D$28=Z$31,IF($G$3:$G$28&lt;&gt;"",$G$3:$G$28)))),"")</f>
        <v/>
      </c>
      <c r="AA42" s="101" t="str">
        <f t="array" ref="AA42">IFERROR(AVERAGE(IF($B$3:$B$28=$B42,IF($D$3:$D$28=AA$31,IF($G$3:$G$28&lt;&gt;"",$G$3:$G$28)))),"")</f>
        <v/>
      </c>
      <c r="AB42" s="101" t="str">
        <f t="array" ref="AB42">IFERROR(AVERAGE(IF($B$3:$B$28=$B42,IF($D$3:$D$28=AB$31,IF($G$3:$G$28&lt;&gt;"",$G$3:$G$28)))),"")</f>
        <v/>
      </c>
      <c r="AC42" s="101" t="str">
        <f t="array" ref="AC42">IFERROR(AVERAGE(IF($B$3:$B$28=$B42,IF($D$3:$D$28=AC$31,IF($G$3:$G$28&lt;&gt;"",$G$3:$G$28)))),"")</f>
        <v/>
      </c>
      <c r="AD42" s="101" t="str">
        <f t="array" ref="AD42">IFERROR(AVERAGE(IF($B$3:$B$28=$B42,IF($D$3:$D$28=AD$31,IF($G$3:$G$28&lt;&gt;"",$G$3:$G$28)))),"")</f>
        <v/>
      </c>
      <c r="AE42" s="101" t="str">
        <f t="array" ref="AE42">IFERROR(AVERAGE(IF($B$3:$B$28=$B42,IF($D$3:$D$28=AE$31,IF($G$3:$G$28&lt;&gt;"",$G$3:$G$28)))),"")</f>
        <v/>
      </c>
      <c r="AF42" s="101" t="str">
        <f t="array" ref="AF42">IFERROR(AVERAGE(IF($B$3:$B$28=$B42,IF($D$3:$D$28=AF$31,IF($G$3:$G$28&lt;&gt;"",$G$3:$G$28)))),"")</f>
        <v/>
      </c>
    </row>
    <row r="43" spans="1:32" ht="9" customHeight="1" x14ac:dyDescent="0.25"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</row>
    <row r="44" spans="1:32" ht="9" customHeight="1" x14ac:dyDescent="0.25">
      <c r="A44" s="41" t="s">
        <v>549</v>
      </c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</row>
    <row r="45" spans="1:32" ht="15" hidden="1" customHeight="1" x14ac:dyDescent="0.25">
      <c r="H45" s="104">
        <f t="shared" ref="H45:AF45" si="3">H31</f>
        <v>44012</v>
      </c>
      <c r="I45" s="104">
        <f t="shared" si="3"/>
        <v>43982</v>
      </c>
      <c r="J45" s="104">
        <f t="shared" si="3"/>
        <v>43951</v>
      </c>
      <c r="K45" s="104">
        <f t="shared" si="3"/>
        <v>43921</v>
      </c>
      <c r="L45" s="104">
        <f t="shared" si="3"/>
        <v>43889</v>
      </c>
      <c r="M45" s="104">
        <f t="shared" si="3"/>
        <v>43861</v>
      </c>
      <c r="N45" s="104">
        <f t="shared" si="3"/>
        <v>43830</v>
      </c>
      <c r="O45" s="104">
        <f t="shared" si="3"/>
        <v>43799</v>
      </c>
      <c r="P45" s="104">
        <f t="shared" si="3"/>
        <v>43769</v>
      </c>
      <c r="Q45" s="104">
        <f t="shared" si="3"/>
        <v>43738</v>
      </c>
      <c r="R45" s="104">
        <f t="shared" si="3"/>
        <v>43708</v>
      </c>
      <c r="S45" s="104">
        <f t="shared" si="3"/>
        <v>43677</v>
      </c>
      <c r="T45" s="104">
        <f t="shared" si="3"/>
        <v>43646</v>
      </c>
      <c r="U45" s="104">
        <f t="shared" si="3"/>
        <v>43616</v>
      </c>
      <c r="V45" s="104">
        <f t="shared" si="3"/>
        <v>43585</v>
      </c>
      <c r="W45" s="104">
        <f t="shared" si="3"/>
        <v>43555</v>
      </c>
      <c r="X45" s="104">
        <f t="shared" si="3"/>
        <v>43524</v>
      </c>
      <c r="Y45" s="104">
        <f t="shared" si="3"/>
        <v>43496</v>
      </c>
      <c r="Z45" s="104">
        <f t="shared" si="3"/>
        <v>43465</v>
      </c>
      <c r="AA45" s="104">
        <f t="shared" si="3"/>
        <v>43434</v>
      </c>
      <c r="AB45" s="104">
        <f t="shared" si="3"/>
        <v>43404</v>
      </c>
      <c r="AC45" s="104">
        <f t="shared" si="3"/>
        <v>43373</v>
      </c>
      <c r="AD45" s="104">
        <f t="shared" si="3"/>
        <v>43343</v>
      </c>
      <c r="AE45" s="104">
        <f t="shared" si="3"/>
        <v>43312</v>
      </c>
      <c r="AF45" s="104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3">
        <f t="shared" ref="H46:AF46" si="4">IFERROR(MAX(H33:H44),0)</f>
        <v>2654</v>
      </c>
      <c r="I46" s="103">
        <f t="shared" si="4"/>
        <v>1173</v>
      </c>
      <c r="J46" s="103">
        <f t="shared" si="4"/>
        <v>1098</v>
      </c>
      <c r="K46" s="103">
        <f t="shared" si="4"/>
        <v>986</v>
      </c>
      <c r="L46" s="103">
        <f t="shared" si="4"/>
        <v>1212</v>
      </c>
      <c r="M46" s="103">
        <f t="shared" si="4"/>
        <v>1993</v>
      </c>
      <c r="N46" s="103">
        <f t="shared" si="4"/>
        <v>2323</v>
      </c>
      <c r="O46" s="103">
        <f t="shared" si="4"/>
        <v>2566</v>
      </c>
      <c r="P46" s="103">
        <f t="shared" si="4"/>
        <v>2577</v>
      </c>
      <c r="Q46" s="103">
        <f t="shared" si="4"/>
        <v>2756</v>
      </c>
      <c r="R46" s="103">
        <f t="shared" si="4"/>
        <v>2677</v>
      </c>
      <c r="S46" s="103">
        <f t="shared" si="4"/>
        <v>1232</v>
      </c>
      <c r="T46" s="103">
        <f t="shared" si="4"/>
        <v>3221</v>
      </c>
      <c r="U46" s="103">
        <f t="shared" si="4"/>
        <v>1173</v>
      </c>
      <c r="V46" s="103">
        <f t="shared" si="4"/>
        <v>1098</v>
      </c>
      <c r="W46" s="103">
        <f t="shared" si="4"/>
        <v>986</v>
      </c>
      <c r="X46" s="103">
        <f t="shared" si="4"/>
        <v>1212</v>
      </c>
      <c r="Y46" s="103">
        <f t="shared" si="4"/>
        <v>1993</v>
      </c>
      <c r="Z46" s="103">
        <f t="shared" si="4"/>
        <v>2323</v>
      </c>
      <c r="AA46" s="103">
        <f t="shared" si="4"/>
        <v>2566</v>
      </c>
      <c r="AB46" s="103">
        <f t="shared" si="4"/>
        <v>2577</v>
      </c>
      <c r="AC46" s="103">
        <f t="shared" si="4"/>
        <v>2756</v>
      </c>
      <c r="AD46" s="103">
        <f t="shared" si="4"/>
        <v>2677</v>
      </c>
      <c r="AE46" s="103">
        <f t="shared" si="4"/>
        <v>1232</v>
      </c>
      <c r="AF46" s="103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FQj8+Q8CrdKCikg8B0zlpxRaorazJ8+wEhWqDqBgN2GySLrvJHAU+lR/CPMnFeXTqUa5q2oC4FMWjMSs+ryZoA==" saltValue="6PxIVqtH2Kwzyje4oIgUb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tabSelected="1"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N12" sqref="N12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21" t="s">
        <v>568</v>
      </c>
      <c r="C2" s="226"/>
      <c r="D2" s="222"/>
      <c r="E2" s="36" t="s">
        <v>575</v>
      </c>
      <c r="F2" s="1"/>
    </row>
    <row r="3" spans="1:6" ht="15" customHeight="1" x14ac:dyDescent="0.25">
      <c r="A3" s="4" t="s">
        <v>601</v>
      </c>
      <c r="B3" s="219" t="s">
        <v>697</v>
      </c>
      <c r="C3" s="227"/>
      <c r="D3" s="220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43435</v>
      </c>
      <c r="C7" s="38">
        <v>43496</v>
      </c>
      <c r="D7" s="24">
        <v>111</v>
      </c>
      <c r="E7" s="24">
        <v>99</v>
      </c>
      <c r="F7" s="1"/>
    </row>
    <row r="8" spans="1:6" x14ac:dyDescent="0.25">
      <c r="A8" s="4">
        <v>0</v>
      </c>
      <c r="B8" s="38"/>
      <c r="C8" s="38"/>
      <c r="D8" s="24"/>
      <c r="E8" s="24"/>
      <c r="F8" s="1"/>
    </row>
    <row r="9" spans="1:6" x14ac:dyDescent="0.25">
      <c r="A9" s="4">
        <v>0</v>
      </c>
      <c r="B9" s="38"/>
      <c r="C9" s="38"/>
      <c r="D9" s="24"/>
      <c r="E9" s="24"/>
      <c r="F9" s="1"/>
    </row>
    <row r="10" spans="1:6" x14ac:dyDescent="0.25">
      <c r="A10" s="4">
        <v>0</v>
      </c>
      <c r="B10" s="38"/>
      <c r="C10" s="38"/>
      <c r="D10" s="24"/>
      <c r="E10" s="24"/>
      <c r="F10" s="1"/>
    </row>
    <row r="11" spans="1:6" x14ac:dyDescent="0.25">
      <c r="A11" s="4">
        <v>0</v>
      </c>
      <c r="B11" s="38"/>
      <c r="C11" s="38"/>
      <c r="D11" s="24"/>
      <c r="E11" s="24"/>
      <c r="F11" s="1"/>
    </row>
    <row r="12" spans="1:6" x14ac:dyDescent="0.25">
      <c r="A12" s="4">
        <v>0</v>
      </c>
      <c r="B12" s="38"/>
      <c r="C12" s="38"/>
      <c r="D12" s="24"/>
      <c r="E12" s="24"/>
      <c r="F12" s="1"/>
    </row>
    <row r="13" spans="1:6" x14ac:dyDescent="0.25">
      <c r="A13" s="4">
        <v>0</v>
      </c>
      <c r="B13" s="38"/>
      <c r="C13" s="38"/>
      <c r="D13" s="24"/>
      <c r="E13" s="24"/>
      <c r="F13" s="1"/>
    </row>
    <row r="14" spans="1:6" x14ac:dyDescent="0.25">
      <c r="A14" s="4">
        <v>0</v>
      </c>
      <c r="B14" s="38"/>
      <c r="C14" s="38"/>
      <c r="D14" s="24"/>
      <c r="E14" s="24"/>
      <c r="F14" s="1"/>
    </row>
    <row r="15" spans="1:6" x14ac:dyDescent="0.25">
      <c r="A15" s="4">
        <v>0</v>
      </c>
      <c r="B15" s="38"/>
      <c r="C15" s="38"/>
      <c r="D15" s="24"/>
      <c r="E15" s="24"/>
      <c r="F15" s="1"/>
    </row>
    <row r="16" spans="1:6" x14ac:dyDescent="0.25">
      <c r="A16" s="4">
        <v>0</v>
      </c>
      <c r="B16" s="38"/>
      <c r="C16" s="38"/>
      <c r="D16" s="24"/>
      <c r="E16" s="24"/>
      <c r="F16" s="1"/>
    </row>
    <row r="17" spans="1:6" x14ac:dyDescent="0.25">
      <c r="A17" s="4">
        <v>0</v>
      </c>
      <c r="B17" s="38"/>
      <c r="C17" s="38"/>
      <c r="D17" s="24"/>
      <c r="E17" s="24"/>
      <c r="F17" s="1"/>
    </row>
    <row r="18" spans="1:6" x14ac:dyDescent="0.25">
      <c r="A18" s="4">
        <v>0</v>
      </c>
      <c r="B18" s="38"/>
      <c r="C18" s="38"/>
      <c r="D18" s="24"/>
      <c r="E18" s="24"/>
      <c r="F18" s="1"/>
    </row>
    <row r="19" spans="1:6" x14ac:dyDescent="0.25">
      <c r="A19" s="4">
        <v>0</v>
      </c>
      <c r="B19" s="38"/>
      <c r="C19" s="38"/>
      <c r="D19" s="24"/>
      <c r="E19" s="24"/>
      <c r="F19" s="1"/>
    </row>
    <row r="20" spans="1:6" x14ac:dyDescent="0.25">
      <c r="A20" s="4">
        <v>0</v>
      </c>
      <c r="B20" s="38"/>
      <c r="C20" s="38"/>
      <c r="D20" s="24"/>
      <c r="E20" s="24"/>
      <c r="F20" s="1"/>
    </row>
    <row r="21" spans="1:6" x14ac:dyDescent="0.25">
      <c r="A21" s="4">
        <v>0</v>
      </c>
      <c r="B21" s="38"/>
      <c r="C21" s="38"/>
      <c r="D21" s="24"/>
      <c r="E21" s="24"/>
      <c r="F21" s="1"/>
    </row>
    <row r="22" spans="1:6" x14ac:dyDescent="0.25">
      <c r="A22" s="4">
        <v>0</v>
      </c>
      <c r="B22" s="38"/>
      <c r="C22" s="38"/>
      <c r="D22" s="24"/>
      <c r="E22" s="24"/>
      <c r="F22" s="1"/>
    </row>
    <row r="23" spans="1:6" x14ac:dyDescent="0.25">
      <c r="A23" s="4">
        <v>0</v>
      </c>
      <c r="B23" s="38"/>
      <c r="C23" s="38"/>
      <c r="D23" s="24"/>
      <c r="E23" s="24"/>
      <c r="F23" s="1"/>
    </row>
    <row r="24" spans="1:6" x14ac:dyDescent="0.25">
      <c r="A24" s="4">
        <v>0</v>
      </c>
      <c r="B24" s="38"/>
      <c r="C24" s="38"/>
      <c r="D24" s="24"/>
      <c r="E24" s="24"/>
      <c r="F24" s="1"/>
    </row>
    <row r="25" spans="1:6" x14ac:dyDescent="0.25">
      <c r="A25" s="4">
        <v>0</v>
      </c>
      <c r="B25" s="38"/>
      <c r="C25" s="38"/>
      <c r="D25" s="24"/>
      <c r="E25" s="24"/>
      <c r="F25" s="1"/>
    </row>
    <row r="26" spans="1:6" x14ac:dyDescent="0.25">
      <c r="A26" s="4">
        <v>0</v>
      </c>
      <c r="B26" s="38"/>
      <c r="C26" s="38"/>
      <c r="D26" s="24"/>
      <c r="E26" s="24"/>
      <c r="F26" s="1"/>
    </row>
    <row r="27" spans="1:6" x14ac:dyDescent="0.25">
      <c r="A27" s="4">
        <v>0</v>
      </c>
      <c r="B27" s="38"/>
      <c r="C27" s="38"/>
      <c r="D27" s="24"/>
      <c r="E27" s="24"/>
      <c r="F27" s="1"/>
    </row>
    <row r="28" spans="1:6" x14ac:dyDescent="0.25">
      <c r="A28" s="4">
        <v>0</v>
      </c>
      <c r="B28" s="38"/>
      <c r="C28" s="38"/>
      <c r="D28" s="24"/>
      <c r="E28" s="24"/>
      <c r="F28" s="1"/>
    </row>
    <row r="29" spans="1:6" x14ac:dyDescent="0.25">
      <c r="A29" s="4">
        <v>0</v>
      </c>
      <c r="B29" s="38"/>
      <c r="C29" s="38"/>
      <c r="D29" s="24"/>
      <c r="E29" s="24"/>
      <c r="F29" s="1"/>
    </row>
    <row r="30" spans="1:6" x14ac:dyDescent="0.25">
      <c r="A30" s="4">
        <v>0</v>
      </c>
      <c r="B30" s="38"/>
      <c r="C30" s="38"/>
      <c r="D30" s="24"/>
      <c r="E30" s="24"/>
      <c r="F30" s="1"/>
    </row>
    <row r="31" spans="1:6" x14ac:dyDescent="0.25">
      <c r="A31" s="4"/>
      <c r="B31" s="38"/>
      <c r="C31" s="38"/>
      <c r="D31" s="24"/>
      <c r="E31" s="24"/>
      <c r="F31" s="1"/>
    </row>
    <row r="32" spans="1:6" x14ac:dyDescent="0.25">
      <c r="A32" s="4"/>
      <c r="B32" s="26"/>
      <c r="C32" s="26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vopDQRDNGUcXCeHHjYCV9mqfNFk2oucwZ9hojs+0hEpPLcvZiwGPGdifDoigTPv2sSxSYGNdUgL8GmG/9a/kGg==" saltValue="FSY5F+Or/VNii+skwNu8Zg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707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708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710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C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711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712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713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715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716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714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717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21" sqref="C21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718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87" t="s">
        <v>709</v>
      </c>
      <c r="E3" s="1"/>
    </row>
    <row r="4" spans="1:24" ht="15.75" hidden="1" customHeight="1" x14ac:dyDescent="0.25">
      <c r="A4" s="4"/>
      <c r="B4" s="173"/>
      <c r="C4" s="9"/>
      <c r="D4" s="18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4" t="s">
        <v>568</v>
      </c>
      <c r="C2" s="179"/>
      <c r="D2" s="186" t="s">
        <v>719</v>
      </c>
      <c r="E2" s="1"/>
    </row>
    <row r="3" spans="1:24" ht="15.75" customHeight="1" x14ac:dyDescent="0.25">
      <c r="A3" s="4" t="s">
        <v>601</v>
      </c>
      <c r="B3" s="173" t="s">
        <v>569</v>
      </c>
      <c r="C3" s="9"/>
      <c r="D3" s="177" t="s">
        <v>720</v>
      </c>
      <c r="E3" s="1"/>
    </row>
    <row r="4" spans="1:24" ht="15.75" hidden="1" customHeight="1" x14ac:dyDescent="0.25">
      <c r="A4" s="4"/>
      <c r="B4" s="173"/>
      <c r="C4" s="9"/>
      <c r="D4" s="177"/>
      <c r="E4" s="1"/>
    </row>
    <row r="5" spans="1:24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24" ht="24" customHeight="1" x14ac:dyDescent="0.25">
      <c r="A6" s="4">
        <v>10</v>
      </c>
      <c r="B6" s="178" t="s">
        <v>547</v>
      </c>
      <c r="C6" s="178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8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2757-9296-44F6-BD6B-12C359F3EE8B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C7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AnalyticsWater meter via upload</v>
      </c>
      <c r="C1" s="1"/>
      <c r="D1" s="182" t="str">
        <f ca="1">B1</f>
        <v>AnalyticsWater meter via upload</v>
      </c>
      <c r="E1" s="1"/>
    </row>
    <row r="2" spans="1:5" x14ac:dyDescent="0.25">
      <c r="A2" s="4" t="s">
        <v>601</v>
      </c>
      <c r="B2" s="200" t="s">
        <v>568</v>
      </c>
      <c r="C2" s="179"/>
      <c r="D2" s="175" t="s">
        <v>745</v>
      </c>
      <c r="E2" s="1"/>
    </row>
    <row r="3" spans="1:5" x14ac:dyDescent="0.25">
      <c r="A3" s="4" t="s">
        <v>601</v>
      </c>
      <c r="B3" s="199" t="s">
        <v>697</v>
      </c>
      <c r="C3" s="9"/>
      <c r="D3" s="175" t="s">
        <v>692</v>
      </c>
      <c r="E3" s="1"/>
    </row>
    <row r="4" spans="1:5" x14ac:dyDescent="0.25">
      <c r="A4" s="4" t="s">
        <v>601</v>
      </c>
      <c r="B4" s="199" t="s">
        <v>569</v>
      </c>
      <c r="C4" s="9"/>
      <c r="D4" s="175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5" ht="24.75" customHeight="1" x14ac:dyDescent="0.25">
      <c r="A6" s="4">
        <v>34</v>
      </c>
      <c r="B6" s="178" t="s">
        <v>547</v>
      </c>
      <c r="C6" s="178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43435</v>
      </c>
      <c r="C7" s="38">
        <v>43496</v>
      </c>
      <c r="D7" s="24">
        <v>5.46</v>
      </c>
      <c r="E7" s="1"/>
    </row>
    <row r="8" spans="1:5" x14ac:dyDescent="0.25">
      <c r="A8" s="4"/>
      <c r="B8" s="38"/>
      <c r="C8" s="38"/>
      <c r="D8" s="24"/>
      <c r="E8" s="1"/>
    </row>
    <row r="9" spans="1:5" x14ac:dyDescent="0.25">
      <c r="A9" s="4"/>
      <c r="B9" s="38"/>
      <c r="C9" s="38"/>
      <c r="D9" s="24"/>
      <c r="E9" s="1"/>
    </row>
    <row r="10" spans="1:5" x14ac:dyDescent="0.25">
      <c r="A10" s="4"/>
      <c r="B10" s="38"/>
      <c r="C10" s="38"/>
      <c r="D10" s="24"/>
      <c r="E10" s="1"/>
    </row>
    <row r="11" spans="1:5" x14ac:dyDescent="0.25">
      <c r="A11" s="4"/>
      <c r="B11" s="38"/>
      <c r="C11" s="38"/>
      <c r="D11" s="24"/>
      <c r="E11" s="1"/>
    </row>
    <row r="12" spans="1:5" x14ac:dyDescent="0.25">
      <c r="A12" s="4"/>
      <c r="B12" s="38"/>
      <c r="C12" s="38"/>
      <c r="D12" s="24"/>
      <c r="E12" s="1"/>
    </row>
    <row r="13" spans="1:5" x14ac:dyDescent="0.25">
      <c r="A13" s="4"/>
      <c r="B13" s="38"/>
      <c r="C13" s="38"/>
      <c r="D13" s="24"/>
      <c r="E13" s="1"/>
    </row>
    <row r="14" spans="1:5" x14ac:dyDescent="0.25">
      <c r="A14" s="4"/>
      <c r="B14" s="38"/>
      <c r="C14" s="38"/>
      <c r="D14" s="24"/>
      <c r="E14" s="1"/>
    </row>
    <row r="15" spans="1:5" x14ac:dyDescent="0.25">
      <c r="A15" s="4"/>
      <c r="B15" s="38"/>
      <c r="C15" s="38"/>
      <c r="D15" s="24"/>
      <c r="E15" s="1"/>
    </row>
    <row r="16" spans="1:5" x14ac:dyDescent="0.25">
      <c r="A16" s="4"/>
      <c r="B16" s="38"/>
      <c r="C16" s="38"/>
      <c r="D16" s="24"/>
      <c r="E16" s="1"/>
    </row>
    <row r="17" spans="1:5" x14ac:dyDescent="0.25">
      <c r="A17" s="4"/>
      <c r="B17" s="38"/>
      <c r="C17" s="38"/>
      <c r="D17" s="24"/>
      <c r="E17" s="1"/>
    </row>
    <row r="18" spans="1:5" x14ac:dyDescent="0.25">
      <c r="A18" s="4"/>
      <c r="B18" s="38"/>
      <c r="C18" s="38"/>
      <c r="D18" s="24"/>
      <c r="E18" s="1"/>
    </row>
    <row r="19" spans="1:5" x14ac:dyDescent="0.25">
      <c r="A19" s="4"/>
      <c r="B19" s="38"/>
      <c r="C19" s="38"/>
      <c r="D19" s="24"/>
      <c r="E19" s="1"/>
    </row>
    <row r="20" spans="1:5" x14ac:dyDescent="0.25">
      <c r="A20" s="4"/>
      <c r="B20" s="38"/>
      <c r="C20" s="38"/>
      <c r="D20" s="24"/>
      <c r="E20" s="1"/>
    </row>
    <row r="21" spans="1:5" x14ac:dyDescent="0.25">
      <c r="A21" s="4"/>
      <c r="B21" s="38"/>
      <c r="C21" s="38"/>
      <c r="D21" s="24"/>
      <c r="E21" s="1"/>
    </row>
    <row r="22" spans="1:5" x14ac:dyDescent="0.25">
      <c r="A22" s="4"/>
      <c r="B22" s="38"/>
      <c r="C22" s="38"/>
      <c r="D22" s="24"/>
      <c r="E22" s="1"/>
    </row>
    <row r="23" spans="1:5" x14ac:dyDescent="0.25">
      <c r="A23" s="4"/>
      <c r="B23" s="38"/>
      <c r="C23" s="38"/>
      <c r="D23" s="24"/>
      <c r="E23" s="1"/>
    </row>
    <row r="24" spans="1:5" x14ac:dyDescent="0.25">
      <c r="A24" s="4"/>
      <c r="B24" s="38"/>
      <c r="C24" s="38"/>
      <c r="D24" s="24"/>
      <c r="E24" s="1"/>
    </row>
    <row r="25" spans="1:5" x14ac:dyDescent="0.25">
      <c r="A25" s="4"/>
      <c r="B25" s="38"/>
      <c r="C25" s="38"/>
      <c r="D25" s="24"/>
      <c r="E25" s="1"/>
    </row>
    <row r="26" spans="1:5" x14ac:dyDescent="0.25">
      <c r="A26" s="4"/>
      <c r="B26" s="38"/>
      <c r="C26" s="38"/>
      <c r="D26" s="24"/>
      <c r="E26" s="1"/>
    </row>
    <row r="27" spans="1:5" x14ac:dyDescent="0.25">
      <c r="A27" s="4"/>
      <c r="B27" s="38"/>
      <c r="C27" s="38"/>
      <c r="D27" s="24"/>
      <c r="E27" s="1"/>
    </row>
    <row r="28" spans="1:5" x14ac:dyDescent="0.25">
      <c r="A28" s="4"/>
      <c r="B28" s="38"/>
      <c r="C28" s="38"/>
      <c r="D28" s="24"/>
      <c r="E28" s="1"/>
    </row>
    <row r="29" spans="1:5" x14ac:dyDescent="0.25">
      <c r="A29" s="4"/>
      <c r="B29" s="38"/>
      <c r="C29" s="38"/>
      <c r="D29" s="24"/>
      <c r="E29" s="1"/>
    </row>
    <row r="30" spans="1:5" x14ac:dyDescent="0.25">
      <c r="A30" s="4"/>
      <c r="B30" s="38"/>
      <c r="C30" s="38"/>
      <c r="D30" s="24"/>
      <c r="E30" s="1"/>
    </row>
    <row r="31" spans="1:5" x14ac:dyDescent="0.25">
      <c r="A31" s="4"/>
      <c r="B31" s="38"/>
      <c r="C31" s="38"/>
      <c r="D31" s="24"/>
      <c r="E31" s="1"/>
    </row>
    <row r="32" spans="1:5" x14ac:dyDescent="0.25">
      <c r="A32" s="4"/>
      <c r="B32" s="26"/>
      <c r="C32" s="26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c1g3qRgXnukLHSpKUYebl3JUuuV6siVvZppJ5dx11+orxQy+i/WVnlwo3MIyU7iJdGK+2OEP848RpFcbslpF6g==" saltValue="uBzQCzyIc3PlgQd9CnkL5w==" spinCount="100000" sheet="1" objects="1" scenarios="1"/>
  <dataValidations count="6">
    <dataValidation type="textLength" allowBlank="1" showInputMessage="1" showErrorMessage="1" errorTitle="Data Source" error="It can only accept 40 characters." sqref="D5" xr:uid="{70841A8B-7C5C-40FA-B5FD-38560002DD15}">
      <formula1>0</formula1>
      <formula2>40</formula2>
    </dataValidation>
    <dataValidation type="decimal" allowBlank="1" showInputMessage="1" showErrorMessage="1" error="Please enter a valid reading." sqref="D7:D31" xr:uid="{13A2C429-DC2F-4FCE-806E-892C1BA49F2A}">
      <formula1>0</formula1>
      <formula2>9999999999</formula2>
    </dataValidation>
    <dataValidation type="date" allowBlank="1" showInputMessage="1" showErrorMessage="1" error="Please enter a valid date in mm/dd/yyyy format." sqref="B7:C31" xr:uid="{7E4EAD6A-F74C-40C4-B752-058A72C0CF57}">
      <formula1>1</formula1>
      <formula2>73415</formula2>
    </dataValidation>
    <dataValidation allowBlank="1" showInputMessage="1" showErrorMessage="1" error="Please enter a valid date in mm/dd/yyyy format." sqref="B32:D34" xr:uid="{DA82FAAA-0F88-473A-AE2A-92E221EBA9B7}"/>
    <dataValidation type="list" allowBlank="1" showInputMessage="1" showErrorMessage="1" sqref="D3" xr:uid="{E431495F-812A-4056-969E-D916DF6006B8}">
      <formula1>WaterDrp</formula1>
    </dataValidation>
    <dataValidation type="list" allowBlank="1" showInputMessage="1" showErrorMessage="1" error="Units cannot edit." sqref="D4" xr:uid="{82638566-A3FB-4657-A40B-7F78F9943631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B8B8D-2A30-4BD5-BBBB-434200911468}">
  <sheetPr codeName="Sheet1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14" sqref="D14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AnalyticsEnergy Meter via up...</v>
      </c>
      <c r="C1" s="1"/>
      <c r="D1" s="4" t="str">
        <f ca="1">B1</f>
        <v>AnalyticsEnergy Meter via up...</v>
      </c>
      <c r="E1" s="1"/>
    </row>
    <row r="2" spans="1:10" x14ac:dyDescent="0.25">
      <c r="A2" s="4" t="s">
        <v>601</v>
      </c>
      <c r="B2" s="202" t="s">
        <v>568</v>
      </c>
      <c r="C2" s="179"/>
      <c r="D2" s="175" t="s">
        <v>744</v>
      </c>
      <c r="E2" s="1"/>
    </row>
    <row r="3" spans="1:10" x14ac:dyDescent="0.25">
      <c r="A3" s="4" t="s">
        <v>601</v>
      </c>
      <c r="B3" s="201" t="s">
        <v>697</v>
      </c>
      <c r="C3" s="9"/>
      <c r="D3" s="175" t="s">
        <v>691</v>
      </c>
      <c r="E3" s="1"/>
    </row>
    <row r="4" spans="1:10" x14ac:dyDescent="0.25">
      <c r="A4" s="4" t="s">
        <v>601</v>
      </c>
      <c r="B4" s="201" t="s">
        <v>569</v>
      </c>
      <c r="C4" s="9"/>
      <c r="D4" s="175" t="s">
        <v>529</v>
      </c>
      <c r="E4" s="1"/>
    </row>
    <row r="5" spans="1:10" ht="15" customHeight="1" x14ac:dyDescent="0.25">
      <c r="A5" s="4" t="s">
        <v>601</v>
      </c>
      <c r="B5" s="20" t="s">
        <v>698</v>
      </c>
      <c r="C5" s="181"/>
      <c r="D5" s="175"/>
      <c r="E5" s="1"/>
    </row>
    <row r="6" spans="1:10" ht="24" customHeight="1" x14ac:dyDescent="0.25">
      <c r="A6" s="4">
        <v>10</v>
      </c>
      <c r="B6" s="178" t="s">
        <v>547</v>
      </c>
      <c r="C6" s="178" t="s">
        <v>548</v>
      </c>
      <c r="D6" s="3" t="str">
        <f>CONCATENATE("Period Consumption 
","(",D4,")")</f>
        <v>Period Consumption 
(kBtu)</v>
      </c>
      <c r="E6" s="1"/>
    </row>
    <row r="7" spans="1:10" x14ac:dyDescent="0.25">
      <c r="A7" s="5"/>
      <c r="B7" s="38">
        <v>43435</v>
      </c>
      <c r="C7" s="38">
        <v>43496</v>
      </c>
      <c r="D7" s="25">
        <v>2000</v>
      </c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wyHe7q5wksK4mDxlfAK19LDPqVbJLHQaBZoFtvq7WjAJmi82FzpxqeEyLYs/yrGNLegQNg5zHqnEGET0AGjmIA==" saltValue="qMRRCVx96BRBsp7Hb10yYA==" spinCount="100000" sheet="1" objects="1" scenarios="1"/>
  <dataValidations count="6">
    <dataValidation type="textLength" allowBlank="1" showInputMessage="1" showErrorMessage="1" errorTitle="Data Source" error="It can only accept 40 characters." sqref="D5" xr:uid="{23493B47-6A7A-410E-B775-2DD90EB1DB30}">
      <formula1>0</formula1>
      <formula2>40</formula2>
    </dataValidation>
    <dataValidation type="decimal" allowBlank="1" showInputMessage="1" showErrorMessage="1" error="Please enter a valid reading." sqref="D7" xr:uid="{BB652711-1C0F-4505-82A6-9806EB9DA14F}">
      <formula1>0</formula1>
      <formula2>9999999999</formula2>
    </dataValidation>
    <dataValidation type="date" allowBlank="1" showInputMessage="1" showErrorMessage="1" error="Please enter a valid date in mm/dd/yyyy format." sqref="B7:C7" xr:uid="{66E7EDFA-5858-4CF8-B007-14D8E11658C3}">
      <formula1>1</formula1>
      <formula2>73415</formula2>
    </dataValidation>
    <dataValidation allowBlank="1" showInputMessage="1" showErrorMessage="1" error="Please enter a valid date in mm/dd/yyyy format." sqref="B8:D10" xr:uid="{F9C55C37-C385-4B77-9AD2-D16E3A5F951F}"/>
    <dataValidation type="list" allowBlank="1" showInputMessage="1" showErrorMessage="1" sqref="D3" xr:uid="{A74DBA0F-2A4C-4693-B9D1-40AFA18749A4}">
      <formula1>ElectricityDrp</formula1>
    </dataValidation>
    <dataValidation type="list" allowBlank="1" showInputMessage="1" showErrorMessage="1" error="Units cannot edit." sqref="D4" xr:uid="{38330C46-CB62-4943-A027-110D5258EFF1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AnalyticsWater meter via upload</vt:lpstr>
      <vt:lpstr>AnalyticsEnergy Meter via up...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'AnalyticsEnergy Meter via up...'!elecName</vt:lpstr>
      <vt:lpstr>'Atmospheric Particulate Matter'!elecName</vt:lpstr>
      <vt:lpstr>Benzene!elecName</vt:lpstr>
      <vt:lpstr>'Carbon Monoxide'!elecName</vt:lpstr>
      <vt:lpstr>Dichlorobenzene!elecName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'AnalyticsEnergy Meter via up...'!ElectricityDrp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'AnalyticsWater meter via upload'!water_meter_type</vt:lpstr>
      <vt:lpstr>water_meter_type</vt:lpstr>
      <vt:lpstr>'AnalyticsWater meter via upload'!water_type</vt:lpstr>
      <vt:lpstr>water_type</vt:lpstr>
      <vt:lpstr>'AnalyticsWater meter via upload'!water_units</vt:lpstr>
      <vt:lpstr>water_units</vt:lpstr>
      <vt:lpstr>Acetaldehyde!WaterDrp</vt:lpstr>
      <vt:lpstr>'AnalyticsWater meter via upload'!WaterDrp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'Xylenes-total'!WaterDrp</vt:lpstr>
      <vt:lpstr>WaterDrp</vt:lpstr>
      <vt:lpstr>'AnalyticsWater meter via upload'!waterType</vt:lpstr>
      <vt:lpstr>waterType</vt:lpstr>
      <vt:lpstr>'AnalyticsWater meter via upload'!waterUnits</vt:lpstr>
      <vt:lpstr>waterUnits</vt:lpstr>
      <vt:lpstr>'AnalyticsWater meter via upload'!watUn</vt:lpstr>
      <vt:lpstr>watUn</vt:lpstr>
      <vt:lpstr>Acetaldehyde!watUni</vt:lpstr>
      <vt:lpstr>'AnalyticsWater meter via upload'!watUni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'AnalyticsWater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2019-06-19T05:12:21Z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