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utomationArc\ARCDataTemplete\"/>
    </mc:Choice>
  </mc:AlternateContent>
  <xr:revisionPtr revIDLastSave="0" documentId="13_ncr:1_{29E0A32A-106D-45CF-B95B-3F2C32AF8DF8}" xr6:coauthVersionLast="43" xr6:coauthVersionMax="43" xr10:uidLastSave="{00000000-0000-0000-0000-000000000000}"/>
  <workbookProtection workbookAlgorithmName="SHA-512" workbookHashValue="9lUuRUzBkQnyW2nDtaVZz9d8F0qR7IHHkbiHfiICrUXsOxPgO0eK5Q1jwhD6oTJ1a94YjMwjoxApdwGkziYpDw==" workbookSaltValue="a5NvC1JCGke6WObpmJ0r1A==" workbookSpinCount="100000" lockStructure="1"/>
  <bookViews>
    <workbookView xWindow="-120" yWindow="-120" windowWidth="20730" windowHeight="11310" firstSheet="10" activeTab="13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AnalyticsEnergy Meter via up..." sheetId="30" r:id="rId22"/>
    <sheet name="AnalyticsWater meter via upload" sheetId="31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Readings'!$6:$6</definedName>
    <definedName name="columnDeleteVOC">'TVOC Readings'!$6:$6</definedName>
    <definedName name="Countries">Setup!$L$28:$M$271</definedName>
    <definedName name="CountriesDetails">Setup!$L$28:$L$271</definedName>
    <definedName name="countryName">Setup!$L$27:$L$271</definedName>
    <definedName name="DataCopy">'CO2 Readings'!$A$18:$E$18</definedName>
    <definedName name="DataCopyVOC">'TVOC Readings'!$A$17:$E$17</definedName>
    <definedName name="Dates" localSheetId="13">'CO2 Readings'!$14:$14</definedName>
    <definedName name="Dates" localSheetId="12">'CO2 Readings'!$14:$14</definedName>
    <definedName name="Dates" localSheetId="14">'CO2 Readings'!$14:$14</definedName>
    <definedName name="Dates" localSheetId="10">'CO2 Readings'!$14:$14</definedName>
    <definedName name="Dates" localSheetId="18">'CO2 Readings'!$14:$14</definedName>
    <definedName name="Dates" localSheetId="20">'CO2 Readings'!$14:$14</definedName>
    <definedName name="Dates" localSheetId="17">'CO2 Readings'!$14:$14</definedName>
    <definedName name="Dates" localSheetId="11">'CO2 Readings'!$14:$14</definedName>
    <definedName name="Dates" localSheetId="15">'CO2 Readings'!$14:$14</definedName>
    <definedName name="Dates" localSheetId="16">'CO2 Readings'!$14:$14</definedName>
    <definedName name="Dates" localSheetId="19">'CO2 Readings'!$14:$14</definedName>
    <definedName name="Dates">'CO2 Readings'!$14:$14</definedName>
    <definedName name="DatesVOC" localSheetId="13">'TVOC Readings'!$13:$13</definedName>
    <definedName name="DatesVOC" localSheetId="12">'TVOC Readings'!$13:$13</definedName>
    <definedName name="DatesVOC" localSheetId="14">'TVOC Readings'!$13:$13</definedName>
    <definedName name="DatesVOC" localSheetId="10">'TVOC Readings'!$13:$13</definedName>
    <definedName name="DatesVOC" localSheetId="18">'TVOC Readings'!$13:$13</definedName>
    <definedName name="DatesVOC" localSheetId="20">'TVOC Readings'!$13:$13</definedName>
    <definedName name="DatesVOC" localSheetId="17">'TVOC Readings'!$13:$13</definedName>
    <definedName name="DatesVOC" localSheetId="11">'TVOC Readings'!$13:$13</definedName>
    <definedName name="DatesVOC" localSheetId="15">'TVOC Readings'!$13:$13</definedName>
    <definedName name="DatesVOC" localSheetId="16">'TVOC Readings'!$13:$13</definedName>
    <definedName name="DatesVOC" localSheetId="19">'TVOC Readings'!$13:$13</definedName>
    <definedName name="DatesVOC">'TVOC Readings'!$13:$13</definedName>
    <definedName name="DelRwNmEnd">'CO2 Reading for Upload'!$A$11:$E$11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21">'AnalyticsEnergy Meter via up...'!$G$15:$G$19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21">'AnalyticsEnergy Meter via up...'!$J$9:$J$10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21">base_f!#REF!</definedName>
    <definedName name="fuelname" localSheetId="22">base_f!#REF!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21">OFFSET(myItemList,0,0,1,COUNTA(myItemList))</definedName>
    <definedName name="myitem" localSheetId="22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Stream'!$I$12:$I$14</definedName>
    <definedName name="newWaUnit" localSheetId="12">'Waste Stream'!$I$12:$I$14</definedName>
    <definedName name="newWaUnit" localSheetId="14">'Waste Stream'!$I$12:$I$14</definedName>
    <definedName name="newWaUnit" localSheetId="10">'Waste Stream'!$I$12:$I$14</definedName>
    <definedName name="newWaUnit" localSheetId="18">'Waste Stream'!$I$12:$I$14</definedName>
    <definedName name="newWaUnit" localSheetId="20">'Waste Stream'!$I$12:$I$14</definedName>
    <definedName name="newWaUnit" localSheetId="17">'Waste Stream'!$I$12:$I$14</definedName>
    <definedName name="newWaUnit" localSheetId="11">'Waste Stream'!$I$12:$I$14</definedName>
    <definedName name="newWaUnit" localSheetId="15">'Waste Stream'!$I$12:$I$14</definedName>
    <definedName name="newWaUnit" localSheetId="16">'Waste Stream'!$I$12:$I$14</definedName>
    <definedName name="newWaUnit" localSheetId="19">'Waste Stream'!$I$12:$I$14</definedName>
    <definedName name="newWaUnit">'Waste Stream'!$I$12:$I$14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22">COUNTIF('AnalyticsWater meter via upload'!$B:$B,'AnalyticsWater meter via upload'!A1)=1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Upload'!$B$6:$B$11</definedName>
    <definedName name="RangeCountVOC">'TVOC Reading for Upload'!$B$6:$B$10</definedName>
    <definedName name="ReadingTable" localSheetId="13">'CO2 Readings'!$14:$15</definedName>
    <definedName name="ReadingTable" localSheetId="12">'CO2 Readings'!$14:$15</definedName>
    <definedName name="ReadingTable" localSheetId="14">'CO2 Readings'!$14:$15</definedName>
    <definedName name="ReadingTable" localSheetId="10">'CO2 Readings'!$14:$15</definedName>
    <definedName name="ReadingTable" localSheetId="18">'CO2 Readings'!$14:$15</definedName>
    <definedName name="ReadingTable" localSheetId="20">'CO2 Readings'!$14:$15</definedName>
    <definedName name="ReadingTable" localSheetId="17">'CO2 Readings'!$14:$15</definedName>
    <definedName name="ReadingTable" localSheetId="11">'CO2 Readings'!$14:$15</definedName>
    <definedName name="ReadingTable" localSheetId="15">'CO2 Readings'!$14:$15</definedName>
    <definedName name="ReadingTable" localSheetId="16">'CO2 Readings'!$14:$15</definedName>
    <definedName name="ReadingTable" localSheetId="19">'CO2 Readings'!$14:$15</definedName>
    <definedName name="ReadingTable">'CO2 Readings'!$14:$15</definedName>
    <definedName name="ReadingTableVOC" localSheetId="13">'TVOC Readings'!$13:$14</definedName>
    <definedName name="ReadingTableVOC" localSheetId="12">'TVOC Readings'!$13:$14</definedName>
    <definedName name="ReadingTableVOC" localSheetId="14">'TVOC Readings'!$13:$14</definedName>
    <definedName name="ReadingTableVOC" localSheetId="10">'TVOC Readings'!$13:$14</definedName>
    <definedName name="ReadingTableVOC" localSheetId="18">'TVOC Readings'!$13:$14</definedName>
    <definedName name="ReadingTableVOC" localSheetId="20">'TVOC Readings'!$13:$14</definedName>
    <definedName name="ReadingTableVOC" localSheetId="17">'TVOC Readings'!$13:$14</definedName>
    <definedName name="ReadingTableVOC" localSheetId="11">'TVOC Readings'!$13:$14</definedName>
    <definedName name="ReadingTableVOC" localSheetId="15">'TVOC Readings'!$13:$14</definedName>
    <definedName name="ReadingTableVOC" localSheetId="16">'TVOC Readings'!$13:$14</definedName>
    <definedName name="ReadingTableVOC" localSheetId="19">'TVOC Readings'!$13:$14</definedName>
    <definedName name="ReadingTableVOC">'TVOC Readings'!$13:$14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Readings'!$F$6:$F$15</definedName>
    <definedName name="sumAnchorVOC">'TVOC Readings'!$G$6:$G$14</definedName>
    <definedName name="sumDate">'CO2 Readings'!$G$6:$G$15</definedName>
    <definedName name="sumDateVOC">'TVOC Readings'!$H$6:$H$14</definedName>
    <definedName name="UniqueDate">'CO2 Readings'!$B$21</definedName>
    <definedName name="UniqueDateVOC">'TVOC Readings'!$B$20</definedName>
    <definedName name="UniqueLoc">'CO2 Readings'!$C$21</definedName>
    <definedName name="UniqueLocVOC">'TVOC Readings'!$C$20</definedName>
    <definedName name="Units">Setup!$M$5:$M$6</definedName>
    <definedName name="UserFormat">'CO2 Readings'!$A$24:$E$24</definedName>
    <definedName name="validUnits">Setup!$L$303:$L$321</definedName>
    <definedName name="water_meter_type" localSheetId="22">'AnalyticsWater meter via upload'!$H$27:$I$39</definedName>
    <definedName name="water_meter_type">base_w!$H$27:$I$39</definedName>
    <definedName name="water_type" localSheetId="22">'AnalyticsWater meter via upload'!$H$27:$I$39</definedName>
    <definedName name="water_type">base_w!$H$27:$I$39</definedName>
    <definedName name="water_units" localSheetId="22">'AnalyticsWater meter via upload'!$H$15:$H$23</definedName>
    <definedName name="water_units">base_w!$H$15:$H$23</definedName>
    <definedName name="WaterDrp" localSheetId="13">base_w!$I$9:$I$11</definedName>
    <definedName name="WaterDrp" localSheetId="22">'AnalyticsWater meter via upload'!$I$9:$I$11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19">base_w!$I$9:$I$11</definedName>
    <definedName name="WaterDrp">base_w!$I$9:$I$11</definedName>
    <definedName name="waterType" localSheetId="22">'AnalyticsWater meter via upload'!$H$27:$H$39</definedName>
    <definedName name="waterType">base_w!$H$27:$H$39</definedName>
    <definedName name="waterUnits" localSheetId="22">'AnalyticsWater meter via upload'!$J$10:$J$14</definedName>
    <definedName name="waterUnits">base_w!$J$10:$J$14</definedName>
    <definedName name="watUn" localSheetId="22">'AnalyticsWater meter via upload'!$H$15:$H$23</definedName>
    <definedName name="watUn">base_w!$H$15:$H$23</definedName>
    <definedName name="watUni" localSheetId="13">base_w!$H$15:$H$29</definedName>
    <definedName name="watUni" localSheetId="22">'AnalyticsWater meter via upload'!$H$15:$H$29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19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'AnalyticsWater meter via upload'!$J$8</definedName>
    <definedName name="zep">base_w!$J$8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31" l="1"/>
  <c r="B1" i="31"/>
  <c r="D1" i="31"/>
  <c r="D6" i="30"/>
  <c r="B1" i="30"/>
  <c r="D1" i="30"/>
  <c r="E7" i="12"/>
  <c r="E8" i="12"/>
  <c r="G8" i="14" a="1"/>
  <c r="G8" i="14"/>
  <c r="G14" i="14"/>
  <c r="B7" i="12"/>
  <c r="B10" i="14" a="1"/>
  <c r="B10" i="14"/>
  <c r="G10" i="14" a="1"/>
  <c r="G10" i="14"/>
  <c r="B11" i="14" a="1"/>
  <c r="B11" i="14"/>
  <c r="G11" i="14" a="1"/>
  <c r="G11" i="14"/>
  <c r="G15" i="14"/>
  <c r="D7" i="12"/>
  <c r="C7" i="12"/>
  <c r="A7" i="12"/>
  <c r="T18" i="1"/>
  <c r="D6" i="27" a="1"/>
  <c r="D6" i="27"/>
  <c r="B1" i="27"/>
  <c r="D1" i="27"/>
  <c r="D6" i="26" a="1"/>
  <c r="D6" i="26"/>
  <c r="B1" i="26"/>
  <c r="D1" i="26"/>
  <c r="D6" i="25" a="1"/>
  <c r="D6" i="25"/>
  <c r="B1" i="25"/>
  <c r="D1" i="25"/>
  <c r="D6" i="24" a="1"/>
  <c r="D6" i="24"/>
  <c r="B1" i="24"/>
  <c r="D1" i="24"/>
  <c r="D6" i="23" a="1"/>
  <c r="D6" i="23"/>
  <c r="B1" i="23"/>
  <c r="D1" i="23"/>
  <c r="D6" i="22" a="1"/>
  <c r="D6" i="22"/>
  <c r="B1" i="22"/>
  <c r="D1" i="22"/>
  <c r="D6" i="21" a="1"/>
  <c r="D6" i="21"/>
  <c r="B1" i="21"/>
  <c r="D1" i="21"/>
  <c r="D6" i="20" a="1"/>
  <c r="D6" i="20"/>
  <c r="B1" i="20"/>
  <c r="D1" i="20"/>
  <c r="D6" i="19" a="1"/>
  <c r="D6" i="19"/>
  <c r="B1" i="19"/>
  <c r="D1" i="19"/>
  <c r="D6" i="18" a="1"/>
  <c r="D6" i="18"/>
  <c r="B1" i="18"/>
  <c r="D1" i="18"/>
  <c r="D6" i="17" a="1"/>
  <c r="D6" i="17"/>
  <c r="B1" i="17"/>
  <c r="D1" i="17"/>
  <c r="D19" i="16"/>
  <c r="E7" i="13"/>
  <c r="J8" i="16"/>
  <c r="K8" i="16"/>
  <c r="J9" i="16"/>
  <c r="K9" i="16"/>
  <c r="J10" i="16"/>
  <c r="K10" i="16"/>
  <c r="K11" i="16"/>
  <c r="J11" i="16"/>
  <c r="K12" i="16"/>
  <c r="J12" i="16"/>
  <c r="J13" i="16"/>
  <c r="K13" i="16"/>
  <c r="I13" i="16"/>
  <c r="J14" i="16"/>
  <c r="K14" i="16"/>
  <c r="I14" i="16"/>
  <c r="J15" i="16"/>
  <c r="K15" i="16"/>
  <c r="I15" i="16"/>
  <c r="J16" i="16"/>
  <c r="K16" i="16"/>
  <c r="I16" i="16"/>
  <c r="J7" i="16"/>
  <c r="K7" i="16"/>
  <c r="H19" i="16"/>
  <c r="G19" i="16"/>
  <c r="H8" i="15" a="1"/>
  <c r="H8" i="15"/>
  <c r="E19" i="16"/>
  <c r="J17" i="16"/>
  <c r="K17" i="16"/>
  <c r="I17" i="16"/>
  <c r="J18" i="16"/>
  <c r="K18" i="16"/>
  <c r="I18" i="16"/>
  <c r="J22" i="16"/>
  <c r="F19" i="16"/>
  <c r="B10" i="15" a="1"/>
  <c r="B10" i="15"/>
  <c r="D22" i="16"/>
  <c r="B22" i="16"/>
  <c r="D6" i="16"/>
  <c r="C18" i="1"/>
  <c r="D6" i="13"/>
  <c r="D6" i="12"/>
  <c r="E17" i="15"/>
  <c r="C20" i="15" a="1"/>
  <c r="C20" i="15"/>
  <c r="B20" i="15" a="1"/>
  <c r="B20" i="15"/>
  <c r="C21" i="14" a="1"/>
  <c r="C21" i="14"/>
  <c r="B21" i="14" a="1"/>
  <c r="B21" i="14"/>
  <c r="E18" i="14"/>
  <c r="B1" i="6"/>
  <c r="B1" i="8"/>
  <c r="B1" i="4"/>
  <c r="D6" i="8"/>
  <c r="D6" i="6"/>
  <c r="D6" i="4"/>
  <c r="E6" i="11"/>
  <c r="D6" i="11"/>
  <c r="A10" i="15"/>
  <c r="H10" i="15" a="1"/>
  <c r="H10" i="15"/>
  <c r="H6" i="15"/>
  <c r="H13" i="15"/>
  <c r="B7" i="13"/>
  <c r="D23" i="16"/>
  <c r="D1" i="8"/>
  <c r="D1" i="6"/>
  <c r="D1" i="4"/>
  <c r="I19" i="16"/>
  <c r="D24" i="16"/>
  <c r="G6" i="14"/>
  <c r="A10" i="14"/>
  <c r="B17" i="15"/>
  <c r="C17" i="15"/>
  <c r="C7" i="13"/>
  <c r="A11" i="14"/>
  <c r="H14" i="15"/>
  <c r="B18" i="14"/>
  <c r="C18" i="14"/>
  <c r="D17" i="15" a="1"/>
  <c r="D17" i="15"/>
  <c r="A17" i="15"/>
  <c r="D7" i="13" a="1"/>
  <c r="D7" i="13"/>
  <c r="A7" i="13"/>
  <c r="D18" i="14"/>
  <c r="A18" i="14"/>
  <c r="H8" i="14" a="1"/>
  <c r="H8" i="14"/>
  <c r="H6" i="14"/>
  <c r="H10" i="14" a="1"/>
  <c r="H10" i="14"/>
  <c r="H11" i="14" a="1"/>
  <c r="H11" i="14"/>
  <c r="H15" i="14"/>
  <c r="H14" i="14"/>
  <c r="B8" i="12"/>
  <c r="C8" i="12"/>
  <c r="D8" i="12"/>
  <c r="A8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<sst xmlns="http://schemas.openxmlformats.org/spreadsheetml/2006/main" count="3807" uniqueCount="738">
  <si>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</si>
  <si>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</si>
  <si>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</si>
  <si>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</si>
  <si>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</si>
  <si>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</si>
  <si>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</si>
  <si>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</si>
  <si>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</si>
  <si>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</si>
  <si>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</si>
  <si>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</si>
  <si>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</si>
  <si>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</si>
  <si>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</si>
  <si>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</si>
  <si>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</si>
  <si>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</si>
  <si>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</si>
  <si>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</si>
  <si>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</si>
  <si>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</si>
  <si>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</si>
  <si>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</si>
  <si>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</si>
  <si>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</si>
  <si>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</si>
  <si>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</si>
  <si>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</si>
  <si>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</si>
  <si>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</si>
  <si>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</si>
  <si>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</si>
  <si>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</si>
  <si>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</si>
  <si>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</si>
  <si>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</si>
  <si>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</si>
  <si>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</si>
  <si>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</si>
  <si>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</si>
  <si>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</si>
  <si>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</si>
  <si>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</si>
  <si>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</si>
  <si>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</si>
  <si>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</si>
  <si>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</si>
  <si>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</si>
  <si>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</si>
  <si>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</si>
  <si>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</si>
  <si>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</si>
  <si>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</si>
  <si>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</si>
  <si>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</si>
  <si>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</si>
  <si>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</si>
  <si>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</si>
  <si>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</si>
  <si>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</si>
  <si>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</si>
  <si>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</si>
  <si>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</si>
  <si>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</si>
  <si>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</si>
  <si>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</si>
  <si>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</si>
  <si>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</si>
  <si>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</si>
  <si>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</si>
  <si>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</si>
  <si>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</si>
  <si>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</si>
  <si>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</si>
  <si>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</si>
  <si>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</si>
  <si>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</si>
  <si>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</si>
  <si>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</si>
  <si>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</si>
  <si>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</si>
  <si>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</si>
  <si>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</si>
  <si>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</si>
  <si>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</si>
  <si>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</si>
  <si>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</si>
  <si>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</si>
  <si>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</si>
  <si>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</si>
  <si>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</si>
  <si>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</si>
  <si>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</si>
  <si>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</si>
  <si>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</si>
  <si>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</si>
  <si>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</si>
  <si>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</si>
  <si>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</si>
  <si>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</si>
  <si>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</si>
  <si>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</si>
  <si>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</si>
  <si>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</si>
  <si>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</si>
  <si>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</si>
  <si>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</si>
  <si>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</si>
  <si>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</si>
  <si>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</si>
  <si>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</si>
  <si>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</si>
  <si>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</si>
  <si>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</si>
  <si>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</si>
  <si>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</si>
  <si>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</si>
  <si>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</si>
  <si>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</si>
  <si>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</si>
  <si>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</si>
  <si>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</si>
  <si>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</si>
  <si>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</si>
  <si>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</si>
  <si>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</si>
  <si>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</si>
  <si>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</si>
  <si>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</si>
  <si>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</si>
  <si>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</si>
  <si>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</si>
  <si>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</si>
  <si>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</si>
  <si>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</si>
  <si>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</si>
  <si>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</si>
  <si>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</si>
  <si>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</si>
  <si>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</si>
  <si>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</si>
  <si>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</si>
  <si>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</si>
  <si>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</si>
  <si>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</si>
  <si>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</si>
  <si>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</si>
  <si>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</si>
  <si>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</si>
  <si>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</si>
  <si>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</si>
  <si>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</si>
  <si>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</si>
  <si>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</si>
  <si>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</si>
  <si>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</si>
  <si>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</si>
  <si>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</si>
  <si>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</si>
  <si>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</si>
  <si>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</si>
  <si>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</si>
  <si>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</si>
  <si>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</si>
  <si>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</si>
  <si>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</si>
  <si>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</si>
  <si>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</si>
  <si>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</si>
  <si>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</si>
  <si>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</si>
  <si>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</si>
  <si>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</si>
  <si>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</si>
  <si>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</si>
  <si>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</si>
  <si>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</si>
  <si>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</si>
  <si>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</si>
  <si>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</si>
  <si>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</si>
  <si>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</si>
  <si>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</si>
  <si>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</si>
  <si>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</si>
  <si>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</si>
  <si>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</si>
  <si>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</si>
  <si>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</si>
  <si>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</si>
  <si>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</si>
  <si>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</si>
  <si>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</si>
  <si>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</si>
  <si>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</si>
  <si>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</si>
  <si>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</si>
  <si>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</si>
  <si>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</si>
  <si>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</si>
  <si>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</si>
  <si>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</si>
  <si>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</si>
  <si>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</si>
  <si>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</si>
  <si>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</si>
  <si>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</si>
  <si>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</si>
  <si>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</si>
  <si>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</si>
  <si>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</si>
  <si>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</si>
  <si>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</si>
  <si>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</si>
  <si>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</si>
  <si>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</si>
  <si>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</si>
  <si>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</si>
  <si>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</si>
  <si>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</si>
  <si>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</si>
  <si>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</si>
  <si>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</si>
  <si>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</si>
  <si>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</si>
  <si>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</si>
  <si>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</si>
  <si>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</si>
  <si>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</si>
  <si>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</si>
  <si>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</si>
  <si>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</si>
  <si>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</si>
  <si>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</si>
  <si>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</si>
  <si>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</si>
  <si>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</si>
  <si>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</si>
  <si>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</si>
  <si>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</si>
  <si>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</si>
  <si>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</si>
  <si>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</si>
  <si>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</si>
  <si>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</si>
  <si>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</si>
  <si>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</si>
  <si>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</si>
  <si>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</si>
  <si>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</si>
  <si>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</si>
  <si>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</si>
  <si>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</si>
  <si>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</si>
  <si>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</si>
  <si>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</si>
  <si>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</si>
  <si>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</si>
  <si>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</si>
  <si>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</si>
  <si>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</si>
  <si>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</si>
  <si>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</si>
  <si>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</si>
  <si>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</si>
  <si>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</si>
  <si>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</si>
  <si>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</si>
  <si>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</si>
  <si>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</si>
  <si>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</si>
  <si>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</si>
  <si>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</si>
  <si>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</si>
  <si>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</si>
  <si>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</si>
  <si>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</si>
  <si>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</si>
  <si>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</si>
  <si>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</si>
  <si>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</si>
  <si>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</si>
  <si>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</si>
  <si>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</si>
  <si>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</si>
  <si>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</si>
  <si>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</si>
  <si>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</si>
  <si>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</si>
  <si>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</si>
  <si>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</si>
  <si>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</si>
  <si>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</si>
  <si>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</si>
  <si>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</si>
  <si>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</si>
  <si>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</si>
  <si>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</si>
  <si>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</si>
  <si>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</si>
  <si>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</si>
  <si>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</si>
  <si>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</si>
  <si>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</si>
  <si>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</si>
  <si>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</si>
  <si>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</si>
  <si>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</si>
  <si>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</si>
  <si>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</si>
  <si>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</si>
  <si>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</si>
  <si>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</si>
  <si>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</si>
  <si>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</si>
  <si>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</si>
  <si>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</si>
  <si>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</si>
  <si>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</si>
  <si>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</si>
  <si>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</si>
  <si>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</si>
  <si>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</si>
  <si>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</si>
  <si>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</si>
  <si>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</si>
  <si>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</si>
  <si>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</si>
  <si>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</si>
  <si>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</si>
  <si>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</si>
  <si>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</si>
  <si>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</si>
  <si>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</si>
  <si>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</si>
  <si>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</si>
  <si>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</si>
  <si>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</si>
  <si>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</si>
  <si>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</si>
  <si>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</si>
  <si>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</si>
  <si>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</si>
  <si>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</si>
  <si>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</si>
  <si>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</si>
  <si>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</si>
  <si>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</si>
  <si>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</si>
  <si>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</si>
  <si>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</si>
  <si>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</si>
  <si>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</si>
  <si>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</si>
  <si>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</si>
  <si>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</si>
  <si>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</si>
  <si>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</si>
  <si>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</si>
  <si>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</si>
  <si>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</si>
  <si>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</si>
  <si>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</si>
  <si>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</si>
  <si>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</si>
  <si>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</si>
  <si>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</si>
  <si>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</si>
  <si>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</si>
  <si>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</si>
  <si>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</si>
  <si>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</si>
  <si>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</si>
  <si>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</si>
  <si>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</si>
  <si>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</si>
  <si>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</si>
  <si>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</si>
  <si>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</si>
  <si>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</si>
  <si>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</si>
  <si>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</si>
  <si>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</si>
  <si>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</si>
  <si>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</si>
  <si>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</si>
  <si>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</si>
  <si>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</si>
  <si>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</si>
  <si>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</si>
  <si>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</si>
  <si>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</si>
  <si>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</si>
  <si>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</si>
  <si>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</si>
  <si>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</si>
  <si>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</si>
  <si>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</si>
  <si>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</si>
  <si>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</si>
  <si>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</si>
  <si>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</si>
  <si>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</si>
  <si>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</si>
  <si>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</si>
  <si>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</si>
  <si>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</si>
  <si>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</si>
  <si>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</si>
  <si>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</si>
  <si>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</si>
  <si>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</si>
  <si>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</si>
  <si>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</si>
  <si>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</si>
  <si>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</si>
  <si>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</si>
  <si>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</si>
  <si>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</si>
  <si>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</si>
  <si>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</si>
  <si>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</si>
  <si>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</si>
  <si>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</si>
  <si>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</si>
  <si>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</si>
  <si>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</si>
  <si>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</si>
  <si>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</si>
  <si>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</si>
  <si>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</si>
  <si>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</si>
  <si>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</si>
  <si>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</si>
  <si>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</si>
  <si>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</si>
  <si>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</si>
  <si>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</si>
  <si>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</si>
  <si>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</si>
  <si>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</si>
  <si>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</si>
  <si>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</si>
  <si>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</si>
  <si>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</si>
  <si>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</si>
  <si>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</si>
  <si>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</si>
  <si>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</si>
  <si>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</si>
  <si>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</si>
  <si>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</si>
  <si>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</si>
  <si>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</si>
  <si>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</si>
  <si>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</si>
  <si>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</si>
  <si>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</si>
  <si>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</si>
  <si>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</si>
  <si>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</si>
  <si>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</si>
  <si>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</si>
  <si>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</si>
  <si>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</si>
  <si>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</si>
  <si>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</si>
  <si>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</si>
  <si>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</si>
  <si>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</si>
  <si>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</si>
  <si>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</si>
  <si>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</si>
  <si>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</si>
  <si>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</si>
  <si>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</si>
  <si>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</si>
  <si>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</si>
  <si>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</si>
  <si>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</si>
  <si>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</si>
  <si>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</si>
  <si>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</si>
  <si>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</si>
  <si>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</si>
  <si>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</si>
  <si>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</si>
  <si>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</si>
  <si>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</si>
  <si>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</si>
  <si>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</si>
  <si>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</si>
  <si>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</si>
  <si>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</si>
  <si>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</si>
  <si>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</si>
  <si>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</si>
  <si>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</si>
  <si>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</si>
  <si>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</si>
  <si>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</si>
  <si>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</si>
  <si>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</si>
  <si>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</si>
  <si>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</si>
  <si>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</si>
  <si>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</si>
  <si>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</si>
  <si>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</si>
  <si>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</si>
  <si>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</si>
  <si>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</si>
  <si>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</si>
  <si>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</si>
  <si>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</si>
  <si>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</si>
  <si>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</si>
  <si>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</si>
  <si>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</si>
  <si>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</si>
  <si>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</si>
  <si>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</si>
  <si>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</si>
  <si>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</si>
  <si>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</si>
  <si>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</si>
  <si>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</si>
  <si>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</si>
  <si>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</si>
  <si>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</si>
  <si>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</si>
  <si>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</si>
  <si>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</si>
  <si>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</si>
  <si>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</si>
  <si>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</si>
  <si>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</si>
  <si>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</si>
  <si>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</si>
  <si>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</si>
  <si>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</si>
  <si>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</si>
  <si>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</si>
  <si>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</si>
  <si>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</si>
  <si>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</si>
  <si>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</si>
  <si>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</si>
  <si>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</si>
  <si>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</si>
  <si>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</si>
  <si>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</si>
  <si>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</si>
  <si>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</si>
  <si>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</si>
  <si>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</si>
  <si>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</si>
  <si>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</si>
  <si>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</si>
  <si>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</si>
  <si>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</si>
  <si>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</si>
  <si>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</si>
  <si>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</si>
  <si>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</si>
  <si>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</si>
  <si>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</si>
  <si>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</si>
  <si>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</si>
  <si>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</si>
  <si>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</si>
  <si>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</si>
  <si>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</si>
  <si>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</si>
  <si>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</si>
  <si>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</si>
  <si>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</si>
  <si>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</si>
  <si>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</si>
  <si>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</si>
  <si>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</si>
  <si>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</si>
  <si>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</si>
  <si>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</si>
  <si>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</si>
  <si>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</si>
  <si>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</si>
  <si>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</si>
  <si>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</si>
  <si>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</si>
  <si>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</si>
  <si>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</si>
  <si>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</si>
  <si>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</si>
  <si>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</si>
  <si>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</si>
  <si>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</si>
  <si>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</si>
  <si>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</si>
  <si>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</si>
  <si>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</si>
  <si>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</si>
  <si>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</si>
  <si>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</si>
  <si>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</si>
  <si>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</si>
  <si>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</si>
  <si>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</si>
  <si>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</si>
  <si>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</si>
  <si>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</si>
  <si>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</si>
  <si>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</si>
  <si>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</si>
  <si>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</si>
  <si>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</si>
  <si>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</si>
  <si>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</si>
  <si>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</si>
  <si>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</si>
  <si>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</si>
  <si>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</si>
  <si>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</si>
  <si>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</si>
  <si>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</si>
  <si>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</si>
  <si>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</si>
  <si>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</si>
  <si>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</si>
  <si>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</si>
  <si>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</si>
  <si>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</si>
  <si>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</si>
  <si>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</si>
  <si>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</si>
  <si>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</si>
  <si>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</si>
  <si>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</si>
  <si>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</si>
  <si>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</si>
  <si>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</si>
  <si>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</si>
  <si>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</si>
  <si>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</si>
  <si>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</si>
  <si>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</si>
  <si>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</si>
  <si>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</si>
  <si>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</si>
  <si>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</si>
  <si>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</si>
  <si>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</si>
  <si>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</si>
  <si>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</si>
  <si>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</si>
  <si>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</si>
  <si>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</si>
  <si>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</si>
  <si>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</si>
  <si>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</si>
  <si>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</si>
  <si>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</si>
  <si>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</si>
  <si>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</si>
  <si>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</si>
  <si>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</si>
  <si>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</si>
  <si>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</si>
  <si>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</si>
  <si>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</si>
  <si>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</si>
  <si>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</si>
  <si>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</si>
  <si>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</si>
  <si>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</si>
  <si>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</si>
  <si>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</si>
  <si>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</si>
  <si>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</si>
  <si>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</si>
  <si>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</si>
  <si>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</si>
  <si>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</si>
  <si>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</si>
  <si>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</si>
  <si>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</si>
  <si>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</si>
  <si>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</si>
  <si>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</si>
  <si>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</si>
  <si>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</si>
  <si>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</si>
  <si>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</si>
  <si>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</si>
  <si>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</si>
  <si>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</si>
  <si>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</si>
  <si>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</si>
  <si>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</si>
  <si>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</si>
  <si>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</si>
  <si>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</si>
  <si>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</si>
  <si>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</si>
  <si>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</si>
  <si>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</si>
  <si>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</si>
  <si>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</si>
  <si>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</si>
  <si>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</si>
  <si>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</si>
  <si>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</si>
  <si>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</si>
  <si>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</si>
  <si>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</si>
  <si>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</si>
  <si>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</si>
  <si>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</si>
  <si>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</si>
  <si>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</si>
  <si>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</si>
  <si>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</si>
  <si>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</si>
  <si>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</si>
  <si>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</si>
  <si>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</si>
  <si>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</si>
  <si>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Year Built</t>
  </si>
  <si>
    <t>oom1</t>
  </si>
  <si>
    <t>Room2</t>
  </si>
  <si>
    <t>Room3</t>
  </si>
  <si>
    <t>Room4</t>
  </si>
  <si>
    <t>Room5</t>
  </si>
  <si>
    <t>Goa</t>
  </si>
  <si>
    <t>Hyd</t>
  </si>
  <si>
    <t>AnalyticsWater meter via upload</t>
  </si>
  <si>
    <t>AnalyticsEnergy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</si>
</sst>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7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2" fontId="4" fillId="0" borderId="1" xfId="0" applyNumberFormat="1" applyFont="1" applyBorder="1" applyAlignment="1">
      <alignment horizontal="right" vertical="center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0" borderId="63" xfId="8" applyNumberFormat="1" applyFont="1" applyBorder="1" applyAlignment="1">
      <alignment horizontal="righ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7</xdr:row>
          <xdr:rowOff>0</xdr:rowOff>
        </xdr:from>
        <xdr:to>
          <xdr:col>2</xdr:col>
          <xdr:colOff>752475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142875</xdr:rowOff>
        </xdr:from>
        <xdr:to>
          <xdr:col>1</xdr:col>
          <xdr:colOff>1400175</xdr:colOff>
          <xdr:row>19</xdr:row>
          <xdr:rowOff>409575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142875</xdr:rowOff>
        </xdr:from>
        <xdr:to>
          <xdr:col>2</xdr:col>
          <xdr:colOff>295275</xdr:colOff>
          <xdr:row>19</xdr:row>
          <xdr:rowOff>409575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295275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409575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</xdr:row>
          <xdr:rowOff>142875</xdr:rowOff>
        </xdr:from>
        <xdr:to>
          <xdr:col>3</xdr:col>
          <xdr:colOff>600075</xdr:colOff>
          <xdr:row>4</xdr:row>
          <xdr:rowOff>409575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28575</xdr:rowOff>
        </xdr:from>
        <xdr:to>
          <xdr:col>2</xdr:col>
          <xdr:colOff>466725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11</xdr:row>
          <xdr:rowOff>28575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</xdr:row>
          <xdr:rowOff>142875</xdr:rowOff>
        </xdr:from>
        <xdr:to>
          <xdr:col>3</xdr:col>
          <xdr:colOff>600075</xdr:colOff>
          <xdr:row>4</xdr:row>
          <xdr:rowOff>409575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7</xdr:row>
          <xdr:rowOff>0</xdr:rowOff>
        </xdr:from>
        <xdr:to>
          <xdr:col>2</xdr:col>
          <xdr:colOff>752475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5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1"/>
  <sheetViews>
    <sheetView showGridLines="0" topLeftCell="A11" zoomScale="90" zoomScaleNormal="90" zoomScalePageLayoutView="90" workbookViewId="0">
      <selection activeCell="D29" sqref="D29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42578125" style="85" customWidth="1"/>
    <col min="12" max="12" width="15.42578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3" t="s">
        <v>703</v>
      </c>
      <c r="D3" s="204"/>
      <c r="E3" s="204"/>
      <c r="F3" s="204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5" t="s">
        <v>728</v>
      </c>
      <c r="D15" s="207"/>
      <c r="E15" s="206"/>
      <c r="F15" s="196">
        <v>2019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3"/>
      <c r="D16" s="193"/>
      <c r="E16" s="194"/>
      <c r="F16" s="195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5"/>
      <c r="D17" s="206"/>
      <c r="E17" s="188" t="s">
        <v>722</v>
      </c>
      <c r="F17" s="190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8" t="str">
        <f>CONCATENATE("Gross 
Floor Area 
",IF(Setup!$F$9="SI units","(sq m)","(sq ft)"))</f>
        <v>Gross 
Floor Area 
(sq ft)</v>
      </c>
      <c r="D18" s="188"/>
      <c r="E18" s="191">
        <v>43466</v>
      </c>
      <c r="F18" s="192">
        <v>5000</v>
      </c>
      <c r="G18" s="1"/>
      <c r="H18" s="1"/>
      <c r="I18" s="9"/>
      <c r="J18" s="1"/>
      <c r="K18" s="97"/>
      <c r="L18" s="84"/>
      <c r="M18" s="84"/>
      <c r="N18" s="84"/>
      <c r="T18" s="189">
        <f ca="1">TODAY()</f>
        <v>43655</v>
      </c>
    </row>
    <row r="19" spans="2:20" x14ac:dyDescent="0.25">
      <c r="B19" s="158"/>
      <c r="C19" s="188" t="s">
        <v>723</v>
      </c>
      <c r="D19" s="188"/>
      <c r="E19" s="191">
        <v>43466</v>
      </c>
      <c r="F19" s="198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8" t="s">
        <v>494</v>
      </c>
      <c r="D20" s="188"/>
      <c r="E20" s="191">
        <v>43466</v>
      </c>
      <c r="F20" s="198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544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2" t="s">
        <v>573</v>
      </c>
      <c r="D28" s="202"/>
      <c r="E28" s="202"/>
      <c r="F28" s="202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Rq9dJBDddF+KHlDReWzmUPfKY/O9znko7kwWBSwvzUU/WJXMjQxdC80PHfWE8YOSkRFkybiOqms72/JRI44AIQ==" saltValue="GpgH0ObmYNFaI6Rk3tgGnw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 xr:uid="{00000000-0002-0000-0000-000000000000}">
      <formula1>newMet</formula1>
    </dataValidation>
    <dataValidation type="whole" allowBlank="1" showInputMessage="1" showErrorMessage="1" error="Character are not allowed in this field." sqref="F20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decimal" allowBlank="1" showInputMessage="1" showErrorMessage="1" error="Character are not allowed in this field." sqref="F18: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8" xr:uid="{00000000-0002-0000-0000-000005000000}">
      <formula1>T18</formula1>
    </dataValidation>
    <dataValidation type="date" operator="lessThanOrEqual" allowBlank="1" showInputMessage="1" showErrorMessage="1" errorTitle="Invalid Date" error="Please enter a valid date" sqref="E19" xr:uid="{00000000-0002-0000-0000-000006000000}">
      <formula1>T18</formula1>
    </dataValidation>
    <dataValidation type="date" operator="lessThanOrEqual" allowBlank="1" showInputMessage="1" showErrorMessage="1" errorTitle="Invalid Date" error="Please enter a valid date" sqref="E20" xr:uid="{00000000-0002-0000-0000-000007000000}">
      <formula1>T18</formula1>
    </dataValidation>
    <dataValidation type="whole" allowBlank="1" showInputMessage="1" showErrorMessage="1" error="Year must be four digit." sqref="F15" xr:uid="{00000000-0002-0000-0000-000008000000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752475</xdr:colOff>
                    <xdr:row>7</xdr:row>
                    <xdr:rowOff>0</xdr:rowOff>
                  </from>
                  <to>
                    <xdr:col>2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B8" zoomScale="90" zoomScaleNormal="90" zoomScalePageLayoutView="90" workbookViewId="0">
      <selection activeCell="F28" sqref="F28"/>
    </sheetView>
  </sheetViews>
  <sheetFormatPr defaultColWidth="9.140625" defaultRowHeight="12.75" x14ac:dyDescent="0.2"/>
  <cols>
    <col min="1" max="1" width="2.7109375" style="167" customWidth="1"/>
    <col min="2" max="2" width="38.42578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35" customHeight="1" x14ac:dyDescent="0.2">
      <c r="B4" s="210" t="s">
        <v>604</v>
      </c>
      <c r="C4" s="210"/>
      <c r="D4" s="210"/>
      <c r="E4" s="210"/>
      <c r="F4" s="210"/>
      <c r="G4" s="210"/>
      <c r="H4" s="210"/>
      <c r="I4" s="210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729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730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731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732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733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tr">
        <f t="shared" ref="I13:I16" si="4">IFERROR((G13/K13)*H13," ")</f>
        <v xml:space="preserve"> 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tr">
        <f t="shared" si="4"/>
        <v xml:space="preserve"> 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si="4"/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1" t="s">
        <v>615</v>
      </c>
      <c r="C19" s="212"/>
      <c r="D19" s="184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3" t="str">
        <f>CONCATENATE("Gross 
Floor Area 
",IF(Setup!$F$9="SI Units","(sq m)","(sq ft)"))</f>
        <v>Gross 
Floor Area 
(sq ft)</v>
      </c>
      <c r="C22" s="214"/>
      <c r="D22" s="183">
        <f>IFERROR(D19," ")</f>
        <v>1284</v>
      </c>
      <c r="F22" s="135"/>
      <c r="G22" s="215" t="s">
        <v>616</v>
      </c>
      <c r="H22" s="216"/>
      <c r="J22" s="171">
        <f>(G24*H24)/8</f>
        <v>15.125</v>
      </c>
    </row>
    <row r="23" spans="1:11" ht="38.25" x14ac:dyDescent="0.2">
      <c r="A23" s="170"/>
      <c r="B23" s="208" t="s">
        <v>617</v>
      </c>
      <c r="C23" s="217"/>
      <c r="D23" s="199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8" t="s">
        <v>620</v>
      </c>
      <c r="C24" s="209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0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1000000}">
      <formula1>0</formula1>
      <formula2>5000000</formula2>
    </dataValidation>
    <dataValidation type="decimal" operator="lessThanOrEqual" allowBlank="1" showInputMessage="1" showErrorMessage="1" sqref="D19 D7:D18" xr:uid="{00000000-0002-0000-0400-000002000000}">
      <formula1>20499999</formula1>
    </dataValidation>
    <dataValidation type="list" allowBlank="1" showInputMessage="1" sqref="C7:C18" xr:uid="{00000000-0002-0000-0400-000003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4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5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6000000}">
      <formula1>0</formula1>
      <formula2>99999999999999</formula2>
    </dataValidation>
    <dataValidation type="whole" allowBlank="1" showInputMessage="1" showErrorMessage="1" error="Please enter valid number of hours" sqref="H7:H18" xr:uid="{00000000-0002-0000-0400-000007000000}">
      <formula1>1</formula1>
      <formula2>24</formula2>
    </dataValidation>
  </dataValidations>
  <pageMargins left="0.25" right="0.25" top="0.75" bottom="0.75" header="0.3" footer="0.3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142875</xdr:rowOff>
                  </from>
                  <to>
                    <xdr:col>1</xdr:col>
                    <xdr:colOff>1400175</xdr:colOff>
                    <xdr:row>19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142875</xdr:rowOff>
                  </from>
                  <to>
                    <xdr:col>2</xdr:col>
                    <xdr:colOff>295275</xdr:colOff>
                    <xdr:row>19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20" t="s">
        <v>568</v>
      </c>
      <c r="C2" s="221"/>
      <c r="D2" s="35" t="s">
        <v>603</v>
      </c>
      <c r="E2" s="1"/>
    </row>
    <row r="3" spans="1:6" x14ac:dyDescent="0.25">
      <c r="A3" s="4" t="s">
        <v>601</v>
      </c>
      <c r="B3" s="218" t="s">
        <v>697</v>
      </c>
      <c r="C3" s="219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11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>INDEX(Dates,1,E7)</f>
        <v>43343</v>
      </c>
      <c r="C7" s="55">
        <f t="shared" ref="C7" si="0">B7</f>
        <v>43343</v>
      </c>
      <c r="D7" s="56">
        <f>HLOOKUP(B7,ReadingTable,2,FALSE)</f>
        <v>100.11</v>
      </c>
      <c r="E7" s="71">
        <f>IF(E6="",7,E6+1)</f>
        <v>7</v>
      </c>
    </row>
    <row r="8" spans="1:6" x14ac:dyDescent="0.25">
      <c r="A8" s="40">
        <f t="shared" ref="A8" si="1">IFERROR(IF(D8="",1,0),1)</f>
        <v>0</v>
      </c>
      <c r="B8" s="55">
        <f>INDEX(Dates,1,E8)</f>
        <v>43313</v>
      </c>
      <c r="C8" s="55">
        <f t="shared" ref="C8" si="2">B8</f>
        <v>43313</v>
      </c>
      <c r="D8" s="56">
        <f>HLOOKUP(B8,ReadingTable,2,FALSE)</f>
        <v>50.11</v>
      </c>
      <c r="E8" s="71">
        <f t="shared" ref="E8" si="3">IF(E7="",7,E7+1)</f>
        <v>8</v>
      </c>
    </row>
    <row r="9" spans="1:6" x14ac:dyDescent="0.25">
      <c r="A9" s="4" t="s">
        <v>549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549</v>
      </c>
      <c r="B11" s="27"/>
      <c r="C11" s="27"/>
      <c r="D11" s="27"/>
      <c r="E11" s="1"/>
    </row>
  </sheetData>
  <sheetProtection algorithmName="SHA-512" hashValue="71dYrCsnwJueynOYdmDCI9yMhbaWBedxQpVxZJ0rnZ+RuRGwx4YaN6YLA4SCCjixSCMVbNkSyrVwvEFvra4n7g==" saltValue="f1E1ckYpKrSZW5RT1xXO3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409575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zoomScalePageLayoutView="90" workbookViewId="0">
      <pane ySplit="2" topLeftCell="A3" activePane="bottomLeft" state="frozen"/>
      <selection activeCell="Y22" sqref="Y22"/>
      <selection pane="bottomLeft" activeCell="B3" sqref="B3:F4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629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8" x14ac:dyDescent="0.25">
      <c r="B3" s="78" t="s">
        <v>734</v>
      </c>
      <c r="C3" s="79">
        <v>223</v>
      </c>
      <c r="D3" s="99">
        <v>43343</v>
      </c>
      <c r="E3" s="105">
        <v>0.375</v>
      </c>
      <c r="F3" s="100">
        <v>100.11</v>
      </c>
    </row>
    <row r="4" spans="1:8" x14ac:dyDescent="0.25">
      <c r="B4" s="78" t="s">
        <v>735</v>
      </c>
      <c r="C4" s="79">
        <v>224</v>
      </c>
      <c r="D4" s="99">
        <v>43313</v>
      </c>
      <c r="E4" s="105">
        <v>0.41666666666666669</v>
      </c>
      <c r="F4" s="100">
        <v>50.11</v>
      </c>
    </row>
    <row r="5" spans="1:8" ht="39" customHeight="1" x14ac:dyDescent="0.25"/>
    <row r="6" spans="1:8" s="62" customFormat="1" ht="51" customHeight="1" x14ac:dyDescent="0.2">
      <c r="A6" s="41" t="s">
        <v>591</v>
      </c>
      <c r="B6" s="43" t="s">
        <v>585</v>
      </c>
      <c r="F6" s="63"/>
      <c r="G6" s="72">
        <f>IF(G8="",1,0)</f>
        <v>0</v>
      </c>
      <c r="H6" s="72">
        <f>IF(H8="",1,0)</f>
        <v>0</v>
      </c>
    </row>
    <row r="7" spans="1:8" ht="21" customHeight="1" x14ac:dyDescent="0.25">
      <c r="A7" s="41" t="s">
        <v>601</v>
      </c>
      <c r="B7" s="222" t="s">
        <v>581</v>
      </c>
      <c r="C7" s="64"/>
      <c r="D7" s="64"/>
      <c r="E7" s="64"/>
      <c r="F7" s="65"/>
      <c r="G7" s="50" t="s">
        <v>582</v>
      </c>
      <c r="H7" s="50" t="s">
        <v>582</v>
      </c>
    </row>
    <row r="8" spans="1:8" ht="15" customHeight="1" x14ac:dyDescent="0.25">
      <c r="A8" s="41" t="s">
        <v>601</v>
      </c>
      <c r="B8" s="223"/>
      <c r="C8" s="66"/>
      <c r="D8" s="66"/>
      <c r="E8" s="66"/>
      <c r="F8" s="67"/>
      <c r="G8" s="172">
        <f t="array" ref="G8">IFERROR(INDEX($D$3:$D$5, MATCH(0,IF(ISBLANK($D$3:$D$5),1,COUNTIF($F$8:F8, $D$3:$D$5)), 0)),"")</f>
        <v>43343</v>
      </c>
      <c r="H8" s="172">
        <f t="array" ref="H8">IFERROR(INDEX($D$3:$D$5, MATCH(0,IF(ISBLANK($D$3:$D$5),1,COUNTIF($F$8:G8, $D$3:$D$5)), 0)),"")</f>
        <v>43313</v>
      </c>
    </row>
    <row r="9" spans="1:8" ht="27.75" customHeight="1" x14ac:dyDescent="0.25">
      <c r="A9" s="41" t="s">
        <v>601</v>
      </c>
      <c r="B9" s="224"/>
      <c r="C9" s="68"/>
      <c r="D9" s="68"/>
      <c r="E9" s="68"/>
      <c r="F9" s="69"/>
      <c r="G9" s="74" t="s">
        <v>592</v>
      </c>
      <c r="H9" s="74" t="s">
        <v>592</v>
      </c>
    </row>
    <row r="10" spans="1:8" ht="15" customHeight="1" x14ac:dyDescent="0.25">
      <c r="A10" s="41">
        <f>IF(B10="",1,0)</f>
        <v>0</v>
      </c>
      <c r="B10" s="51" t="str">
        <f t="array" ref="B10">IFERROR(INDEX($B$3:$B$5, MATCH(0,IF(ISBLANK($B$3:$B$5),1,COUNTIF($B$9:B9, $B$3:$B$5)), 0)),"")</f>
        <v>Goa</v>
      </c>
      <c r="C10" s="52"/>
      <c r="D10" s="52"/>
      <c r="E10" s="52"/>
      <c r="F10" s="61"/>
      <c r="G10" s="101">
        <f t="array" ref="G10">IFERROR(PERCENTILE(IF($B$3:$B$5=$B10,IF($D$3:$D$5=G$8,IF($F$3:$F$5&lt;&gt;"",$F$3:$F$5))),0.95),"")</f>
        <v>100.11</v>
      </c>
      <c r="H10" s="101" t="str">
        <f t="array" ref="H10">IFERROR(PERCENTILE(IF($B$3:$B$5=$B10,IF($D$3:$D$5=H$8,IF($F$3:$F$5&lt;&gt;"",$F$3:$F$5))),0.95),"")</f>
        <v/>
      </c>
    </row>
    <row r="11" spans="1:8" ht="15" customHeight="1" x14ac:dyDescent="0.25">
      <c r="A11" s="41">
        <f t="shared" ref="A11" si="0">IF(B11="",1,0)</f>
        <v>0</v>
      </c>
      <c r="B11" s="51" t="str">
        <f t="array" ref="B11">IFERROR(INDEX($B$3:$B$5, MATCH(0,IF(ISBLANK($B$3:$B$5),1,COUNTIF($B$9:B10, $B$3:$B$5)), 0)),"")</f>
        <v>Hyd</v>
      </c>
      <c r="C11" s="52"/>
      <c r="D11" s="52"/>
      <c r="E11" s="52"/>
      <c r="F11" s="61"/>
      <c r="G11" s="101" t="str">
        <f t="array" ref="G11">IFERROR(PERCENTILE(IF($B$3:$B$5=$B11,IF($D$3:$D$5=G$8,IF($F$3:$F$5&lt;&gt;"",$F$3:$F$5))),0.95),"")</f>
        <v/>
      </c>
      <c r="H11" s="101">
        <f t="array" ref="H11">IFERROR(PERCENTILE(IF($B$3:$B$5=$B11,IF($D$3:$D$5=H$8,IF($F$3:$F$5&lt;&gt;"",$F$3:$F$5))),0.95),"")</f>
        <v>50.11</v>
      </c>
    </row>
    <row r="12" spans="1:8" ht="9" customHeight="1" x14ac:dyDescent="0.25">
      <c r="G12" s="102"/>
      <c r="H12" s="102"/>
    </row>
    <row r="13" spans="1:8" ht="9" customHeight="1" x14ac:dyDescent="0.25">
      <c r="A13" s="41" t="s">
        <v>549</v>
      </c>
      <c r="G13" s="102"/>
      <c r="H13" s="102"/>
    </row>
    <row r="14" spans="1:8" ht="15" hidden="1" customHeight="1" x14ac:dyDescent="0.25">
      <c r="G14" s="75">
        <f>G8</f>
        <v>43343</v>
      </c>
      <c r="H14" s="75">
        <f>H8</f>
        <v>43313</v>
      </c>
    </row>
    <row r="15" spans="1:8" ht="20.25" customHeight="1" x14ac:dyDescent="0.25">
      <c r="B15" s="58" t="s">
        <v>586</v>
      </c>
      <c r="C15" s="59"/>
      <c r="D15" s="59"/>
      <c r="E15" s="59"/>
      <c r="F15" s="60"/>
      <c r="G15" s="103">
        <f>IFERROR(AVERAGE(G10:G13),0)</f>
        <v>100.11</v>
      </c>
      <c r="H15" s="103">
        <f>IFERROR(AVERAGE(H10:H13),0)</f>
        <v>50.11</v>
      </c>
    </row>
    <row r="16" spans="1:8" ht="24.75" customHeight="1" x14ac:dyDescent="0.25"/>
    <row r="17" spans="1:5" ht="28.5" hidden="1" customHeight="1" x14ac:dyDescent="0.25">
      <c r="A17" s="41">
        <v>10</v>
      </c>
      <c r="B17" s="53" t="s">
        <v>587</v>
      </c>
      <c r="C17" s="53" t="s">
        <v>588</v>
      </c>
      <c r="D17" s="53" t="s">
        <v>589</v>
      </c>
      <c r="E17" s="70"/>
    </row>
    <row r="18" spans="1:5" ht="15" hidden="1" customHeight="1" x14ac:dyDescent="0.25">
      <c r="A18" s="40">
        <f>IFERROR(IF(D18="",1,0),1)</f>
        <v>0</v>
      </c>
      <c r="B18" s="55">
        <f>INDEX(Dates,1,E18)</f>
        <v>43343</v>
      </c>
      <c r="C18" s="55">
        <f t="shared" ref="C18" si="1">B18</f>
        <v>43343</v>
      </c>
      <c r="D18" s="56">
        <f>HLOOKUP(B18,ReadingTable,2,FALSE)</f>
        <v>100.11</v>
      </c>
      <c r="E18" s="71">
        <f>IF(E17="",7,E17+1)</f>
        <v>7</v>
      </c>
    </row>
    <row r="19" spans="1:5" hidden="1" x14ac:dyDescent="0.25"/>
    <row r="20" spans="1:5" ht="24" hidden="1" x14ac:dyDescent="0.25">
      <c r="B20" s="54" t="s">
        <v>584</v>
      </c>
      <c r="C20" s="54" t="s">
        <v>590</v>
      </c>
    </row>
    <row r="21" spans="1:5" hidden="1" x14ac:dyDescent="0.25">
      <c r="B21" s="57">
        <f t="array" ref="B21">SUM(IF($D$3:$D$5&lt;&gt;"",1/COUNTIF($D$3:$D$5, $D$3:$D$5), 0))</f>
        <v>2</v>
      </c>
      <c r="C21" s="57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3" t="s">
        <v>595</v>
      </c>
    </row>
    <row r="24" spans="1:5" ht="15" hidden="1" x14ac:dyDescent="0.25">
      <c r="A24" s="4"/>
      <c r="B24" s="38"/>
      <c r="C24" s="38"/>
      <c r="D24" s="73"/>
      <c r="E24" s="1"/>
    </row>
  </sheetData>
  <sheetProtection algorithmName="SHA-512" hashValue="0ATSsgFQJcLZVFhD5VdXCLjVp25x1NtWwUSYkXDks3q2Epjh0/vCkkTSdkaRUDfa8VKvuPDSCD5DGSlKZDXQVQ==" saltValue="DXtXTyJr9d6hmKMTrUKvdQ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3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4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5" name="Button 29">
              <controlPr defaultSize="0" print="0" autoFill="0" autoPict="0" macro="[0]!DeleteRowRAW">
                <anchor moveWithCells="1">
                  <from>
                    <xdr:col>2</xdr:col>
                    <xdr:colOff>219075</xdr:colOff>
                    <xdr:row>4</xdr:row>
                    <xdr:rowOff>142875</xdr:rowOff>
                  </from>
                  <to>
                    <xdr:col>3</xdr:col>
                    <xdr:colOff>600075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0"/>
  <sheetViews>
    <sheetView workbookViewId="0">
      <selection activeCell="D21" sqref="D21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20" t="s">
        <v>568</v>
      </c>
      <c r="C2" s="221"/>
      <c r="D2" s="34" t="s">
        <v>626</v>
      </c>
      <c r="E2" s="1"/>
    </row>
    <row r="3" spans="1:5" x14ac:dyDescent="0.25">
      <c r="A3" s="4" t="s">
        <v>601</v>
      </c>
      <c r="B3" s="218" t="s">
        <v>697</v>
      </c>
      <c r="C3" s="219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12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>INDEX(DatesVOC,1,E7)</f>
        <v>43374</v>
      </c>
      <c r="C7" s="55">
        <f t="shared" ref="C7" si="0">B7</f>
        <v>43374</v>
      </c>
      <c r="D7" s="197">
        <f t="array" ref="D7">HLOOKUP(B7,ReadingTableVOC,2,FALSE)</f>
        <v>100.11</v>
      </c>
      <c r="E7" s="71">
        <f>IF(E6="",8,E6+1)</f>
        <v>8</v>
      </c>
    </row>
    <row r="8" spans="1:5" ht="15" customHeight="1" x14ac:dyDescent="0.25">
      <c r="A8" s="4" t="s">
        <v>549</v>
      </c>
      <c r="B8" s="37"/>
      <c r="C8" s="37"/>
      <c r="D8" s="37"/>
      <c r="E8" s="1"/>
    </row>
    <row r="9" spans="1:5" ht="15" hidden="1" customHeight="1" x14ac:dyDescent="0.25">
      <c r="A9" s="4"/>
      <c r="B9" s="37"/>
      <c r="C9" s="37"/>
      <c r="D9" s="37"/>
      <c r="E9" s="1"/>
    </row>
    <row r="10" spans="1:5" ht="33.6" customHeight="1" x14ac:dyDescent="0.25">
      <c r="A10" s="4" t="s">
        <v>549</v>
      </c>
      <c r="B10" s="37"/>
      <c r="C10" s="37"/>
      <c r="D10" s="37"/>
      <c r="E10" s="1"/>
    </row>
  </sheetData>
  <sheetProtection algorithmName="SHA-512" hashValue="mWwfOjpMW/ug61eSmsaPka+hCUPmigbnnXXNG6l3+WyBDH2AcInpLpx5/JRCEYIMp5Bnwo9DENBzn5FbZFqovA==" saltValue="K5SBZNAx/V8MiTF1a1kiO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8:D10" xr:uid="{00000000-0002-0000-0700-000000000000}"/>
    <dataValidation type="decimal" allowBlank="1" showInputMessage="1" showErrorMessage="1" error="Please enter a valid reading." sqref="D7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7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refreshColVOC">
                <anchor moveWithCells="1">
                  <from>
                    <xdr:col>1</xdr:col>
                    <xdr:colOff>28575</xdr:colOff>
                    <xdr:row>9</xdr:row>
                    <xdr:rowOff>28575</xdr:rowOff>
                  </from>
                  <to>
                    <xdr:col>2</xdr:col>
                    <xdr:colOff>466725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21"/>
  <sheetViews>
    <sheetView showGridLines="0" zoomScale="90" zoomScaleNormal="90" zoomScalePageLayoutView="90" workbookViewId="0">
      <pane ySplit="2" topLeftCell="A3" activePane="bottomLeft" state="frozen"/>
      <selection activeCell="Y22" sqref="Y22"/>
      <selection pane="bottomLeft" activeCell="B3" sqref="B3:G3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734</v>
      </c>
      <c r="C3" s="79">
        <v>223</v>
      </c>
      <c r="D3" s="99">
        <v>43374</v>
      </c>
      <c r="E3" s="105">
        <v>0.375</v>
      </c>
      <c r="F3" s="106">
        <v>0.5</v>
      </c>
      <c r="G3" s="100">
        <v>100.11</v>
      </c>
    </row>
    <row r="4" spans="1:8" x14ac:dyDescent="0.25">
      <c r="B4" s="78"/>
      <c r="C4" s="79"/>
      <c r="D4" s="99"/>
      <c r="E4" s="105"/>
      <c r="F4" s="106"/>
      <c r="G4" s="100"/>
      <c r="H4" s="49"/>
    </row>
    <row r="5" spans="1:8" ht="39" customHeight="1" x14ac:dyDescent="0.25"/>
    <row r="6" spans="1:8" s="62" customFormat="1" ht="51" customHeight="1" x14ac:dyDescent="0.2">
      <c r="A6" s="41" t="s">
        <v>591</v>
      </c>
      <c r="B6" s="43" t="s">
        <v>585</v>
      </c>
      <c r="G6" s="63"/>
      <c r="H6" s="72">
        <f>IF(H8="",1,0)</f>
        <v>0</v>
      </c>
    </row>
    <row r="7" spans="1:8" ht="21" customHeight="1" x14ac:dyDescent="0.25">
      <c r="A7" s="41" t="s">
        <v>601</v>
      </c>
      <c r="B7" s="222" t="s">
        <v>581</v>
      </c>
      <c r="C7" s="64"/>
      <c r="D7" s="64"/>
      <c r="E7" s="64"/>
      <c r="F7" s="64"/>
      <c r="G7" s="65"/>
      <c r="H7" s="50" t="s">
        <v>582</v>
      </c>
    </row>
    <row r="8" spans="1:8" ht="15" customHeight="1" x14ac:dyDescent="0.25">
      <c r="A8" s="41" t="s">
        <v>601</v>
      </c>
      <c r="B8" s="223"/>
      <c r="C8" s="66"/>
      <c r="D8" s="66"/>
      <c r="E8" s="66"/>
      <c r="F8" s="66"/>
      <c r="G8" s="67"/>
      <c r="H8" s="172">
        <f t="array" ref="H8">IFERROR(INDEX($D$3:$D$5, MATCH(0,IF(ISBLANK($D$3:$D$5),1,COUNTIF($G$8:G8, $D$3:$D$5)), 0)),"")</f>
        <v>43374</v>
      </c>
    </row>
    <row r="9" spans="1:8" ht="27.75" customHeight="1" x14ac:dyDescent="0.25">
      <c r="A9" s="41" t="s">
        <v>601</v>
      </c>
      <c r="B9" s="224"/>
      <c r="C9" s="68"/>
      <c r="D9" s="68"/>
      <c r="E9" s="68"/>
      <c r="F9" s="68"/>
      <c r="G9" s="69"/>
      <c r="H9" s="77" t="s">
        <v>598</v>
      </c>
    </row>
    <row r="10" spans="1:8" ht="15" customHeight="1" x14ac:dyDescent="0.25">
      <c r="A10" s="41">
        <f>IF(B10="",1,0)</f>
        <v>0</v>
      </c>
      <c r="B10" s="51" t="str">
        <f t="array" ref="B10">IFERROR(INDEX($B$3:$B$5, MATCH(0,IF(ISBLANK($B$3:$B$5),1,COUNTIF($B$9:B9, $B$3:$B$5)), 0)),"")</f>
        <v>Goa</v>
      </c>
      <c r="C10" s="52"/>
      <c r="D10" s="52"/>
      <c r="E10" s="52"/>
      <c r="F10" s="52"/>
      <c r="G10" s="61"/>
      <c r="H10" s="101">
        <f t="array" ref="H10">IFERROR(AVERAGE(IF($B$3:$B$5=$B10,IF($D$3:$D$5=H$8,IF($G$3:$G$5&lt;&gt;"",$G$3:$G$5)))),"")</f>
        <v>100.11</v>
      </c>
    </row>
    <row r="11" spans="1:8" ht="9" customHeight="1" x14ac:dyDescent="0.25">
      <c r="H11" s="102"/>
    </row>
    <row r="12" spans="1:8" ht="9" customHeight="1" x14ac:dyDescent="0.25">
      <c r="A12" s="41" t="s">
        <v>549</v>
      </c>
      <c r="H12" s="102"/>
    </row>
    <row r="13" spans="1:8" ht="15" hidden="1" customHeight="1" x14ac:dyDescent="0.25">
      <c r="H13" s="104">
        <f>H8</f>
        <v>43374</v>
      </c>
    </row>
    <row r="14" spans="1:8" ht="20.25" customHeight="1" x14ac:dyDescent="0.25">
      <c r="B14" s="58" t="s">
        <v>599</v>
      </c>
      <c r="C14" s="59"/>
      <c r="D14" s="59"/>
      <c r="E14" s="59"/>
      <c r="F14" s="59"/>
      <c r="G14" s="60"/>
      <c r="H14" s="103">
        <f>IFERROR(MAX(H10:H12),0)</f>
        <v>100.11</v>
      </c>
    </row>
    <row r="15" spans="1:8" ht="24.75" customHeight="1" x14ac:dyDescent="0.25"/>
    <row r="16" spans="1:8" ht="28.5" hidden="1" customHeight="1" x14ac:dyDescent="0.25">
      <c r="A16" s="41">
        <v>10</v>
      </c>
      <c r="B16" s="53" t="s">
        <v>587</v>
      </c>
      <c r="C16" s="53" t="s">
        <v>588</v>
      </c>
      <c r="D16" s="53" t="s">
        <v>594</v>
      </c>
      <c r="E16" s="70"/>
      <c r="F16" s="70"/>
    </row>
    <row r="17" spans="1:6" ht="15" hidden="1" customHeight="1" x14ac:dyDescent="0.25">
      <c r="A17" s="40">
        <f>IFERROR(IF(D17="",1,0),1)</f>
        <v>0</v>
      </c>
      <c r="B17" s="55">
        <f>INDEX(DatesVOC,1,E17)</f>
        <v>43374</v>
      </c>
      <c r="C17" s="55">
        <f t="shared" ref="C17" si="0">B17</f>
        <v>43374</v>
      </c>
      <c r="D17" s="56">
        <f t="array" ref="D17">HLOOKUP(B17,ReadingTableVOC,2,FALSE)</f>
        <v>100.11</v>
      </c>
      <c r="E17" s="71">
        <f>IF(E16="",8,E16+1)</f>
        <v>8</v>
      </c>
      <c r="F17" s="71"/>
    </row>
    <row r="18" spans="1:6" hidden="1" x14ac:dyDescent="0.25"/>
    <row r="19" spans="1:6" ht="24" hidden="1" x14ac:dyDescent="0.25">
      <c r="B19" s="54" t="s">
        <v>584</v>
      </c>
      <c r="C19" s="54" t="s">
        <v>590</v>
      </c>
    </row>
    <row r="20" spans="1:6" hidden="1" x14ac:dyDescent="0.25">
      <c r="B20" s="57">
        <f t="array" ref="B20">SUM(IF($D$3:$D$5&lt;&gt;"",1/COUNTIF($D$3:$D$5, $D$3:$D$5), 0))</f>
        <v>1</v>
      </c>
      <c r="C20" s="57">
        <f t="array" ref="C20">SUM(IF($B$3:$B$5&lt;&gt;"",1/COUNTIF($B$3:$B$5, $B$3:$B$5), 0))</f>
        <v>1</v>
      </c>
    </row>
    <row r="21" spans="1:6" hidden="1" x14ac:dyDescent="0.25"/>
  </sheetData>
  <sheetProtection algorithmName="SHA-512" hashValue="Hz8wA7sVIi6J8Dvi0eKDq5+XiI4yl/UuVv61tRVdAgbhgXeE4J6hxmpyCstiZ05CMqKuYtVXXt0g+OjX9HvFsA==" saltValue="M02bBuditlx61p9vuEx+OA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DeleteRowRAW">
                <anchor moveWithCells="1">
                  <from>
                    <xdr:col>2</xdr:col>
                    <xdr:colOff>219075</xdr:colOff>
                    <xdr:row>4</xdr:row>
                    <xdr:rowOff>142875</xdr:rowOff>
                  </from>
                  <to>
                    <xdr:col>3</xdr:col>
                    <xdr:colOff>600075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D14" sqref="D14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601</v>
      </c>
      <c r="B1" s="1"/>
      <c r="C1" s="1"/>
      <c r="D1" s="1"/>
      <c r="E1" s="1"/>
      <c r="F1" s="1"/>
    </row>
    <row r="2" spans="1:9" x14ac:dyDescent="0.25">
      <c r="A2" s="4" t="s">
        <v>601</v>
      </c>
      <c r="B2" s="220" t="s">
        <v>568</v>
      </c>
      <c r="C2" s="225"/>
      <c r="D2" s="221"/>
      <c r="E2" s="36" t="s">
        <v>575</v>
      </c>
      <c r="F2" s="1"/>
    </row>
    <row r="3" spans="1:9" ht="15" customHeight="1" x14ac:dyDescent="0.25">
      <c r="A3" s="4" t="s">
        <v>601</v>
      </c>
      <c r="B3" s="218" t="s">
        <v>697</v>
      </c>
      <c r="C3" s="226"/>
      <c r="D3" s="219"/>
      <c r="E3" s="36" t="s">
        <v>559</v>
      </c>
      <c r="F3" s="1"/>
    </row>
    <row r="4" spans="1:9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9" x14ac:dyDescent="0.25">
      <c r="A5" s="4" t="s">
        <v>601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8">
        <v>43435</v>
      </c>
      <c r="C7" s="38">
        <v>43496</v>
      </c>
      <c r="D7" s="24">
        <v>111</v>
      </c>
      <c r="E7" s="24">
        <v>99</v>
      </c>
      <c r="F7" s="1"/>
    </row>
    <row r="8" spans="1:9" x14ac:dyDescent="0.25">
      <c r="A8" s="4"/>
      <c r="B8" s="26"/>
      <c r="C8" s="26"/>
      <c r="D8" s="29"/>
      <c r="E8" s="30"/>
      <c r="F8" s="1"/>
    </row>
    <row r="9" spans="1:9" hidden="1" x14ac:dyDescent="0.25">
      <c r="A9" s="5">
        <v>0</v>
      </c>
      <c r="B9" s="28"/>
      <c r="C9" s="28"/>
      <c r="D9" s="31"/>
      <c r="E9" s="32"/>
      <c r="F9" s="1"/>
    </row>
    <row r="10" spans="1:9" ht="25.5" customHeight="1" x14ac:dyDescent="0.25">
      <c r="A10" s="4" t="s">
        <v>549</v>
      </c>
      <c r="B10" s="27"/>
      <c r="C10" s="27"/>
      <c r="D10" s="27"/>
      <c r="E10" s="33"/>
      <c r="F10" s="1"/>
    </row>
    <row r="12" spans="1:9" x14ac:dyDescent="0.25">
      <c r="I12" s="2" t="s">
        <v>563</v>
      </c>
    </row>
    <row r="13" spans="1:9" x14ac:dyDescent="0.25">
      <c r="I13" s="2" t="s">
        <v>558</v>
      </c>
    </row>
    <row r="14" spans="1:9" x14ac:dyDescent="0.25">
      <c r="I14" s="2" t="s">
        <v>543</v>
      </c>
    </row>
  </sheetData>
  <sheetProtection algorithmName="SHA-512" hashValue="D9B1wyPB+UsM+JkyzuQn+Vw425nF7EY5EEYJocoiDWx8uksJBCHpY/PjdcRfUM+ZrX2DniSChzSaTqI18qpudw==" saltValue="q2kwj/jlrRlWdFC8pR7dm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142875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42578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42578125" style="2" hidden="1" customWidth="1"/>
    <col min="19" max="19" width="20.140625" style="2" hidden="1" customWidth="1"/>
    <col min="20" max="20" width="15" style="2" hidden="1" customWidth="1"/>
    <col min="21" max="22" width="20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YdI2i7UEyM4B2OnI5uZElhHN0u8Rex1f1MyM3HoiuLPpfJFUM67qhD2UZ2PzwEK8PdmW8BxVR2zCHy75PMR8RQ==" saltValue="i2t8mMt51XXUm9TZj0RU1Q==" spinCount="100000" sheet="1" objects="1" scenarios="1"/>
  <dataValidations count="6">
    <dataValidation type="list" allowBlank="1" showInputMessage="1" showErrorMessage="1" sqref="G15:X15" xr:uid="{00000000-0002-0000-0A00-000000000000}">
      <formula1>$G$15:$X$15</formula1>
    </dataValidation>
    <dataValidation allowBlank="1" showInputMessage="1" showErrorMessage="1" error="Please enter a valid date in mm/dd/yyyy format." sqref="B8:D10" xr:uid="{00000000-0002-0000-0A00-000001000000}"/>
    <dataValidation type="decimal" allowBlank="1" showInputMessage="1" showErrorMessage="1" error="Please enter a valid reading." sqref="D7" xr:uid="{00000000-0002-0000-0A00-000002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A00-000003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A00-000004000000}">
      <formula1>0</formula1>
      <formula2>40</formula2>
    </dataValidation>
    <dataValidation type="list" showInputMessage="1" showErrorMessage="1" error="Units cannot edit." sqref="D3:D4" xr:uid="{00000000-0002-0000-0A00-000005000000}">
      <formula1>$H$7:$H$8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F2AmpNvpVmwYu80IaJYgflARfFLe35eXBvm+4bEKC+ggIZtJIwkxacDB94YzRpSazs43CCGANWGwVL8PqDZisw==" saltValue="YCt8ELAgmJEZMfSpJK8mAg==" spinCount="100000" sheet="1" formatRows="0"/>
  <dataValidations count="6">
    <dataValidation type="list" allowBlank="1" showInputMessage="1" showErrorMessage="1" sqref="G15:X15" xr:uid="{00000000-0002-0000-0B00-000000000000}">
      <formula1>$G$15:$X$15</formula1>
    </dataValidation>
    <dataValidation showInputMessage="1" showErrorMessage="1" error="Units cannot edit." sqref="D3:D4" xr:uid="{00000000-0002-0000-0B00-000001000000}"/>
    <dataValidation allowBlank="1" showInputMessage="1" showErrorMessage="1" error="Please enter a valid date in mm/dd/yyyy format." sqref="B8:D10" xr:uid="{00000000-0002-0000-0B00-000002000000}"/>
    <dataValidation type="decimal" allowBlank="1" showInputMessage="1" showErrorMessage="1" error="Please enter a valid reading." sqref="D7" xr:uid="{00000000-0002-0000-0B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B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B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FHoSITtGurk+lbd2i8ToAcv1V4OV+20oyLqRBomryFbI+V3AklC3pLRfwy7XA0pyhiGgPBpKcEao9q+FObz/lA==" saltValue="BAMM7ZHkO5/urxzqZb3vqA==" spinCount="100000" sheet="1" objects="1" scenarios="1"/>
  <dataValidations count="6">
    <dataValidation type="list" allowBlank="1" showInputMessage="1" showErrorMessage="1" sqref="G15:X15" xr:uid="{00000000-0002-0000-0C00-000000000000}">
      <formula1>$G$15:$X$15</formula1>
    </dataValidation>
    <dataValidation showInputMessage="1" showErrorMessage="1" error="Units cannot edit." sqref="D3:D4" xr:uid="{00000000-0002-0000-0C00-000001000000}"/>
    <dataValidation allowBlank="1" showInputMessage="1" showErrorMessage="1" error="Please enter a valid date in mm/dd/yyyy format." sqref="B8:D10" xr:uid="{00000000-0002-0000-0C00-000002000000}"/>
    <dataValidation type="decimal" allowBlank="1" showInputMessage="1" showErrorMessage="1" error="Please enter a valid reading." sqref="D7" xr:uid="{00000000-0002-0000-0C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C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C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X37"/>
  <sheetViews>
    <sheetView tabSelected="1"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v4dOhGcGB5LkHEsYfV/Kq4lR+e/L1QvlwbQQDj/GUdtNMnBUNsZQ6TQ+/RTf/ah6y7szNFvb2HXBpuWEp6ZkUQ==" saltValue="bTHCmY4jfRXpJcDZly7oxA==" spinCount="100000" sheet="1" objects="1" scenarios="1"/>
  <dataValidations count="6">
    <dataValidation type="list" allowBlank="1" showInputMessage="1" showErrorMessage="1" sqref="G15:X15" xr:uid="{00000000-0002-0000-0D00-000000000000}">
      <formula1>$G$15:$X$15</formula1>
    </dataValidation>
    <dataValidation showInputMessage="1" showErrorMessage="1" error="Units cannot edit." sqref="D3:D4" xr:uid="{00000000-0002-0000-0D00-000001000000}"/>
    <dataValidation allowBlank="1" showInputMessage="1" showErrorMessage="1" error="Please enter a valid date in mm/dd/yyyy format." sqref="B8:D10" xr:uid="{00000000-0002-0000-0D00-000002000000}"/>
    <dataValidation type="decimal" allowBlank="1" showInputMessage="1" showErrorMessage="1" error="Please enter a valid reading." sqref="D7" xr:uid="{00000000-0002-0000-0D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D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D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Btg8HFIBESM8XBmCtZI2v3g/4akhxlN4h/79oY+4lnlm4bHQzRZ54zga/ci4OPmSWwGRAXCTIp6dJBXoixIkNQ==" saltValue="n3M8CFZyqofqbnhQ92pSNQ==" spinCount="100000" sheet="1" objects="1" scenarios="1"/>
  <dataValidations count="6">
    <dataValidation type="list" allowBlank="1" showInputMessage="1" showErrorMessage="1" sqref="G15:X15" xr:uid="{00000000-0002-0000-0E00-000000000000}">
      <formula1>$G$15:$X$15</formula1>
    </dataValidation>
    <dataValidation showInputMessage="1" showErrorMessage="1" error="Units cannot edit." sqref="D3:D4" xr:uid="{00000000-0002-0000-0E00-000001000000}"/>
    <dataValidation allowBlank="1" showInputMessage="1" showErrorMessage="1" error="Please enter a valid date in mm/dd/yyyy format." sqref="B8:D10" xr:uid="{00000000-0002-0000-0E00-000002000000}"/>
    <dataValidation type="decimal" allowBlank="1" showInputMessage="1" showErrorMessage="1" error="Please enter a valid reading." sqref="D7" xr:uid="{00000000-0002-0000-0E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E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E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00000000-0002-0000-0F00-000000000000}">
      <formula1>$G$15:$X$15</formula1>
    </dataValidation>
    <dataValidation showInputMessage="1" showErrorMessage="1" error="Units cannot edit." sqref="D3:D4" xr:uid="{00000000-0002-0000-0F00-000001000000}"/>
    <dataValidation allowBlank="1" showInputMessage="1" showErrorMessage="1" error="Please enter a valid date in mm/dd/yyyy format." sqref="B8:D10" xr:uid="{00000000-0002-0000-0F00-000002000000}"/>
    <dataValidation type="decimal" allowBlank="1" showInputMessage="1" showErrorMessage="1" error="Please enter a valid reading." sqref="D7" xr:uid="{00000000-0002-0000-0F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F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F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00000000-0002-0000-1000-000000000000}">
      <formula1>$G$15:$X$15</formula1>
    </dataValidation>
    <dataValidation showInputMessage="1" showErrorMessage="1" error="Units cannot edit." sqref="D3:D4" xr:uid="{00000000-0002-0000-1000-000001000000}"/>
    <dataValidation allowBlank="1" showInputMessage="1" showErrorMessage="1" error="Please enter a valid date in mm/dd/yyyy format." sqref="B8:D10" xr:uid="{00000000-0002-0000-1000-000002000000}"/>
    <dataValidation type="decimal" allowBlank="1" showInputMessage="1" showErrorMessage="1" error="Please enter a valid reading." sqref="D7" xr:uid="{00000000-0002-0000-10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10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10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00000000-0002-0000-1100-000000000000}">
      <formula1>$G$15:$X$15</formula1>
    </dataValidation>
    <dataValidation showInputMessage="1" showErrorMessage="1" error="Units cannot edit." sqref="D3:D4" xr:uid="{00000000-0002-0000-1100-000001000000}"/>
    <dataValidation allowBlank="1" showInputMessage="1" showErrorMessage="1" error="Please enter a valid date in mm/dd/yyyy format." sqref="B8:D10" xr:uid="{00000000-0002-0000-1100-000002000000}"/>
    <dataValidation type="decimal" allowBlank="1" showInputMessage="1" showErrorMessage="1" error="Please enter a valid reading." sqref="D7" xr:uid="{00000000-0002-0000-11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11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11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0000000-0002-0000-1200-000000000000}">
      <formula1>$G$15:$X$15</formula1>
    </dataValidation>
    <dataValidation showInputMessage="1" showErrorMessage="1" error="Units cannot edit." sqref="D3:D4" xr:uid="{00000000-0002-0000-1200-000001000000}"/>
    <dataValidation allowBlank="1" showInputMessage="1" showErrorMessage="1" error="Please enter a valid date in mm/dd/yyyy format." sqref="B8:D10" xr:uid="{00000000-0002-0000-1200-000002000000}"/>
    <dataValidation type="decimal" allowBlank="1" showInputMessage="1" showErrorMessage="1" error="Please enter a valid reading." sqref="D7" xr:uid="{00000000-0002-0000-12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12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1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00000000-0002-0000-1300-000000000000}">
      <formula1>$G$15:$X$15</formula1>
    </dataValidation>
    <dataValidation showInputMessage="1" showErrorMessage="1" error="Units cannot edit." sqref="D3:D4" xr:uid="{00000000-0002-0000-1300-000001000000}"/>
    <dataValidation allowBlank="1" showInputMessage="1" showErrorMessage="1" error="Please enter a valid date in mm/dd/yyyy format." sqref="B8:D10" xr:uid="{00000000-0002-0000-1300-000002000000}"/>
    <dataValidation type="decimal" allowBlank="1" showInputMessage="1" showErrorMessage="1" error="Please enter a valid reading." sqref="D7" xr:uid="{00000000-0002-0000-1300-000003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1300-000004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13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6" width="19.42578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7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t89tcezk4XrQ3HlNN/IjIlWGKFW9IodacYkm4tsEXHyGGf2b0RxaLIQ5ONgijN+a9sj5an2CXumHh5WE6Sjhg==" saltValue="X6SzSan6Dm4HcwGUxOE6wQ==" spinCount="100000" sheet="1" objects="1" scenarios="1"/>
  <dataValidations count="6">
    <dataValidation type="list" showInputMessage="1" showErrorMessage="1" error="Units cannot edit." sqref="D3:D4" xr:uid="{00000000-0002-0000-1400-000000000000}">
      <formula1>$H$7:$H$8</formula1>
    </dataValidation>
    <dataValidation type="decimal" allowBlank="1" showInputMessage="1" showErrorMessage="1" error="Please enter a valid reading." sqref="D7" xr:uid="{00000000-0002-0000-1400-000001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1400-000002000000}">
      <formula1>1</formula1>
      <formula2>73051</formula2>
    </dataValidation>
    <dataValidation type="list" allowBlank="1" showInputMessage="1" showErrorMessage="1" sqref="G15:X15" xr:uid="{00000000-0002-0000-1400-000003000000}">
      <formula1>$G$15:$X$15</formula1>
    </dataValidation>
    <dataValidation allowBlank="1" showInputMessage="1" showErrorMessage="1" error="Please enter a valid date in mm/dd/yyyy format." sqref="B8:D10" xr:uid="{00000000-0002-0000-1400-000004000000}"/>
    <dataValidation type="textLength" allowBlank="1" showInputMessage="1" showErrorMessage="1" errorTitle="Data Source" error="It can only accept 40 characters." sqref="D5" xr:uid="{00000000-0002-0000-14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AnalyticsEnergy Meter via up...</v>
      </c>
      <c r="C1" s="1"/>
      <c r="D1" s="4" t="str">
        <f ca="1">B1</f>
        <v>AnalyticsEnergy Meter via up...</v>
      </c>
      <c r="E1" s="1"/>
    </row>
    <row r="2" spans="1:10" x14ac:dyDescent="0.25">
      <c r="A2" s="4" t="s">
        <v>601</v>
      </c>
      <c r="B2" s="201" t="s">
        <v>568</v>
      </c>
      <c r="C2" s="179"/>
      <c r="D2" s="175" t="s">
        <v>737</v>
      </c>
      <c r="E2" s="1"/>
    </row>
    <row r="3" spans="1:10" x14ac:dyDescent="0.25">
      <c r="A3" s="4" t="s">
        <v>601</v>
      </c>
      <c r="B3" s="200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200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>
        <v>43435</v>
      </c>
      <c r="C7" s="38">
        <v>43496</v>
      </c>
      <c r="D7" s="25">
        <v>2000</v>
      </c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bJfCPPTywLGbhVXBKw+Rt6UAckO4Ajiv6QpmDeifWx3HEKAUWH3aXHwOA3hSYQdNu1o4wuzE9ffAWfBEJatrxA==" saltValue="W5NqkhQbE7rxYp8tlCDpzA==" spinCount="100000" sheet="1" objects="1" scenarios="1"/>
  <dataValidations count="6">
    <dataValidation type="textLength" allowBlank="1" showInputMessage="1" showErrorMessage="1" errorTitle="Data Source" error="It can only accept 40 characters." sqref="D5" xr:uid="{00000000-0002-0000-1500-000000000000}">
      <formula1>0</formula1>
      <formula2>40</formula2>
    </dataValidation>
    <dataValidation type="decimal" allowBlank="1" showInputMessage="1" showErrorMessage="1" error="Please enter a valid reading." sqref="D7" xr:uid="{00000000-0002-0000-1500-000001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1500-000002000000}">
      <formula1>1</formula1>
      <formula2>73415</formula2>
    </dataValidation>
    <dataValidation allowBlank="1" showInputMessage="1" showErrorMessage="1" error="Please enter a valid date in mm/dd/yyyy format." sqref="B8:D10" xr:uid="{00000000-0002-0000-1500-000003000000}"/>
    <dataValidation type="list" allowBlank="1" showInputMessage="1" showErrorMessage="1" sqref="D3" xr:uid="{00000000-0002-0000-1500-000004000000}">
      <formula1>ElectricityDrp</formula1>
    </dataValidation>
    <dataValidation type="list" allowBlank="1" showInputMessage="1" showErrorMessage="1" error="Units cannot edit." sqref="D4" xr:uid="{00000000-0002-0000-1500-000005000000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752475</xdr:colOff>
                    <xdr:row>7</xdr:row>
                    <xdr:rowOff>0</xdr:rowOff>
                  </from>
                  <to>
                    <xdr:col>2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I39"/>
  <sheetViews>
    <sheetView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AnalyticsWater meter via upload</v>
      </c>
      <c r="C1" s="1"/>
      <c r="D1" s="182" t="str">
        <f ca="1">B1</f>
        <v>AnalyticsWater meter via upload</v>
      </c>
      <c r="E1" s="1"/>
    </row>
    <row r="2" spans="1:9" x14ac:dyDescent="0.25">
      <c r="A2" s="4" t="s">
        <v>601</v>
      </c>
      <c r="B2" s="201" t="s">
        <v>568</v>
      </c>
      <c r="C2" s="179"/>
      <c r="D2" s="175" t="s">
        <v>736</v>
      </c>
      <c r="E2" s="1"/>
    </row>
    <row r="3" spans="1:9" x14ac:dyDescent="0.25">
      <c r="A3" s="4" t="s">
        <v>601</v>
      </c>
      <c r="B3" s="200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200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>
        <v>43435</v>
      </c>
      <c r="C7" s="38">
        <v>43496</v>
      </c>
      <c r="D7" s="24">
        <v>5.46</v>
      </c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pKbafnvpIrT1+CfIOUn7o0A72bKIkTwLPwG599xmGre9bRsSbo+toQ3QXt/aIdMte5RTaSKYwbCsSn7zT48ixw==" saltValue="hc8o9iG7yjQ8ONg+u9J+HQ==" spinCount="100000" sheet="1" objects="1" scenarios="1"/>
  <dataValidations count="6">
    <dataValidation type="textLength" allowBlank="1" showInputMessage="1" showErrorMessage="1" errorTitle="Data Source" error="It can only accept 40 characters." sqref="D5" xr:uid="{00000000-0002-0000-1600-000000000000}">
      <formula1>0</formula1>
      <formula2>40</formula2>
    </dataValidation>
    <dataValidation type="decimal" allowBlank="1" showInputMessage="1" showErrorMessage="1" error="Please enter a valid reading." sqref="D7" xr:uid="{00000000-0002-0000-1600-000001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1600-000002000000}">
      <formula1>1</formula1>
      <formula2>73415</formula2>
    </dataValidation>
    <dataValidation allowBlank="1" showInputMessage="1" showErrorMessage="1" error="Please enter a valid date in mm/dd/yyyy format." sqref="B8:D10" xr:uid="{00000000-0002-0000-1600-000003000000}"/>
    <dataValidation type="list" allowBlank="1" showInputMessage="1" showErrorMessage="1" sqref="D3" xr:uid="{00000000-0002-0000-1600-000004000000}">
      <formula1>WaterDrp</formula1>
    </dataValidation>
    <dataValidation type="list" allowBlank="1" showInputMessage="1" showErrorMessage="1" error="Units cannot edit." sqref="D4" xr:uid="{00000000-0002-0000-1600-000005000000}">
      <formula1>watUni</formula1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"/>
  <sheetViews>
    <sheetView topLeftCell="A13" workbookViewId="0">
      <selection activeCell="A13" sqref="A1:XFD1048576"/>
    </sheetView>
  </sheetViews>
  <sheetFormatPr defaultColWidth="8.85546875"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AnalyticsEnergy Meter via up...</vt:lpstr>
      <vt:lpstr>AnalyticsWater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'AnalyticsEnergy Meter via up...'!elecName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'AnalyticsEnergy Meter via up...'!ElectricityDrp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Acetaldehyde!WaterDrp</vt:lpstr>
      <vt:lpstr>'AnalyticsWater meter via upload'!WaterDrp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Acetaldehyde!watUni</vt:lpstr>
      <vt:lpstr>'AnalyticsWater meter via upload'!watUni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Abhishek Kumar</cp:lastModifiedBy>
  <cp:lastPrinted>2017-09-22T06:24:12Z</cp:lastPrinted>
  <dcterms:created xsi:type="dcterms:W3CDTF">2014-11-12T06:32:08Z</dcterms:created>
  <dcterms:modified xsi:type="dcterms:W3CDTF">2019-07-09T07:25:59Z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